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 Reddy\Desktop\THESIS\"/>
    </mc:Choice>
  </mc:AlternateContent>
  <xr:revisionPtr revIDLastSave="0" documentId="13_ncr:1_{1FECDC5B-66B1-4324-A38A-F4F2051C780B}" xr6:coauthVersionLast="47" xr6:coauthVersionMax="47" xr10:uidLastSave="{00000000-0000-0000-0000-000000000000}"/>
  <bookViews>
    <workbookView xWindow="-110" yWindow="-110" windowWidth="19420" windowHeight="10300" activeTab="3" xr2:uid="{27448E89-D465-432A-B7DD-F7632B355BD4}"/>
  </bookViews>
  <sheets>
    <sheet name="systemic index for sub samples" sheetId="1" r:id="rId1"/>
    <sheet name="g7" sheetId="2" r:id="rId2"/>
    <sheet name="nordic" sheetId="3" r:id="rId3"/>
    <sheet name="emerg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79" i="4" l="1"/>
  <c r="AM280" i="4"/>
  <c r="AM281" i="4"/>
  <c r="AM282" i="4"/>
  <c r="AM283" i="4"/>
  <c r="AM284" i="4"/>
  <c r="AM285" i="4"/>
  <c r="AH285" i="4" s="1"/>
  <c r="AI285" i="4" s="1"/>
  <c r="AM286" i="4"/>
  <c r="AM287" i="4"/>
  <c r="AM288" i="4"/>
  <c r="AM289" i="4"/>
  <c r="AM290" i="4"/>
  <c r="AM291" i="4"/>
  <c r="AM292" i="4"/>
  <c r="AM293" i="4"/>
  <c r="AM294" i="4"/>
  <c r="AM295" i="4"/>
  <c r="AM296" i="4"/>
  <c r="AM297" i="4"/>
  <c r="AM298" i="4"/>
  <c r="AM299" i="4"/>
  <c r="AM300" i="4"/>
  <c r="AM301" i="4"/>
  <c r="AM302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H279" i="4"/>
  <c r="AI279" i="4" s="1"/>
  <c r="AH280" i="4"/>
  <c r="AI280" i="4" s="1"/>
  <c r="AH281" i="4"/>
  <c r="AI281" i="4" s="1"/>
  <c r="AH282" i="4"/>
  <c r="AI282" i="4" s="1"/>
  <c r="AH283" i="4"/>
  <c r="AI283" i="4" s="1"/>
  <c r="AH284" i="4"/>
  <c r="AI284" i="4" s="1"/>
  <c r="AH286" i="4"/>
  <c r="AI286" i="4" s="1"/>
  <c r="AH287" i="4"/>
  <c r="AI287" i="4" s="1"/>
  <c r="AH288" i="4"/>
  <c r="AI288" i="4" s="1"/>
  <c r="AH289" i="4"/>
  <c r="AI289" i="4" s="1"/>
  <c r="AH290" i="4"/>
  <c r="AI290" i="4" s="1"/>
  <c r="AH291" i="4"/>
  <c r="AI291" i="4" s="1"/>
  <c r="AH292" i="4"/>
  <c r="AI292" i="4" s="1"/>
  <c r="AH293" i="4"/>
  <c r="AI293" i="4" s="1"/>
  <c r="AH294" i="4"/>
  <c r="AI294" i="4" s="1"/>
  <c r="AH295" i="4"/>
  <c r="AI295" i="4" s="1"/>
  <c r="AH296" i="4"/>
  <c r="AI296" i="4" s="1"/>
  <c r="AH297" i="4"/>
  <c r="AI297" i="4" s="1"/>
  <c r="AH298" i="4"/>
  <c r="AI298" i="4" s="1"/>
  <c r="AH299" i="4"/>
  <c r="AI299" i="4" s="1"/>
  <c r="AH300" i="4"/>
  <c r="AI300" i="4" s="1"/>
  <c r="AH301" i="4"/>
  <c r="AI301" i="4" s="1"/>
  <c r="AH302" i="4"/>
  <c r="AI302" i="4" s="1"/>
  <c r="AG279" i="4"/>
  <c r="AG280" i="4"/>
  <c r="AG281" i="4"/>
  <c r="AG282" i="4"/>
  <c r="AG283" i="4"/>
  <c r="AG284" i="4"/>
  <c r="AG285" i="4"/>
  <c r="AG286" i="4"/>
  <c r="AG287" i="4"/>
  <c r="AG288" i="4"/>
  <c r="AG289" i="4"/>
  <c r="AG290" i="4"/>
  <c r="AG291" i="4"/>
  <c r="AG292" i="4"/>
  <c r="AG293" i="4"/>
  <c r="AG294" i="4"/>
  <c r="AG295" i="4"/>
  <c r="AG296" i="4"/>
  <c r="AG297" i="4"/>
  <c r="AG298" i="4"/>
  <c r="AG299" i="4"/>
  <c r="AG300" i="4"/>
  <c r="AG301" i="4"/>
  <c r="AG302" i="4"/>
  <c r="AF279" i="4"/>
  <c r="AF280" i="4"/>
  <c r="AF281" i="4"/>
  <c r="AF282" i="4"/>
  <c r="AF283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97" i="4"/>
  <c r="AF298" i="4"/>
  <c r="AF299" i="4"/>
  <c r="AF300" i="4"/>
  <c r="AF301" i="4"/>
  <c r="AF302" i="4"/>
  <c r="AA279" i="4"/>
  <c r="AB279" i="4" s="1"/>
  <c r="AA280" i="4"/>
  <c r="AB280" i="4" s="1"/>
  <c r="AA281" i="4"/>
  <c r="AB281" i="4" s="1"/>
  <c r="AA282" i="4"/>
  <c r="AB282" i="4" s="1"/>
  <c r="AA283" i="4"/>
  <c r="AB283" i="4" s="1"/>
  <c r="AA284" i="4"/>
  <c r="AB284" i="4" s="1"/>
  <c r="AA285" i="4"/>
  <c r="AB285" i="4" s="1"/>
  <c r="AA286" i="4"/>
  <c r="AB286" i="4" s="1"/>
  <c r="AA287" i="4"/>
  <c r="AB287" i="4" s="1"/>
  <c r="AA288" i="4"/>
  <c r="AB288" i="4" s="1"/>
  <c r="AA289" i="4"/>
  <c r="AB289" i="4" s="1"/>
  <c r="AA290" i="4"/>
  <c r="AB290" i="4" s="1"/>
  <c r="AA291" i="4"/>
  <c r="AB291" i="4" s="1"/>
  <c r="AA292" i="4"/>
  <c r="AB292" i="4" s="1"/>
  <c r="AA293" i="4"/>
  <c r="AB293" i="4" s="1"/>
  <c r="AA294" i="4"/>
  <c r="AB294" i="4" s="1"/>
  <c r="AA295" i="4"/>
  <c r="AB295" i="4" s="1"/>
  <c r="AA296" i="4"/>
  <c r="AB296" i="4" s="1"/>
  <c r="AA297" i="4"/>
  <c r="AB297" i="4" s="1"/>
  <c r="AA298" i="4"/>
  <c r="AB298" i="4" s="1"/>
  <c r="AA299" i="4"/>
  <c r="AB299" i="4" s="1"/>
  <c r="AA300" i="4"/>
  <c r="AB300" i="4" s="1"/>
  <c r="AA301" i="4"/>
  <c r="AB301" i="4" s="1"/>
  <c r="AA302" i="4"/>
  <c r="AB302" i="4" s="1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T279" i="4"/>
  <c r="U279" i="4" s="1"/>
  <c r="T280" i="4"/>
  <c r="U280" i="4" s="1"/>
  <c r="T281" i="4"/>
  <c r="U281" i="4" s="1"/>
  <c r="T282" i="4"/>
  <c r="U282" i="4" s="1"/>
  <c r="T283" i="4"/>
  <c r="U283" i="4" s="1"/>
  <c r="T284" i="4"/>
  <c r="U284" i="4" s="1"/>
  <c r="T285" i="4"/>
  <c r="U285" i="4" s="1"/>
  <c r="T286" i="4"/>
  <c r="U286" i="4" s="1"/>
  <c r="T287" i="4"/>
  <c r="U287" i="4" s="1"/>
  <c r="T288" i="4"/>
  <c r="U288" i="4" s="1"/>
  <c r="T289" i="4"/>
  <c r="U289" i="4" s="1"/>
  <c r="T290" i="4"/>
  <c r="U290" i="4" s="1"/>
  <c r="T291" i="4"/>
  <c r="U291" i="4" s="1"/>
  <c r="T292" i="4"/>
  <c r="U292" i="4" s="1"/>
  <c r="T293" i="4"/>
  <c r="U293" i="4" s="1"/>
  <c r="T294" i="4"/>
  <c r="U294" i="4" s="1"/>
  <c r="T295" i="4"/>
  <c r="U295" i="4" s="1"/>
  <c r="T296" i="4"/>
  <c r="U296" i="4" s="1"/>
  <c r="T297" i="4"/>
  <c r="U297" i="4" s="1"/>
  <c r="T298" i="4"/>
  <c r="U298" i="4" s="1"/>
  <c r="T299" i="4"/>
  <c r="U299" i="4" s="1"/>
  <c r="T300" i="4"/>
  <c r="U300" i="4" s="1"/>
  <c r="T301" i="4"/>
  <c r="U301" i="4" s="1"/>
  <c r="T302" i="4"/>
  <c r="U302" i="4" s="1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M279" i="4"/>
  <c r="N279" i="4" s="1"/>
  <c r="M280" i="4"/>
  <c r="N280" i="4" s="1"/>
  <c r="M281" i="4"/>
  <c r="N281" i="4" s="1"/>
  <c r="M282" i="4"/>
  <c r="N282" i="4" s="1"/>
  <c r="M283" i="4"/>
  <c r="N283" i="4" s="1"/>
  <c r="M284" i="4"/>
  <c r="N284" i="4" s="1"/>
  <c r="M285" i="4"/>
  <c r="N285" i="4" s="1"/>
  <c r="M286" i="4"/>
  <c r="N286" i="4" s="1"/>
  <c r="M287" i="4"/>
  <c r="N287" i="4" s="1"/>
  <c r="M288" i="4"/>
  <c r="N288" i="4" s="1"/>
  <c r="M289" i="4"/>
  <c r="N289" i="4" s="1"/>
  <c r="M290" i="4"/>
  <c r="N290" i="4" s="1"/>
  <c r="M291" i="4"/>
  <c r="N291" i="4" s="1"/>
  <c r="M292" i="4"/>
  <c r="N292" i="4" s="1"/>
  <c r="M293" i="4"/>
  <c r="N293" i="4" s="1"/>
  <c r="M294" i="4"/>
  <c r="N294" i="4" s="1"/>
  <c r="M295" i="4"/>
  <c r="N295" i="4" s="1"/>
  <c r="M296" i="4"/>
  <c r="N296" i="4" s="1"/>
  <c r="M297" i="4"/>
  <c r="N297" i="4" s="1"/>
  <c r="M298" i="4"/>
  <c r="N298" i="4" s="1"/>
  <c r="M299" i="4"/>
  <c r="N299" i="4" s="1"/>
  <c r="M300" i="4"/>
  <c r="N300" i="4" s="1"/>
  <c r="M301" i="4"/>
  <c r="N301" i="4" s="1"/>
  <c r="M302" i="4"/>
  <c r="N302" i="4" s="1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F279" i="4"/>
  <c r="G279" i="4" s="1"/>
  <c r="F280" i="4"/>
  <c r="G280" i="4" s="1"/>
  <c r="F281" i="4"/>
  <c r="G281" i="4" s="1"/>
  <c r="F282" i="4"/>
  <c r="G282" i="4" s="1"/>
  <c r="F283" i="4"/>
  <c r="G283" i="4" s="1"/>
  <c r="F284" i="4"/>
  <c r="G284" i="4" s="1"/>
  <c r="F285" i="4"/>
  <c r="G285" i="4" s="1"/>
  <c r="F286" i="4"/>
  <c r="G286" i="4" s="1"/>
  <c r="F287" i="4"/>
  <c r="G287" i="4" s="1"/>
  <c r="F288" i="4"/>
  <c r="G288" i="4" s="1"/>
  <c r="F289" i="4"/>
  <c r="G289" i="4" s="1"/>
  <c r="F290" i="4"/>
  <c r="G290" i="4" s="1"/>
  <c r="F291" i="4"/>
  <c r="G291" i="4" s="1"/>
  <c r="F292" i="4"/>
  <c r="G292" i="4" s="1"/>
  <c r="F293" i="4"/>
  <c r="G293" i="4" s="1"/>
  <c r="F294" i="4"/>
  <c r="G294" i="4" s="1"/>
  <c r="F295" i="4"/>
  <c r="G295" i="4" s="1"/>
  <c r="F296" i="4"/>
  <c r="G296" i="4" s="1"/>
  <c r="F297" i="4"/>
  <c r="G297" i="4" s="1"/>
  <c r="F298" i="4"/>
  <c r="G298" i="4" s="1"/>
  <c r="F299" i="4"/>
  <c r="G299" i="4" s="1"/>
  <c r="F300" i="4"/>
  <c r="G300" i="4" s="1"/>
  <c r="F301" i="4"/>
  <c r="G301" i="4" s="1"/>
  <c r="F302" i="4"/>
  <c r="G302" i="4" s="1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AZ279" i="2"/>
  <c r="AZ280" i="2"/>
  <c r="AA280" i="2" s="1"/>
  <c r="AB280" i="2" s="1"/>
  <c r="AZ281" i="2"/>
  <c r="AA281" i="2" s="1"/>
  <c r="AB281" i="2" s="1"/>
  <c r="AZ282" i="2"/>
  <c r="AA282" i="2" s="1"/>
  <c r="AB282" i="2" s="1"/>
  <c r="AZ283" i="2"/>
  <c r="AZ284" i="2"/>
  <c r="AA284" i="2" s="1"/>
  <c r="AB284" i="2" s="1"/>
  <c r="AZ285" i="2"/>
  <c r="AA285" i="2" s="1"/>
  <c r="AB285" i="2" s="1"/>
  <c r="AZ286" i="2"/>
  <c r="AA286" i="2" s="1"/>
  <c r="AB286" i="2" s="1"/>
  <c r="AZ287" i="2"/>
  <c r="AZ288" i="2"/>
  <c r="AA288" i="2" s="1"/>
  <c r="AB288" i="2" s="1"/>
  <c r="AZ289" i="2"/>
  <c r="AZ290" i="2"/>
  <c r="AA290" i="2" s="1"/>
  <c r="AB290" i="2" s="1"/>
  <c r="AZ291" i="2"/>
  <c r="AZ292" i="2"/>
  <c r="AA292" i="2" s="1"/>
  <c r="AB292" i="2" s="1"/>
  <c r="AZ293" i="2"/>
  <c r="AZ294" i="2"/>
  <c r="AZ295" i="2"/>
  <c r="AZ296" i="2"/>
  <c r="AA296" i="2" s="1"/>
  <c r="AB296" i="2" s="1"/>
  <c r="AZ297" i="2"/>
  <c r="AA297" i="2" s="1"/>
  <c r="AB297" i="2" s="1"/>
  <c r="AZ298" i="2"/>
  <c r="AA298" i="2" s="1"/>
  <c r="AB298" i="2" s="1"/>
  <c r="AZ299" i="2"/>
  <c r="AZ300" i="2"/>
  <c r="AA300" i="2" s="1"/>
  <c r="AB300" i="2" s="1"/>
  <c r="AZ301" i="2"/>
  <c r="AA301" i="2" s="1"/>
  <c r="AB301" i="2" s="1"/>
  <c r="AZ302" i="2"/>
  <c r="AA302" i="2" s="1"/>
  <c r="AB302" i="2" s="1"/>
  <c r="AY279" i="2"/>
  <c r="AY280" i="2"/>
  <c r="AY281" i="2"/>
  <c r="AY282" i="2"/>
  <c r="AY283" i="2"/>
  <c r="AY284" i="2"/>
  <c r="AY285" i="2"/>
  <c r="AY286" i="2"/>
  <c r="AY287" i="2"/>
  <c r="AY288" i="2"/>
  <c r="AY289" i="2"/>
  <c r="AY290" i="2"/>
  <c r="AY291" i="2"/>
  <c r="AY292" i="2"/>
  <c r="AY293" i="2"/>
  <c r="AY294" i="2"/>
  <c r="AY295" i="2"/>
  <c r="AY296" i="2"/>
  <c r="AY297" i="2"/>
  <c r="AY298" i="2"/>
  <c r="AY299" i="2"/>
  <c r="AY300" i="2"/>
  <c r="AY301" i="2"/>
  <c r="AY302" i="2"/>
  <c r="AM279" i="3"/>
  <c r="AM280" i="3"/>
  <c r="AM281" i="3"/>
  <c r="AM282" i="3"/>
  <c r="AI282" i="3" s="1"/>
  <c r="AJ282" i="3" s="1"/>
  <c r="AM283" i="3"/>
  <c r="AM284" i="3"/>
  <c r="AM285" i="3"/>
  <c r="AM286" i="3"/>
  <c r="AI286" i="3" s="1"/>
  <c r="AJ286" i="3" s="1"/>
  <c r="AM287" i="3"/>
  <c r="AM288" i="3"/>
  <c r="AM289" i="3"/>
  <c r="AM290" i="3"/>
  <c r="AI290" i="3" s="1"/>
  <c r="AJ290" i="3" s="1"/>
  <c r="AM291" i="3"/>
  <c r="AM292" i="3"/>
  <c r="AM293" i="3"/>
  <c r="AM294" i="3"/>
  <c r="AI294" i="3" s="1"/>
  <c r="AJ294" i="3" s="1"/>
  <c r="AM295" i="3"/>
  <c r="AM296" i="3"/>
  <c r="AM297" i="3"/>
  <c r="AM298" i="3"/>
  <c r="AI298" i="3" s="1"/>
  <c r="AJ298" i="3" s="1"/>
  <c r="AM299" i="3"/>
  <c r="AM300" i="3"/>
  <c r="AM301" i="3"/>
  <c r="AM302" i="3"/>
  <c r="AI302" i="3" s="1"/>
  <c r="AJ302" i="3" s="1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I279" i="3"/>
  <c r="AJ279" i="3" s="1"/>
  <c r="AI280" i="3"/>
  <c r="AJ280" i="3" s="1"/>
  <c r="AI281" i="3"/>
  <c r="AJ281" i="3" s="1"/>
  <c r="AI283" i="3"/>
  <c r="AI284" i="3"/>
  <c r="AJ284" i="3" s="1"/>
  <c r="AI285" i="3"/>
  <c r="AJ285" i="3" s="1"/>
  <c r="AI287" i="3"/>
  <c r="AI288" i="3"/>
  <c r="AJ288" i="3" s="1"/>
  <c r="AI289" i="3"/>
  <c r="AJ289" i="3" s="1"/>
  <c r="AI291" i="3"/>
  <c r="AI292" i="3"/>
  <c r="AJ292" i="3" s="1"/>
  <c r="AI293" i="3"/>
  <c r="AJ293" i="3" s="1"/>
  <c r="AI295" i="3"/>
  <c r="AI296" i="3"/>
  <c r="AJ296" i="3" s="1"/>
  <c r="AI297" i="3"/>
  <c r="AJ297" i="3" s="1"/>
  <c r="AI299" i="3"/>
  <c r="AI300" i="3"/>
  <c r="AJ300" i="3" s="1"/>
  <c r="AI301" i="3"/>
  <c r="AJ301" i="3" s="1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A279" i="3"/>
  <c r="AB279" i="3" s="1"/>
  <c r="AA280" i="3"/>
  <c r="AB280" i="3" s="1"/>
  <c r="AA281" i="3"/>
  <c r="AB281" i="3" s="1"/>
  <c r="AA282" i="3"/>
  <c r="AB282" i="3" s="1"/>
  <c r="AA283" i="3"/>
  <c r="AA284" i="3"/>
  <c r="AB284" i="3" s="1"/>
  <c r="AA285" i="3"/>
  <c r="AB285" i="3" s="1"/>
  <c r="AA286" i="3"/>
  <c r="AB286" i="3" s="1"/>
  <c r="AA287" i="3"/>
  <c r="AA288" i="3"/>
  <c r="AB288" i="3" s="1"/>
  <c r="AA289" i="3"/>
  <c r="AB289" i="3" s="1"/>
  <c r="AA290" i="3"/>
  <c r="AB290" i="3" s="1"/>
  <c r="AA291" i="3"/>
  <c r="AA292" i="3"/>
  <c r="AB292" i="3" s="1"/>
  <c r="AA293" i="3"/>
  <c r="AB293" i="3" s="1"/>
  <c r="AA294" i="3"/>
  <c r="AB294" i="3" s="1"/>
  <c r="AA295" i="3"/>
  <c r="AA296" i="3"/>
  <c r="AB296" i="3" s="1"/>
  <c r="AA297" i="3"/>
  <c r="AB297" i="3" s="1"/>
  <c r="AA298" i="3"/>
  <c r="AB298" i="3" s="1"/>
  <c r="AA299" i="3"/>
  <c r="AA300" i="3"/>
  <c r="AB300" i="3" s="1"/>
  <c r="AA301" i="3"/>
  <c r="AB301" i="3" s="1"/>
  <c r="AA302" i="3"/>
  <c r="AB302" i="3" s="1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T279" i="3"/>
  <c r="U279" i="3" s="1"/>
  <c r="T280" i="3"/>
  <c r="U280" i="3" s="1"/>
  <c r="T281" i="3"/>
  <c r="U281" i="3" s="1"/>
  <c r="T283" i="3"/>
  <c r="T284" i="3"/>
  <c r="U284" i="3" s="1"/>
  <c r="T285" i="3"/>
  <c r="U285" i="3" s="1"/>
  <c r="T287" i="3"/>
  <c r="T288" i="3"/>
  <c r="U288" i="3" s="1"/>
  <c r="T289" i="3"/>
  <c r="U289" i="3" s="1"/>
  <c r="T291" i="3"/>
  <c r="T292" i="3"/>
  <c r="U292" i="3" s="1"/>
  <c r="T293" i="3"/>
  <c r="U293" i="3" s="1"/>
  <c r="T295" i="3"/>
  <c r="T296" i="3"/>
  <c r="U296" i="3" s="1"/>
  <c r="T297" i="3"/>
  <c r="U297" i="3" s="1"/>
  <c r="T299" i="3"/>
  <c r="T300" i="3"/>
  <c r="U300" i="3" s="1"/>
  <c r="T301" i="3"/>
  <c r="U301" i="3" s="1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M279" i="3"/>
  <c r="N279" i="3" s="1"/>
  <c r="M280" i="3"/>
  <c r="N280" i="3" s="1"/>
  <c r="M281" i="3"/>
  <c r="N281" i="3" s="1"/>
  <c r="M282" i="3"/>
  <c r="N282" i="3" s="1"/>
  <c r="M283" i="3"/>
  <c r="M284" i="3"/>
  <c r="N284" i="3" s="1"/>
  <c r="M285" i="3"/>
  <c r="N285" i="3" s="1"/>
  <c r="M286" i="3"/>
  <c r="N286" i="3" s="1"/>
  <c r="M287" i="3"/>
  <c r="M288" i="3"/>
  <c r="N288" i="3" s="1"/>
  <c r="M289" i="3"/>
  <c r="N289" i="3" s="1"/>
  <c r="M290" i="3"/>
  <c r="N290" i="3" s="1"/>
  <c r="M291" i="3"/>
  <c r="M292" i="3"/>
  <c r="N292" i="3" s="1"/>
  <c r="M293" i="3"/>
  <c r="N293" i="3" s="1"/>
  <c r="M294" i="3"/>
  <c r="N294" i="3" s="1"/>
  <c r="M295" i="3"/>
  <c r="M296" i="3"/>
  <c r="N296" i="3" s="1"/>
  <c r="M297" i="3"/>
  <c r="N297" i="3" s="1"/>
  <c r="M298" i="3"/>
  <c r="N298" i="3" s="1"/>
  <c r="M299" i="3"/>
  <c r="M300" i="3"/>
  <c r="N300" i="3" s="1"/>
  <c r="M301" i="3"/>
  <c r="N301" i="3" s="1"/>
  <c r="M302" i="3"/>
  <c r="N302" i="3" s="1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G289" i="3"/>
  <c r="G297" i="3"/>
  <c r="F279" i="3"/>
  <c r="G279" i="3" s="1"/>
  <c r="F280" i="3"/>
  <c r="G280" i="3" s="1"/>
  <c r="F281" i="3"/>
  <c r="G281" i="3" s="1"/>
  <c r="F283" i="3"/>
  <c r="F284" i="3"/>
  <c r="G284" i="3" s="1"/>
  <c r="F285" i="3"/>
  <c r="G285" i="3" s="1"/>
  <c r="F287" i="3"/>
  <c r="F288" i="3"/>
  <c r="G288" i="3" s="1"/>
  <c r="F289" i="3"/>
  <c r="F291" i="3"/>
  <c r="F292" i="3"/>
  <c r="G292" i="3" s="1"/>
  <c r="F293" i="3"/>
  <c r="G293" i="3" s="1"/>
  <c r="F295" i="3"/>
  <c r="F296" i="3"/>
  <c r="G296" i="3" s="1"/>
  <c r="F297" i="3"/>
  <c r="F299" i="3"/>
  <c r="F300" i="3"/>
  <c r="G300" i="3" s="1"/>
  <c r="F301" i="3"/>
  <c r="G301" i="3" s="1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AV279" i="2"/>
  <c r="AW279" i="2" s="1"/>
  <c r="AV280" i="2"/>
  <c r="AW280" i="2" s="1"/>
  <c r="AV281" i="2"/>
  <c r="AW281" i="2" s="1"/>
  <c r="AV282" i="2"/>
  <c r="AW282" i="2" s="1"/>
  <c r="AV283" i="2"/>
  <c r="AW283" i="2" s="1"/>
  <c r="AV284" i="2"/>
  <c r="AW284" i="2" s="1"/>
  <c r="AV285" i="2"/>
  <c r="AW285" i="2" s="1"/>
  <c r="AV286" i="2"/>
  <c r="AW286" i="2" s="1"/>
  <c r="AV287" i="2"/>
  <c r="AW287" i="2" s="1"/>
  <c r="AV288" i="2"/>
  <c r="AW288" i="2" s="1"/>
  <c r="AV289" i="2"/>
  <c r="AW289" i="2" s="1"/>
  <c r="AV290" i="2"/>
  <c r="AW290" i="2" s="1"/>
  <c r="AV291" i="2"/>
  <c r="AW291" i="2" s="1"/>
  <c r="AV292" i="2"/>
  <c r="AW292" i="2" s="1"/>
  <c r="AV293" i="2"/>
  <c r="AW293" i="2" s="1"/>
  <c r="AV294" i="2"/>
  <c r="AW294" i="2" s="1"/>
  <c r="AV295" i="2"/>
  <c r="AW295" i="2" s="1"/>
  <c r="AV296" i="2"/>
  <c r="AW296" i="2" s="1"/>
  <c r="AV297" i="2"/>
  <c r="AW297" i="2" s="1"/>
  <c r="AV298" i="2"/>
  <c r="AW298" i="2" s="1"/>
  <c r="AV299" i="2"/>
  <c r="AW299" i="2" s="1"/>
  <c r="AV300" i="2"/>
  <c r="AW300" i="2" s="1"/>
  <c r="AV301" i="2"/>
  <c r="AW301" i="2" s="1"/>
  <c r="AV302" i="2"/>
  <c r="AW302" i="2" s="1"/>
  <c r="AU279" i="2"/>
  <c r="AU280" i="2"/>
  <c r="AU281" i="2"/>
  <c r="AU282" i="2"/>
  <c r="AU283" i="2"/>
  <c r="AU284" i="2"/>
  <c r="AU285" i="2"/>
  <c r="AU286" i="2"/>
  <c r="AU287" i="2"/>
  <c r="AU288" i="2"/>
  <c r="AU289" i="2"/>
  <c r="AU290" i="2"/>
  <c r="AU291" i="2"/>
  <c r="AU292" i="2"/>
  <c r="AU293" i="2"/>
  <c r="AU294" i="2"/>
  <c r="AU295" i="2"/>
  <c r="AU296" i="2"/>
  <c r="AU297" i="2"/>
  <c r="AU298" i="2"/>
  <c r="AU299" i="2"/>
  <c r="AU300" i="2"/>
  <c r="AU301" i="2"/>
  <c r="AU302" i="2"/>
  <c r="AT279" i="2"/>
  <c r="AT280" i="2"/>
  <c r="AT281" i="2"/>
  <c r="AT282" i="2"/>
  <c r="AT283" i="2"/>
  <c r="AT284" i="2"/>
  <c r="AT285" i="2"/>
  <c r="AT286" i="2"/>
  <c r="AT287" i="2"/>
  <c r="AT288" i="2"/>
  <c r="AT289" i="2"/>
  <c r="AT290" i="2"/>
  <c r="AT291" i="2"/>
  <c r="AT292" i="2"/>
  <c r="AT293" i="2"/>
  <c r="AT294" i="2"/>
  <c r="AT295" i="2"/>
  <c r="AT296" i="2"/>
  <c r="AT297" i="2"/>
  <c r="AT298" i="2"/>
  <c r="AT299" i="2"/>
  <c r="AT300" i="2"/>
  <c r="AT301" i="2"/>
  <c r="AT302" i="2"/>
  <c r="AO279" i="2"/>
  <c r="AP279" i="2" s="1"/>
  <c r="AO280" i="2"/>
  <c r="AP280" i="2" s="1"/>
  <c r="AO281" i="2"/>
  <c r="AP281" i="2" s="1"/>
  <c r="AO282" i="2"/>
  <c r="AP282" i="2" s="1"/>
  <c r="AO283" i="2"/>
  <c r="AO284" i="2"/>
  <c r="AP284" i="2" s="1"/>
  <c r="AO285" i="2"/>
  <c r="AP285" i="2" s="1"/>
  <c r="AO286" i="2"/>
  <c r="AP286" i="2" s="1"/>
  <c r="AO287" i="2"/>
  <c r="AO288" i="2"/>
  <c r="AP288" i="2" s="1"/>
  <c r="AO289" i="2"/>
  <c r="AP289" i="2" s="1"/>
  <c r="AO290" i="2"/>
  <c r="AP290" i="2" s="1"/>
  <c r="AO291" i="2"/>
  <c r="AO292" i="2"/>
  <c r="AP292" i="2" s="1"/>
  <c r="AO293" i="2"/>
  <c r="AP293" i="2" s="1"/>
  <c r="AO294" i="2"/>
  <c r="AP294" i="2" s="1"/>
  <c r="AO295" i="2"/>
  <c r="AO296" i="2"/>
  <c r="AP296" i="2" s="1"/>
  <c r="AO297" i="2"/>
  <c r="AP297" i="2" s="1"/>
  <c r="AO298" i="2"/>
  <c r="AP298" i="2" s="1"/>
  <c r="AO299" i="2"/>
  <c r="AO300" i="2"/>
  <c r="AP300" i="2" s="1"/>
  <c r="AO301" i="2"/>
  <c r="AP301" i="2" s="1"/>
  <c r="AO302" i="2"/>
  <c r="AP302" i="2" s="1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H279" i="2"/>
  <c r="AI279" i="2" s="1"/>
  <c r="AH280" i="2"/>
  <c r="AI280" i="2" s="1"/>
  <c r="AH281" i="2"/>
  <c r="AI281" i="2" s="1"/>
  <c r="AH282" i="2"/>
  <c r="AH283" i="2"/>
  <c r="AI283" i="2" s="1"/>
  <c r="AH284" i="2"/>
  <c r="AI284" i="2" s="1"/>
  <c r="AH285" i="2"/>
  <c r="AI285" i="2" s="1"/>
  <c r="AH286" i="2"/>
  <c r="AI286" i="2" s="1"/>
  <c r="AH287" i="2"/>
  <c r="AI287" i="2" s="1"/>
  <c r="AH288" i="2"/>
  <c r="AI288" i="2" s="1"/>
  <c r="AH289" i="2"/>
  <c r="AI289" i="2" s="1"/>
  <c r="AH290" i="2"/>
  <c r="AI290" i="2" s="1"/>
  <c r="AH291" i="2"/>
  <c r="AI291" i="2" s="1"/>
  <c r="AH292" i="2"/>
  <c r="AI292" i="2" s="1"/>
  <c r="AH293" i="2"/>
  <c r="AI293" i="2" s="1"/>
  <c r="AH294" i="2"/>
  <c r="AB295" i="2" s="1"/>
  <c r="AH295" i="2"/>
  <c r="AI295" i="2" s="1"/>
  <c r="AH296" i="2"/>
  <c r="AI296" i="2" s="1"/>
  <c r="AH297" i="2"/>
  <c r="AI297" i="2" s="1"/>
  <c r="AH298" i="2"/>
  <c r="AI298" i="2" s="1"/>
  <c r="AH299" i="2"/>
  <c r="AI299" i="2" s="1"/>
  <c r="AH300" i="2"/>
  <c r="AI300" i="2" s="1"/>
  <c r="AH301" i="2"/>
  <c r="AI301" i="2" s="1"/>
  <c r="AH302" i="2"/>
  <c r="AI302" i="2" s="1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B291" i="2"/>
  <c r="AA279" i="2"/>
  <c r="AB279" i="2" s="1"/>
  <c r="AA283" i="2"/>
  <c r="AA287" i="2"/>
  <c r="AB287" i="2" s="1"/>
  <c r="AA289" i="2"/>
  <c r="AB289" i="2" s="1"/>
  <c r="AA291" i="2"/>
  <c r="AA293" i="2"/>
  <c r="AB293" i="2" s="1"/>
  <c r="AA294" i="2"/>
  <c r="AB294" i="2" s="1"/>
  <c r="AA295" i="2"/>
  <c r="AA299" i="2"/>
  <c r="AB299" i="2" s="1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U279" i="2"/>
  <c r="T279" i="2"/>
  <c r="T283" i="2"/>
  <c r="T287" i="2"/>
  <c r="T289" i="2"/>
  <c r="T291" i="2"/>
  <c r="T293" i="2"/>
  <c r="T294" i="2"/>
  <c r="U294" i="2" s="1"/>
  <c r="T295" i="2"/>
  <c r="T299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N279" i="2"/>
  <c r="M279" i="2"/>
  <c r="M283" i="2"/>
  <c r="M287" i="2"/>
  <c r="M289" i="2"/>
  <c r="M291" i="2"/>
  <c r="M293" i="2"/>
  <c r="M294" i="2"/>
  <c r="N294" i="2" s="1"/>
  <c r="M295" i="2"/>
  <c r="M299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G279" i="2"/>
  <c r="F279" i="2"/>
  <c r="F283" i="2"/>
  <c r="F287" i="2"/>
  <c r="F289" i="2"/>
  <c r="F291" i="2"/>
  <c r="F293" i="2"/>
  <c r="F294" i="2"/>
  <c r="G294" i="2" s="1"/>
  <c r="F295" i="2"/>
  <c r="F299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O154" i="1"/>
  <c r="O153" i="1"/>
  <c r="O152" i="1"/>
  <c r="O151" i="1"/>
  <c r="O150" i="1"/>
  <c r="O149" i="1"/>
  <c r="N154" i="1"/>
  <c r="O147" i="1"/>
  <c r="O146" i="1"/>
  <c r="O145" i="1"/>
  <c r="O144" i="1"/>
  <c r="O143" i="1"/>
  <c r="O142" i="1"/>
  <c r="N147" i="1"/>
  <c r="I154" i="1"/>
  <c r="I153" i="1"/>
  <c r="I152" i="1"/>
  <c r="I151" i="1"/>
  <c r="I150" i="1"/>
  <c r="I149" i="1"/>
  <c r="H154" i="1"/>
  <c r="I147" i="1"/>
  <c r="I146" i="1"/>
  <c r="I145" i="1"/>
  <c r="I144" i="1"/>
  <c r="I143" i="1"/>
  <c r="I142" i="1"/>
  <c r="H147" i="1"/>
  <c r="D204" i="1"/>
  <c r="D198" i="1"/>
  <c r="D199" i="1"/>
  <c r="D200" i="1"/>
  <c r="D201" i="1"/>
  <c r="D202" i="1"/>
  <c r="D203" i="1"/>
  <c r="D197" i="1"/>
  <c r="C204" i="1"/>
  <c r="D195" i="1"/>
  <c r="D189" i="1"/>
  <c r="D190" i="1"/>
  <c r="D191" i="1"/>
  <c r="D192" i="1"/>
  <c r="D193" i="1"/>
  <c r="D194" i="1"/>
  <c r="D188" i="1"/>
  <c r="C195" i="1"/>
  <c r="N287" i="2" l="1"/>
  <c r="G289" i="2"/>
  <c r="U289" i="2"/>
  <c r="G287" i="2"/>
  <c r="U287" i="2"/>
  <c r="G283" i="2"/>
  <c r="U283" i="2"/>
  <c r="AB283" i="2"/>
  <c r="AI294" i="2"/>
  <c r="F298" i="2"/>
  <c r="F282" i="2"/>
  <c r="G282" i="2" s="1"/>
  <c r="G295" i="2"/>
  <c r="M298" i="2"/>
  <c r="M282" i="2"/>
  <c r="N295" i="2"/>
  <c r="T298" i="2"/>
  <c r="T282" i="2"/>
  <c r="U295" i="2"/>
  <c r="F302" i="2"/>
  <c r="F297" i="2"/>
  <c r="G297" i="2" s="1"/>
  <c r="F286" i="2"/>
  <c r="F281" i="2"/>
  <c r="M302" i="2"/>
  <c r="M297" i="2"/>
  <c r="N297" i="2" s="1"/>
  <c r="M286" i="2"/>
  <c r="M281" i="2"/>
  <c r="N281" i="2" s="1"/>
  <c r="T302" i="2"/>
  <c r="U302" i="2" s="1"/>
  <c r="T297" i="2"/>
  <c r="U297" i="2" s="1"/>
  <c r="T286" i="2"/>
  <c r="T281" i="2"/>
  <c r="AI282" i="2"/>
  <c r="F301" i="2"/>
  <c r="G301" i="2" s="1"/>
  <c r="F290" i="2"/>
  <c r="F285" i="2"/>
  <c r="M301" i="2"/>
  <c r="M290" i="2"/>
  <c r="M285" i="2"/>
  <c r="T301" i="2"/>
  <c r="T290" i="2"/>
  <c r="T285" i="2"/>
  <c r="U285" i="2" s="1"/>
  <c r="AP299" i="2"/>
  <c r="AP295" i="2"/>
  <c r="AP291" i="2"/>
  <c r="AP287" i="2"/>
  <c r="AP283" i="2"/>
  <c r="F300" i="2"/>
  <c r="G300" i="2" s="1"/>
  <c r="F296" i="2"/>
  <c r="G296" i="2" s="1"/>
  <c r="F292" i="2"/>
  <c r="G292" i="2" s="1"/>
  <c r="F288" i="2"/>
  <c r="G288" i="2" s="1"/>
  <c r="F284" i="2"/>
  <c r="G284" i="2" s="1"/>
  <c r="F280" i="2"/>
  <c r="G280" i="2" s="1"/>
  <c r="M300" i="2"/>
  <c r="N300" i="2" s="1"/>
  <c r="M296" i="2"/>
  <c r="N296" i="2" s="1"/>
  <c r="M292" i="2"/>
  <c r="N292" i="2" s="1"/>
  <c r="M288" i="2"/>
  <c r="N288" i="2" s="1"/>
  <c r="M284" i="2"/>
  <c r="N284" i="2" s="1"/>
  <c r="M280" i="2"/>
  <c r="N280" i="2" s="1"/>
  <c r="T300" i="2"/>
  <c r="U300" i="2" s="1"/>
  <c r="T296" i="2"/>
  <c r="U296" i="2" s="1"/>
  <c r="T292" i="2"/>
  <c r="U292" i="2" s="1"/>
  <c r="T288" i="2"/>
  <c r="U288" i="2" s="1"/>
  <c r="T284" i="2"/>
  <c r="U284" i="2" s="1"/>
  <c r="T280" i="2"/>
  <c r="U280" i="2" s="1"/>
  <c r="G291" i="3"/>
  <c r="G287" i="3"/>
  <c r="F302" i="3"/>
  <c r="G302" i="3" s="1"/>
  <c r="F298" i="3"/>
  <c r="G298" i="3" s="1"/>
  <c r="F294" i="3"/>
  <c r="G294" i="3" s="1"/>
  <c r="F290" i="3"/>
  <c r="G290" i="3" s="1"/>
  <c r="F286" i="3"/>
  <c r="G286" i="3" s="1"/>
  <c r="F282" i="3"/>
  <c r="G282" i="3" s="1"/>
  <c r="U299" i="3"/>
  <c r="U291" i="3"/>
  <c r="U287" i="3"/>
  <c r="U283" i="3"/>
  <c r="AJ299" i="3"/>
  <c r="AJ295" i="3"/>
  <c r="AJ291" i="3"/>
  <c r="AJ287" i="3"/>
  <c r="AJ283" i="3"/>
  <c r="T302" i="3"/>
  <c r="U302" i="3" s="1"/>
  <c r="T298" i="3"/>
  <c r="U298" i="3" s="1"/>
  <c r="T294" i="3"/>
  <c r="U294" i="3" s="1"/>
  <c r="T290" i="3"/>
  <c r="U290" i="3" s="1"/>
  <c r="T286" i="3"/>
  <c r="U286" i="3" s="1"/>
  <c r="T282" i="3"/>
  <c r="U282" i="3" s="1"/>
  <c r="N299" i="3"/>
  <c r="N295" i="3"/>
  <c r="N291" i="3"/>
  <c r="N287" i="3"/>
  <c r="N283" i="3"/>
  <c r="AB299" i="3"/>
  <c r="AB295" i="3"/>
  <c r="AB291" i="3"/>
  <c r="AB287" i="3"/>
  <c r="AB283" i="3"/>
  <c r="N290" i="2" l="1"/>
  <c r="N291" i="2"/>
  <c r="U298" i="2"/>
  <c r="U290" i="2"/>
  <c r="U291" i="2"/>
  <c r="N301" i="2"/>
  <c r="N302" i="2"/>
  <c r="G302" i="2"/>
  <c r="G293" i="2"/>
  <c r="U299" i="2"/>
  <c r="U301" i="2"/>
  <c r="G285" i="2"/>
  <c r="U281" i="2"/>
  <c r="G281" i="2"/>
  <c r="N282" i="2"/>
  <c r="G298" i="2"/>
  <c r="U293" i="2"/>
  <c r="N283" i="2"/>
  <c r="N285" i="2"/>
  <c r="G290" i="2"/>
  <c r="G291" i="2"/>
  <c r="U286" i="2"/>
  <c r="N286" i="2"/>
  <c r="G286" i="2"/>
  <c r="U282" i="2"/>
  <c r="N298" i="2"/>
  <c r="N289" i="2"/>
  <c r="N299" i="2"/>
  <c r="N293" i="2"/>
  <c r="G299" i="2"/>
  <c r="G295" i="3"/>
  <c r="U295" i="3"/>
  <c r="G283" i="3"/>
  <c r="G299" i="3"/>
  <c r="AI6" i="4" l="1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5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4" i="4"/>
  <c r="F5" i="4"/>
  <c r="F6" i="4"/>
  <c r="F7" i="4"/>
  <c r="F8" i="4"/>
  <c r="F9" i="4"/>
  <c r="G9" i="4" s="1"/>
  <c r="F10" i="4"/>
  <c r="F11" i="4"/>
  <c r="F12" i="4"/>
  <c r="F13" i="4"/>
  <c r="G13" i="4" s="1"/>
  <c r="F14" i="4"/>
  <c r="F15" i="4"/>
  <c r="F16" i="4"/>
  <c r="F17" i="4"/>
  <c r="G17" i="4" s="1"/>
  <c r="F18" i="4"/>
  <c r="F19" i="4"/>
  <c r="F20" i="4"/>
  <c r="F21" i="4"/>
  <c r="G21" i="4" s="1"/>
  <c r="F22" i="4"/>
  <c r="F23" i="4"/>
  <c r="F24" i="4"/>
  <c r="F25" i="4"/>
  <c r="G25" i="4" s="1"/>
  <c r="F26" i="4"/>
  <c r="F27" i="4"/>
  <c r="F28" i="4"/>
  <c r="F29" i="4"/>
  <c r="G29" i="4" s="1"/>
  <c r="F30" i="4"/>
  <c r="F31" i="4"/>
  <c r="F32" i="4"/>
  <c r="F33" i="4"/>
  <c r="F34" i="4"/>
  <c r="F35" i="4"/>
  <c r="F36" i="4"/>
  <c r="F37" i="4"/>
  <c r="G37" i="4" s="1"/>
  <c r="F38" i="4"/>
  <c r="F39" i="4"/>
  <c r="F40" i="4"/>
  <c r="F41" i="4"/>
  <c r="G41" i="4" s="1"/>
  <c r="F42" i="4"/>
  <c r="F43" i="4"/>
  <c r="F44" i="4"/>
  <c r="F45" i="4"/>
  <c r="G45" i="4" s="1"/>
  <c r="F46" i="4"/>
  <c r="F47" i="4"/>
  <c r="F48" i="4"/>
  <c r="F49" i="4"/>
  <c r="F50" i="4"/>
  <c r="F51" i="4"/>
  <c r="F52" i="4"/>
  <c r="F53" i="4"/>
  <c r="G53" i="4" s="1"/>
  <c r="F54" i="4"/>
  <c r="F55" i="4"/>
  <c r="F56" i="4"/>
  <c r="F57" i="4"/>
  <c r="G57" i="4" s="1"/>
  <c r="F58" i="4"/>
  <c r="F59" i="4"/>
  <c r="F60" i="4"/>
  <c r="F61" i="4"/>
  <c r="G61" i="4" s="1"/>
  <c r="F62" i="4"/>
  <c r="F63" i="4"/>
  <c r="F64" i="4"/>
  <c r="F65" i="4"/>
  <c r="F66" i="4"/>
  <c r="F67" i="4"/>
  <c r="F68" i="4"/>
  <c r="F69" i="4"/>
  <c r="G69" i="4" s="1"/>
  <c r="F70" i="4"/>
  <c r="F71" i="4"/>
  <c r="F72" i="4"/>
  <c r="F73" i="4"/>
  <c r="G73" i="4" s="1"/>
  <c r="F74" i="4"/>
  <c r="F75" i="4"/>
  <c r="F76" i="4"/>
  <c r="F77" i="4"/>
  <c r="G77" i="4" s="1"/>
  <c r="F78" i="4"/>
  <c r="F79" i="4"/>
  <c r="F80" i="4"/>
  <c r="F81" i="4"/>
  <c r="F82" i="4"/>
  <c r="F83" i="4"/>
  <c r="F84" i="4"/>
  <c r="F85" i="4"/>
  <c r="G85" i="4" s="1"/>
  <c r="F86" i="4"/>
  <c r="F87" i="4"/>
  <c r="F88" i="4"/>
  <c r="F89" i="4"/>
  <c r="G89" i="4" s="1"/>
  <c r="F90" i="4"/>
  <c r="F91" i="4"/>
  <c r="F92" i="4"/>
  <c r="F93" i="4"/>
  <c r="G93" i="4" s="1"/>
  <c r="F94" i="4"/>
  <c r="F95" i="4"/>
  <c r="F96" i="4"/>
  <c r="F97" i="4"/>
  <c r="F98" i="4"/>
  <c r="F99" i="4"/>
  <c r="F100" i="4"/>
  <c r="F101" i="4"/>
  <c r="G101" i="4" s="1"/>
  <c r="F102" i="4"/>
  <c r="F103" i="4"/>
  <c r="F104" i="4"/>
  <c r="F105" i="4"/>
  <c r="G105" i="4" s="1"/>
  <c r="F106" i="4"/>
  <c r="F107" i="4"/>
  <c r="F108" i="4"/>
  <c r="F109" i="4"/>
  <c r="G109" i="4" s="1"/>
  <c r="F110" i="4"/>
  <c r="F111" i="4"/>
  <c r="F112" i="4"/>
  <c r="F113" i="4"/>
  <c r="F114" i="4"/>
  <c r="F115" i="4"/>
  <c r="F116" i="4"/>
  <c r="F117" i="4"/>
  <c r="G117" i="4" s="1"/>
  <c r="F118" i="4"/>
  <c r="F119" i="4"/>
  <c r="F120" i="4"/>
  <c r="F121" i="4"/>
  <c r="G121" i="4" s="1"/>
  <c r="F122" i="4"/>
  <c r="F123" i="4"/>
  <c r="F124" i="4"/>
  <c r="F125" i="4"/>
  <c r="G125" i="4" s="1"/>
  <c r="F126" i="4"/>
  <c r="F127" i="4"/>
  <c r="F128" i="4"/>
  <c r="F129" i="4"/>
  <c r="F130" i="4"/>
  <c r="F131" i="4"/>
  <c r="F132" i="4"/>
  <c r="F133" i="4"/>
  <c r="G133" i="4" s="1"/>
  <c r="F134" i="4"/>
  <c r="F135" i="4"/>
  <c r="F136" i="4"/>
  <c r="F137" i="4"/>
  <c r="G137" i="4" s="1"/>
  <c r="F138" i="4"/>
  <c r="F139" i="4"/>
  <c r="F140" i="4"/>
  <c r="F141" i="4"/>
  <c r="G141" i="4" s="1"/>
  <c r="F142" i="4"/>
  <c r="F143" i="4"/>
  <c r="F144" i="4"/>
  <c r="F145" i="4"/>
  <c r="F146" i="4"/>
  <c r="F147" i="4"/>
  <c r="F148" i="4"/>
  <c r="F149" i="4"/>
  <c r="G149" i="4" s="1"/>
  <c r="F150" i="4"/>
  <c r="F151" i="4"/>
  <c r="F152" i="4"/>
  <c r="F153" i="4"/>
  <c r="G153" i="4" s="1"/>
  <c r="F154" i="4"/>
  <c r="F155" i="4"/>
  <c r="F156" i="4"/>
  <c r="F157" i="4"/>
  <c r="G157" i="4" s="1"/>
  <c r="F158" i="4"/>
  <c r="F159" i="4"/>
  <c r="F160" i="4"/>
  <c r="F161" i="4"/>
  <c r="F162" i="4"/>
  <c r="F163" i="4"/>
  <c r="F164" i="4"/>
  <c r="F165" i="4"/>
  <c r="G165" i="4" s="1"/>
  <c r="F166" i="4"/>
  <c r="F167" i="4"/>
  <c r="F168" i="4"/>
  <c r="F169" i="4"/>
  <c r="G169" i="4" s="1"/>
  <c r="F170" i="4"/>
  <c r="F171" i="4"/>
  <c r="F172" i="4"/>
  <c r="F173" i="4"/>
  <c r="G173" i="4" s="1"/>
  <c r="F174" i="4"/>
  <c r="F175" i="4"/>
  <c r="F176" i="4"/>
  <c r="F177" i="4"/>
  <c r="F178" i="4"/>
  <c r="F179" i="4"/>
  <c r="F180" i="4"/>
  <c r="F181" i="4"/>
  <c r="G181" i="4" s="1"/>
  <c r="F182" i="4"/>
  <c r="F183" i="4"/>
  <c r="F184" i="4"/>
  <c r="F185" i="4"/>
  <c r="G185" i="4" s="1"/>
  <c r="F186" i="4"/>
  <c r="F187" i="4"/>
  <c r="F188" i="4"/>
  <c r="F189" i="4"/>
  <c r="G189" i="4" s="1"/>
  <c r="F190" i="4"/>
  <c r="F191" i="4"/>
  <c r="F192" i="4"/>
  <c r="F193" i="4"/>
  <c r="F194" i="4"/>
  <c r="F195" i="4"/>
  <c r="F196" i="4"/>
  <c r="F197" i="4"/>
  <c r="G197" i="4" s="1"/>
  <c r="F198" i="4"/>
  <c r="F199" i="4"/>
  <c r="F200" i="4"/>
  <c r="F201" i="4"/>
  <c r="G201" i="4" s="1"/>
  <c r="F202" i="4"/>
  <c r="F203" i="4"/>
  <c r="F204" i="4"/>
  <c r="F205" i="4"/>
  <c r="G205" i="4" s="1"/>
  <c r="F206" i="4"/>
  <c r="F207" i="4"/>
  <c r="F208" i="4"/>
  <c r="F209" i="4"/>
  <c r="F210" i="4"/>
  <c r="F211" i="4"/>
  <c r="F212" i="4"/>
  <c r="F213" i="4"/>
  <c r="G213" i="4" s="1"/>
  <c r="F214" i="4"/>
  <c r="F215" i="4"/>
  <c r="F216" i="4"/>
  <c r="F217" i="4"/>
  <c r="G217" i="4" s="1"/>
  <c r="F218" i="4"/>
  <c r="F219" i="4"/>
  <c r="F220" i="4"/>
  <c r="F221" i="4"/>
  <c r="G221" i="4" s="1"/>
  <c r="F222" i="4"/>
  <c r="F223" i="4"/>
  <c r="F224" i="4"/>
  <c r="F225" i="4"/>
  <c r="F226" i="4"/>
  <c r="F227" i="4"/>
  <c r="F228" i="4"/>
  <c r="F229" i="4"/>
  <c r="G229" i="4" s="1"/>
  <c r="F230" i="4"/>
  <c r="F231" i="4"/>
  <c r="F232" i="4"/>
  <c r="F233" i="4"/>
  <c r="G233" i="4" s="1"/>
  <c r="F234" i="4"/>
  <c r="F235" i="4"/>
  <c r="F236" i="4"/>
  <c r="F237" i="4"/>
  <c r="G237" i="4" s="1"/>
  <c r="F238" i="4"/>
  <c r="F239" i="4"/>
  <c r="F240" i="4"/>
  <c r="F241" i="4"/>
  <c r="F242" i="4"/>
  <c r="F243" i="4"/>
  <c r="F244" i="4"/>
  <c r="F245" i="4"/>
  <c r="G245" i="4" s="1"/>
  <c r="F246" i="4"/>
  <c r="F247" i="4"/>
  <c r="F248" i="4"/>
  <c r="F249" i="4"/>
  <c r="G249" i="4" s="1"/>
  <c r="F250" i="4"/>
  <c r="F251" i="4"/>
  <c r="F252" i="4"/>
  <c r="F253" i="4"/>
  <c r="G253" i="4" s="1"/>
  <c r="F254" i="4"/>
  <c r="F255" i="4"/>
  <c r="F256" i="4"/>
  <c r="F257" i="4"/>
  <c r="F258" i="4"/>
  <c r="F259" i="4"/>
  <c r="F260" i="4"/>
  <c r="F261" i="4"/>
  <c r="G261" i="4" s="1"/>
  <c r="F262" i="4"/>
  <c r="F263" i="4"/>
  <c r="F264" i="4"/>
  <c r="F265" i="4"/>
  <c r="G265" i="4" s="1"/>
  <c r="F266" i="4"/>
  <c r="F267" i="4"/>
  <c r="F268" i="4"/>
  <c r="F269" i="4"/>
  <c r="G269" i="4" s="1"/>
  <c r="F270" i="4"/>
  <c r="F271" i="4"/>
  <c r="F272" i="4"/>
  <c r="F273" i="4"/>
  <c r="F274" i="4"/>
  <c r="F275" i="4"/>
  <c r="F276" i="4"/>
  <c r="F277" i="4"/>
  <c r="G277" i="4" s="1"/>
  <c r="F278" i="4"/>
  <c r="G33" i="4"/>
  <c r="G49" i="4"/>
  <c r="G65" i="4"/>
  <c r="G81" i="4"/>
  <c r="G97" i="4"/>
  <c r="G113" i="4"/>
  <c r="G129" i="4"/>
  <c r="G145" i="4"/>
  <c r="G161" i="4"/>
  <c r="G177" i="4"/>
  <c r="G193" i="4"/>
  <c r="G209" i="4"/>
  <c r="G225" i="4"/>
  <c r="G241" i="4"/>
  <c r="G257" i="4"/>
  <c r="G273" i="4"/>
  <c r="G6" i="4"/>
  <c r="G7" i="4"/>
  <c r="G8" i="4"/>
  <c r="G11" i="4"/>
  <c r="G12" i="4"/>
  <c r="G15" i="4"/>
  <c r="G16" i="4"/>
  <c r="G19" i="4"/>
  <c r="G20" i="4"/>
  <c r="G23" i="4"/>
  <c r="G24" i="4"/>
  <c r="G27" i="4"/>
  <c r="G28" i="4"/>
  <c r="G31" i="4"/>
  <c r="G32" i="4"/>
  <c r="G35" i="4"/>
  <c r="G36" i="4"/>
  <c r="G39" i="4"/>
  <c r="G40" i="4"/>
  <c r="G43" i="4"/>
  <c r="G44" i="4"/>
  <c r="G47" i="4"/>
  <c r="G48" i="4"/>
  <c r="G51" i="4"/>
  <c r="G52" i="4"/>
  <c r="G55" i="4"/>
  <c r="G56" i="4"/>
  <c r="G59" i="4"/>
  <c r="G60" i="4"/>
  <c r="G63" i="4"/>
  <c r="G64" i="4"/>
  <c r="G67" i="4"/>
  <c r="G68" i="4"/>
  <c r="G71" i="4"/>
  <c r="G72" i="4"/>
  <c r="G75" i="4"/>
  <c r="G76" i="4"/>
  <c r="G79" i="4"/>
  <c r="G80" i="4"/>
  <c r="G83" i="4"/>
  <c r="G84" i="4"/>
  <c r="G87" i="4"/>
  <c r="G88" i="4"/>
  <c r="G91" i="4"/>
  <c r="G92" i="4"/>
  <c r="G95" i="4"/>
  <c r="G96" i="4"/>
  <c r="G99" i="4"/>
  <c r="G100" i="4"/>
  <c r="G103" i="4"/>
  <c r="G104" i="4"/>
  <c r="G107" i="4"/>
  <c r="G108" i="4"/>
  <c r="G111" i="4"/>
  <c r="G112" i="4"/>
  <c r="G115" i="4"/>
  <c r="G116" i="4"/>
  <c r="G119" i="4"/>
  <c r="G120" i="4"/>
  <c r="G123" i="4"/>
  <c r="G124" i="4"/>
  <c r="G127" i="4"/>
  <c r="G128" i="4"/>
  <c r="G131" i="4"/>
  <c r="G132" i="4"/>
  <c r="G135" i="4"/>
  <c r="G136" i="4"/>
  <c r="G139" i="4"/>
  <c r="G140" i="4"/>
  <c r="G143" i="4"/>
  <c r="G144" i="4"/>
  <c r="G147" i="4"/>
  <c r="G148" i="4"/>
  <c r="G151" i="4"/>
  <c r="G152" i="4"/>
  <c r="G155" i="4"/>
  <c r="G156" i="4"/>
  <c r="G159" i="4"/>
  <c r="G160" i="4"/>
  <c r="G163" i="4"/>
  <c r="G164" i="4"/>
  <c r="G167" i="4"/>
  <c r="G168" i="4"/>
  <c r="G171" i="4"/>
  <c r="G172" i="4"/>
  <c r="G175" i="4"/>
  <c r="G176" i="4"/>
  <c r="G179" i="4"/>
  <c r="G180" i="4"/>
  <c r="G183" i="4"/>
  <c r="G184" i="4"/>
  <c r="G187" i="4"/>
  <c r="G188" i="4"/>
  <c r="G191" i="4"/>
  <c r="G192" i="4"/>
  <c r="G195" i="4"/>
  <c r="G196" i="4"/>
  <c r="G199" i="4"/>
  <c r="G200" i="4"/>
  <c r="G203" i="4"/>
  <c r="G204" i="4"/>
  <c r="G207" i="4"/>
  <c r="G208" i="4"/>
  <c r="G211" i="4"/>
  <c r="G212" i="4"/>
  <c r="G215" i="4"/>
  <c r="G216" i="4"/>
  <c r="G219" i="4"/>
  <c r="G220" i="4"/>
  <c r="G223" i="4"/>
  <c r="G224" i="4"/>
  <c r="G227" i="4"/>
  <c r="G228" i="4"/>
  <c r="G231" i="4"/>
  <c r="G232" i="4"/>
  <c r="G235" i="4"/>
  <c r="G236" i="4"/>
  <c r="G239" i="4"/>
  <c r="G240" i="4"/>
  <c r="G243" i="4"/>
  <c r="G244" i="4"/>
  <c r="G247" i="4"/>
  <c r="G248" i="4"/>
  <c r="G251" i="4"/>
  <c r="G252" i="4"/>
  <c r="G255" i="4"/>
  <c r="G256" i="4"/>
  <c r="G259" i="4"/>
  <c r="G260" i="4"/>
  <c r="G263" i="4"/>
  <c r="G264" i="4"/>
  <c r="G267" i="4"/>
  <c r="G268" i="4"/>
  <c r="G271" i="4"/>
  <c r="G272" i="4"/>
  <c r="G275" i="4"/>
  <c r="G276" i="4"/>
  <c r="F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201" i="4"/>
  <c r="AM202" i="4"/>
  <c r="AM203" i="4"/>
  <c r="AM204" i="4"/>
  <c r="AM205" i="4"/>
  <c r="AM206" i="4"/>
  <c r="AM207" i="4"/>
  <c r="AM208" i="4"/>
  <c r="AM209" i="4"/>
  <c r="AM210" i="4"/>
  <c r="AM211" i="4"/>
  <c r="AM212" i="4"/>
  <c r="AM213" i="4"/>
  <c r="AM214" i="4"/>
  <c r="AM215" i="4"/>
  <c r="AM216" i="4"/>
  <c r="AM217" i="4"/>
  <c r="AM218" i="4"/>
  <c r="AM219" i="4"/>
  <c r="AM220" i="4"/>
  <c r="AM221" i="4"/>
  <c r="AM222" i="4"/>
  <c r="AM223" i="4"/>
  <c r="AM224" i="4"/>
  <c r="AM225" i="4"/>
  <c r="AM226" i="4"/>
  <c r="AM227" i="4"/>
  <c r="AM228" i="4"/>
  <c r="AM229" i="4"/>
  <c r="AM230" i="4"/>
  <c r="AM231" i="4"/>
  <c r="AM232" i="4"/>
  <c r="AM233" i="4"/>
  <c r="AM234" i="4"/>
  <c r="AM235" i="4"/>
  <c r="AM236" i="4"/>
  <c r="AM237" i="4"/>
  <c r="AM238" i="4"/>
  <c r="AM239" i="4"/>
  <c r="AM240" i="4"/>
  <c r="AM241" i="4"/>
  <c r="AM242" i="4"/>
  <c r="AM243" i="4"/>
  <c r="AM244" i="4"/>
  <c r="AM245" i="4"/>
  <c r="AM246" i="4"/>
  <c r="AM247" i="4"/>
  <c r="AM248" i="4"/>
  <c r="AM249" i="4"/>
  <c r="AM250" i="4"/>
  <c r="AM251" i="4"/>
  <c r="AM252" i="4"/>
  <c r="AM253" i="4"/>
  <c r="AM254" i="4"/>
  <c r="AM255" i="4"/>
  <c r="AM256" i="4"/>
  <c r="AM257" i="4"/>
  <c r="AM258" i="4"/>
  <c r="AM259" i="4"/>
  <c r="AM260" i="4"/>
  <c r="AM261" i="4"/>
  <c r="AM262" i="4"/>
  <c r="AM263" i="4"/>
  <c r="AM264" i="4"/>
  <c r="AM265" i="4"/>
  <c r="AM266" i="4"/>
  <c r="AM267" i="4"/>
  <c r="AM268" i="4"/>
  <c r="AM269" i="4"/>
  <c r="AM270" i="4"/>
  <c r="AM271" i="4"/>
  <c r="AM272" i="4"/>
  <c r="AM273" i="4"/>
  <c r="AM274" i="4"/>
  <c r="AM275" i="4"/>
  <c r="AM276" i="4"/>
  <c r="AM277" i="4"/>
  <c r="AM278" i="4"/>
  <c r="AM4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3" i="4"/>
  <c r="AG278" i="4"/>
  <c r="AG277" i="4"/>
  <c r="AG276" i="4"/>
  <c r="AG275" i="4"/>
  <c r="AG274" i="4"/>
  <c r="AG273" i="4"/>
  <c r="AG272" i="4"/>
  <c r="AG271" i="4"/>
  <c r="AG270" i="4"/>
  <c r="AG269" i="4"/>
  <c r="AG268" i="4"/>
  <c r="AG267" i="4"/>
  <c r="AG266" i="4"/>
  <c r="AG265" i="4"/>
  <c r="AG264" i="4"/>
  <c r="AG263" i="4"/>
  <c r="AG262" i="4"/>
  <c r="AG261" i="4"/>
  <c r="AG260" i="4"/>
  <c r="AG259" i="4"/>
  <c r="AG258" i="4"/>
  <c r="AG257" i="4"/>
  <c r="AG256" i="4"/>
  <c r="AG255" i="4"/>
  <c r="AG254" i="4"/>
  <c r="AG253" i="4"/>
  <c r="AG252" i="4"/>
  <c r="AG251" i="4"/>
  <c r="AG250" i="4"/>
  <c r="AG249" i="4"/>
  <c r="AG248" i="4"/>
  <c r="AG247" i="4"/>
  <c r="AG246" i="4"/>
  <c r="AG245" i="4"/>
  <c r="AG244" i="4"/>
  <c r="AG243" i="4"/>
  <c r="AG242" i="4"/>
  <c r="AG241" i="4"/>
  <c r="AG240" i="4"/>
  <c r="AG239" i="4"/>
  <c r="AG238" i="4"/>
  <c r="AG237" i="4"/>
  <c r="AG236" i="4"/>
  <c r="AG235" i="4"/>
  <c r="AG234" i="4"/>
  <c r="AG233" i="4"/>
  <c r="AG232" i="4"/>
  <c r="AG231" i="4"/>
  <c r="AG230" i="4"/>
  <c r="AG229" i="4"/>
  <c r="AG228" i="4"/>
  <c r="AG227" i="4"/>
  <c r="AG226" i="4"/>
  <c r="AG225" i="4"/>
  <c r="AG224" i="4"/>
  <c r="AG223" i="4"/>
  <c r="AG222" i="4"/>
  <c r="AG221" i="4"/>
  <c r="AG220" i="4"/>
  <c r="AG219" i="4"/>
  <c r="AG218" i="4"/>
  <c r="AG217" i="4"/>
  <c r="AG216" i="4"/>
  <c r="AG215" i="4"/>
  <c r="AG214" i="4"/>
  <c r="AG213" i="4"/>
  <c r="AG212" i="4"/>
  <c r="AG211" i="4"/>
  <c r="AG210" i="4"/>
  <c r="AG209" i="4"/>
  <c r="AG208" i="4"/>
  <c r="AG207" i="4"/>
  <c r="AG206" i="4"/>
  <c r="AG205" i="4"/>
  <c r="AG204" i="4"/>
  <c r="AG203" i="4"/>
  <c r="AG202" i="4"/>
  <c r="AG201" i="4"/>
  <c r="AG200" i="4"/>
  <c r="AG199" i="4"/>
  <c r="AG198" i="4"/>
  <c r="AG197" i="4"/>
  <c r="AG196" i="4"/>
  <c r="AG195" i="4"/>
  <c r="AG194" i="4"/>
  <c r="AG193" i="4"/>
  <c r="AG192" i="4"/>
  <c r="AG191" i="4"/>
  <c r="AG190" i="4"/>
  <c r="AG189" i="4"/>
  <c r="AG188" i="4"/>
  <c r="AG187" i="4"/>
  <c r="AG186" i="4"/>
  <c r="AG185" i="4"/>
  <c r="AG184" i="4"/>
  <c r="AG183" i="4"/>
  <c r="AG182" i="4"/>
  <c r="AG181" i="4"/>
  <c r="AG180" i="4"/>
  <c r="AG179" i="4"/>
  <c r="AG178" i="4"/>
  <c r="AG177" i="4"/>
  <c r="AG176" i="4"/>
  <c r="AG175" i="4"/>
  <c r="AG174" i="4"/>
  <c r="AG173" i="4"/>
  <c r="AG172" i="4"/>
  <c r="AG171" i="4"/>
  <c r="AG170" i="4"/>
  <c r="AG169" i="4"/>
  <c r="AG168" i="4"/>
  <c r="AG167" i="4"/>
  <c r="AG166" i="4"/>
  <c r="AG165" i="4"/>
  <c r="AG164" i="4"/>
  <c r="AG163" i="4"/>
  <c r="AG162" i="4"/>
  <c r="AG161" i="4"/>
  <c r="AG160" i="4"/>
  <c r="AG159" i="4"/>
  <c r="AG158" i="4"/>
  <c r="AG157" i="4"/>
  <c r="AG156" i="4"/>
  <c r="AG155" i="4"/>
  <c r="AG154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G4" i="4"/>
  <c r="Z278" i="4"/>
  <c r="Z277" i="4"/>
  <c r="Z276" i="4"/>
  <c r="Z275" i="4"/>
  <c r="Z274" i="4"/>
  <c r="Z273" i="4"/>
  <c r="Z272" i="4"/>
  <c r="Z271" i="4"/>
  <c r="Z270" i="4"/>
  <c r="Z269" i="4"/>
  <c r="Z268" i="4"/>
  <c r="Z267" i="4"/>
  <c r="Z266" i="4"/>
  <c r="Z265" i="4"/>
  <c r="Z264" i="4"/>
  <c r="Z263" i="4"/>
  <c r="Z262" i="4"/>
  <c r="Z261" i="4"/>
  <c r="Z260" i="4"/>
  <c r="Z259" i="4"/>
  <c r="Z258" i="4"/>
  <c r="Z257" i="4"/>
  <c r="Z256" i="4"/>
  <c r="Z255" i="4"/>
  <c r="Z254" i="4"/>
  <c r="Z253" i="4"/>
  <c r="Z252" i="4"/>
  <c r="Z251" i="4"/>
  <c r="Z250" i="4"/>
  <c r="Z249" i="4"/>
  <c r="Z248" i="4"/>
  <c r="Z247" i="4"/>
  <c r="Z246" i="4"/>
  <c r="Z245" i="4"/>
  <c r="Z244" i="4"/>
  <c r="Z243" i="4"/>
  <c r="Z242" i="4"/>
  <c r="Z241" i="4"/>
  <c r="Z240" i="4"/>
  <c r="Z239" i="4"/>
  <c r="Z238" i="4"/>
  <c r="Z237" i="4"/>
  <c r="Z236" i="4"/>
  <c r="Z235" i="4"/>
  <c r="Z234" i="4"/>
  <c r="Z233" i="4"/>
  <c r="Z232" i="4"/>
  <c r="Z231" i="4"/>
  <c r="Z230" i="4"/>
  <c r="Z229" i="4"/>
  <c r="Z228" i="4"/>
  <c r="Z227" i="4"/>
  <c r="Z226" i="4"/>
  <c r="Z225" i="4"/>
  <c r="Z224" i="4"/>
  <c r="Z223" i="4"/>
  <c r="Z222" i="4"/>
  <c r="Z221" i="4"/>
  <c r="Z220" i="4"/>
  <c r="Z219" i="4"/>
  <c r="Z218" i="4"/>
  <c r="Z217" i="4"/>
  <c r="Z216" i="4"/>
  <c r="Z215" i="4"/>
  <c r="Z214" i="4"/>
  <c r="Z213" i="4"/>
  <c r="Z212" i="4"/>
  <c r="Z211" i="4"/>
  <c r="Z210" i="4"/>
  <c r="Z209" i="4"/>
  <c r="Z208" i="4"/>
  <c r="Z207" i="4"/>
  <c r="Z206" i="4"/>
  <c r="Z205" i="4"/>
  <c r="Z204" i="4"/>
  <c r="Z203" i="4"/>
  <c r="Z202" i="4"/>
  <c r="Z201" i="4"/>
  <c r="Z200" i="4"/>
  <c r="Z199" i="4"/>
  <c r="Z198" i="4"/>
  <c r="Z197" i="4"/>
  <c r="Z196" i="4"/>
  <c r="Z195" i="4"/>
  <c r="Z194" i="4"/>
  <c r="Z193" i="4"/>
  <c r="Z192" i="4"/>
  <c r="Z191" i="4"/>
  <c r="Z190" i="4"/>
  <c r="Z189" i="4"/>
  <c r="Z188" i="4"/>
  <c r="Z187" i="4"/>
  <c r="Z186" i="4"/>
  <c r="Z185" i="4"/>
  <c r="Z184" i="4"/>
  <c r="Z183" i="4"/>
  <c r="Z182" i="4"/>
  <c r="Z181" i="4"/>
  <c r="Z180" i="4"/>
  <c r="Z179" i="4"/>
  <c r="Z178" i="4"/>
  <c r="Z177" i="4"/>
  <c r="Z176" i="4"/>
  <c r="Z175" i="4"/>
  <c r="Z174" i="4"/>
  <c r="Z173" i="4"/>
  <c r="Z172" i="4"/>
  <c r="Z171" i="4"/>
  <c r="Z170" i="4"/>
  <c r="Z169" i="4"/>
  <c r="Z168" i="4"/>
  <c r="Z167" i="4"/>
  <c r="Z166" i="4"/>
  <c r="Z165" i="4"/>
  <c r="Z164" i="4"/>
  <c r="Z163" i="4"/>
  <c r="Z162" i="4"/>
  <c r="Z161" i="4"/>
  <c r="Z160" i="4"/>
  <c r="Z159" i="4"/>
  <c r="Z158" i="4"/>
  <c r="Z157" i="4"/>
  <c r="Z156" i="4"/>
  <c r="Z155" i="4"/>
  <c r="Z154" i="4"/>
  <c r="Z153" i="4"/>
  <c r="Z15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Z117" i="4"/>
  <c r="Z116" i="4"/>
  <c r="Z115" i="4"/>
  <c r="Z114" i="4"/>
  <c r="Z113" i="4"/>
  <c r="Z112" i="4"/>
  <c r="Z111" i="4"/>
  <c r="Z110" i="4"/>
  <c r="Z109" i="4"/>
  <c r="Z108" i="4"/>
  <c r="Z107" i="4"/>
  <c r="Z106" i="4"/>
  <c r="Z105" i="4"/>
  <c r="Z104" i="4"/>
  <c r="Z103" i="4"/>
  <c r="Z102" i="4"/>
  <c r="Z101" i="4"/>
  <c r="Z100" i="4"/>
  <c r="Z99" i="4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Z4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4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3" i="4"/>
  <c r="O31" i="1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5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5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U5" i="3"/>
  <c r="AI4" i="3"/>
  <c r="AA4" i="3"/>
  <c r="T4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5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4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5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4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4" i="3"/>
  <c r="AL5" i="3"/>
  <c r="AL3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4" i="3"/>
  <c r="Z4" i="3"/>
  <c r="S4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3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4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3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4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3" i="3"/>
  <c r="D182" i="1"/>
  <c r="G15" i="2"/>
  <c r="T5" i="2"/>
  <c r="T6" i="2"/>
  <c r="T7" i="2"/>
  <c r="T8" i="2"/>
  <c r="T9" i="2"/>
  <c r="T10" i="2"/>
  <c r="T11" i="2"/>
  <c r="T12" i="2"/>
  <c r="T13" i="2"/>
  <c r="T14" i="2"/>
  <c r="AY4" i="2"/>
  <c r="AY5" i="2"/>
  <c r="AY6" i="2"/>
  <c r="AY7" i="2"/>
  <c r="AY8" i="2"/>
  <c r="AY9" i="2"/>
  <c r="AY10" i="2"/>
  <c r="AY11" i="2"/>
  <c r="AY12" i="2"/>
  <c r="AY13" i="2"/>
  <c r="AY1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0" i="2"/>
  <c r="AU241" i="2"/>
  <c r="AU242" i="2"/>
  <c r="AU243" i="2"/>
  <c r="AU244" i="2"/>
  <c r="AU245" i="2"/>
  <c r="AU246" i="2"/>
  <c r="AU247" i="2"/>
  <c r="AU248" i="2"/>
  <c r="AU249" i="2"/>
  <c r="AU250" i="2"/>
  <c r="AU251" i="2"/>
  <c r="AU252" i="2"/>
  <c r="AU253" i="2"/>
  <c r="AU254" i="2"/>
  <c r="AU255" i="2"/>
  <c r="AU256" i="2"/>
  <c r="AU257" i="2"/>
  <c r="AU258" i="2"/>
  <c r="AU259" i="2"/>
  <c r="AU260" i="2"/>
  <c r="AU261" i="2"/>
  <c r="AU262" i="2"/>
  <c r="AU263" i="2"/>
  <c r="AU264" i="2"/>
  <c r="AU265" i="2"/>
  <c r="AU266" i="2"/>
  <c r="AU267" i="2"/>
  <c r="AU268" i="2"/>
  <c r="AU269" i="2"/>
  <c r="AU270" i="2"/>
  <c r="AU271" i="2"/>
  <c r="AU272" i="2"/>
  <c r="AU273" i="2"/>
  <c r="AU274" i="2"/>
  <c r="AU275" i="2"/>
  <c r="AU276" i="2"/>
  <c r="AU277" i="2"/>
  <c r="AU278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U4" i="2"/>
  <c r="AN4" i="2"/>
  <c r="AT4" i="2"/>
  <c r="AT5" i="2"/>
  <c r="AT6" i="2"/>
  <c r="AT7" i="2"/>
  <c r="AT8" i="2"/>
  <c r="AT9" i="2"/>
  <c r="AT10" i="2"/>
  <c r="AT11" i="2"/>
  <c r="AT12" i="2"/>
  <c r="AT13" i="2"/>
  <c r="AT14" i="2"/>
  <c r="AT3" i="2"/>
  <c r="AM4" i="2"/>
  <c r="AM5" i="2"/>
  <c r="AM6" i="2"/>
  <c r="AM7" i="2"/>
  <c r="AM8" i="2"/>
  <c r="AM9" i="2"/>
  <c r="AM10" i="2"/>
  <c r="AM11" i="2"/>
  <c r="AM12" i="2"/>
  <c r="AM13" i="2"/>
  <c r="AM14" i="2"/>
  <c r="AM3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4" i="2"/>
  <c r="AF4" i="2"/>
  <c r="AF5" i="2"/>
  <c r="AF6" i="2"/>
  <c r="AF7" i="2"/>
  <c r="AF8" i="2"/>
  <c r="AF9" i="2"/>
  <c r="AF10" i="2"/>
  <c r="AF11" i="2"/>
  <c r="AF12" i="2"/>
  <c r="AF13" i="2"/>
  <c r="AF14" i="2"/>
  <c r="AF3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4" i="2"/>
  <c r="Y4" i="2"/>
  <c r="Y5" i="2"/>
  <c r="Y6" i="2"/>
  <c r="Y7" i="2"/>
  <c r="Y8" i="2"/>
  <c r="Y9" i="2"/>
  <c r="Y10" i="2"/>
  <c r="Y11" i="2"/>
  <c r="Y12" i="2"/>
  <c r="Y13" i="2"/>
  <c r="Y14" i="2"/>
  <c r="Y3" i="2"/>
  <c r="D86" i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4" i="2"/>
  <c r="R4" i="2"/>
  <c r="R5" i="2"/>
  <c r="R6" i="2"/>
  <c r="R7" i="2"/>
  <c r="R8" i="2"/>
  <c r="R9" i="2"/>
  <c r="R10" i="2"/>
  <c r="R11" i="2"/>
  <c r="R12" i="2"/>
  <c r="R13" i="2"/>
  <c r="R14" i="2"/>
  <c r="R3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4" i="2"/>
  <c r="K4" i="2"/>
  <c r="K5" i="2"/>
  <c r="K6" i="2"/>
  <c r="K7" i="2"/>
  <c r="K8" i="2"/>
  <c r="K9" i="2"/>
  <c r="K10" i="2"/>
  <c r="K11" i="2"/>
  <c r="K12" i="2"/>
  <c r="K13" i="2"/>
  <c r="K14" i="2"/>
  <c r="K3" i="2"/>
  <c r="D4" i="2"/>
  <c r="D5" i="2"/>
  <c r="D6" i="2"/>
  <c r="D7" i="2"/>
  <c r="D8" i="2"/>
  <c r="D9" i="2"/>
  <c r="D10" i="2"/>
  <c r="D11" i="2"/>
  <c r="D12" i="2"/>
  <c r="D13" i="2"/>
  <c r="D14" i="2"/>
  <c r="D3" i="2"/>
  <c r="O140" i="1"/>
  <c r="O136" i="1"/>
  <c r="O137" i="1"/>
  <c r="O138" i="1"/>
  <c r="O139" i="1"/>
  <c r="O135" i="1"/>
  <c r="I140" i="1"/>
  <c r="I136" i="1"/>
  <c r="I137" i="1"/>
  <c r="I138" i="1"/>
  <c r="I139" i="1"/>
  <c r="I135" i="1"/>
  <c r="N140" i="1"/>
  <c r="H140" i="1"/>
  <c r="O134" i="1"/>
  <c r="O130" i="1"/>
  <c r="O131" i="1"/>
  <c r="O132" i="1"/>
  <c r="O133" i="1"/>
  <c r="O129" i="1"/>
  <c r="I134" i="1"/>
  <c r="I130" i="1"/>
  <c r="I131" i="1"/>
  <c r="I132" i="1"/>
  <c r="I133" i="1"/>
  <c r="I129" i="1"/>
  <c r="N134" i="1"/>
  <c r="H134" i="1"/>
  <c r="O128" i="1"/>
  <c r="O124" i="1"/>
  <c r="O125" i="1"/>
  <c r="O126" i="1"/>
  <c r="O127" i="1"/>
  <c r="O123" i="1"/>
  <c r="I128" i="1"/>
  <c r="I124" i="1"/>
  <c r="I125" i="1"/>
  <c r="I126" i="1"/>
  <c r="I127" i="1"/>
  <c r="I123" i="1"/>
  <c r="N128" i="1"/>
  <c r="H128" i="1"/>
  <c r="O122" i="1"/>
  <c r="O118" i="1"/>
  <c r="O119" i="1"/>
  <c r="O120" i="1"/>
  <c r="O121" i="1"/>
  <c r="O117" i="1"/>
  <c r="N122" i="1"/>
  <c r="I122" i="1"/>
  <c r="I118" i="1"/>
  <c r="I119" i="1"/>
  <c r="I120" i="1"/>
  <c r="I121" i="1"/>
  <c r="I117" i="1"/>
  <c r="H122" i="1"/>
  <c r="O116" i="1"/>
  <c r="O112" i="1"/>
  <c r="O113" i="1"/>
  <c r="O114" i="1"/>
  <c r="O115" i="1"/>
  <c r="O111" i="1"/>
  <c r="I116" i="1"/>
  <c r="I112" i="1"/>
  <c r="I113" i="1"/>
  <c r="I114" i="1"/>
  <c r="I115" i="1"/>
  <c r="I111" i="1"/>
  <c r="N116" i="1"/>
  <c r="H116" i="1"/>
  <c r="O110" i="1"/>
  <c r="O106" i="1"/>
  <c r="O107" i="1"/>
  <c r="O108" i="1"/>
  <c r="O109" i="1"/>
  <c r="O105" i="1"/>
  <c r="N110" i="1"/>
  <c r="I106" i="1"/>
  <c r="I107" i="1"/>
  <c r="I108" i="1"/>
  <c r="I109" i="1"/>
  <c r="I110" i="1"/>
  <c r="I105" i="1"/>
  <c r="H110" i="1"/>
  <c r="O104" i="1"/>
  <c r="O100" i="1"/>
  <c r="O101" i="1"/>
  <c r="O102" i="1"/>
  <c r="O103" i="1"/>
  <c r="O99" i="1"/>
  <c r="N104" i="1"/>
  <c r="I104" i="1"/>
  <c r="I100" i="1"/>
  <c r="I101" i="1"/>
  <c r="I102" i="1"/>
  <c r="I103" i="1"/>
  <c r="I99" i="1"/>
  <c r="H104" i="1"/>
  <c r="O98" i="1"/>
  <c r="O94" i="1"/>
  <c r="O95" i="1"/>
  <c r="O96" i="1"/>
  <c r="O97" i="1"/>
  <c r="O93" i="1"/>
  <c r="N98" i="1"/>
  <c r="I98" i="1"/>
  <c r="I94" i="1"/>
  <c r="I95" i="1"/>
  <c r="I96" i="1"/>
  <c r="I97" i="1"/>
  <c r="I93" i="1"/>
  <c r="H98" i="1"/>
  <c r="O92" i="1"/>
  <c r="O88" i="1"/>
  <c r="O89" i="1"/>
  <c r="O90" i="1"/>
  <c r="O91" i="1"/>
  <c r="O87" i="1"/>
  <c r="N92" i="1"/>
  <c r="I92" i="1"/>
  <c r="I88" i="1"/>
  <c r="I89" i="1"/>
  <c r="I90" i="1"/>
  <c r="I91" i="1"/>
  <c r="I87" i="1"/>
  <c r="H92" i="1"/>
  <c r="O86" i="1"/>
  <c r="O82" i="1"/>
  <c r="O83" i="1"/>
  <c r="O84" i="1"/>
  <c r="O85" i="1"/>
  <c r="O81" i="1"/>
  <c r="N86" i="1"/>
  <c r="I82" i="1"/>
  <c r="I83" i="1"/>
  <c r="I84" i="1"/>
  <c r="I85" i="1"/>
  <c r="I86" i="1"/>
  <c r="I81" i="1"/>
  <c r="H86" i="1"/>
  <c r="O80" i="1"/>
  <c r="O76" i="1"/>
  <c r="O77" i="1"/>
  <c r="O78" i="1"/>
  <c r="O79" i="1"/>
  <c r="O75" i="1"/>
  <c r="N80" i="1"/>
  <c r="I80" i="1"/>
  <c r="I76" i="1"/>
  <c r="I77" i="1"/>
  <c r="I78" i="1"/>
  <c r="I79" i="1"/>
  <c r="I75" i="1"/>
  <c r="H80" i="1"/>
  <c r="O74" i="1"/>
  <c r="O68" i="1"/>
  <c r="O70" i="1"/>
  <c r="O71" i="1"/>
  <c r="O72" i="1"/>
  <c r="O73" i="1"/>
  <c r="O69" i="1"/>
  <c r="N74" i="1"/>
  <c r="I70" i="1"/>
  <c r="I71" i="1"/>
  <c r="I72" i="1"/>
  <c r="I73" i="1"/>
  <c r="I69" i="1"/>
  <c r="H74" i="1"/>
  <c r="O64" i="1"/>
  <c r="O65" i="1"/>
  <c r="O66" i="1"/>
  <c r="O67" i="1"/>
  <c r="O63" i="1"/>
  <c r="N68" i="1"/>
  <c r="I68" i="1"/>
  <c r="I64" i="1"/>
  <c r="I65" i="1"/>
  <c r="I66" i="1"/>
  <c r="I67" i="1"/>
  <c r="I63" i="1"/>
  <c r="H68" i="1"/>
  <c r="O62" i="1"/>
  <c r="O58" i="1"/>
  <c r="O59" i="1"/>
  <c r="O60" i="1"/>
  <c r="O61" i="1"/>
  <c r="O57" i="1"/>
  <c r="I62" i="1"/>
  <c r="I58" i="1"/>
  <c r="I59" i="1"/>
  <c r="I60" i="1"/>
  <c r="I61" i="1"/>
  <c r="I57" i="1"/>
  <c r="N62" i="1"/>
  <c r="H62" i="1"/>
  <c r="O52" i="1"/>
  <c r="O53" i="1"/>
  <c r="O54" i="1"/>
  <c r="O55" i="1"/>
  <c r="O56" i="1" s="1"/>
  <c r="O51" i="1"/>
  <c r="N56" i="1"/>
  <c r="I52" i="1"/>
  <c r="I53" i="1"/>
  <c r="I54" i="1"/>
  <c r="I55" i="1"/>
  <c r="I51" i="1"/>
  <c r="H56" i="1"/>
  <c r="O46" i="1"/>
  <c r="O47" i="1"/>
  <c r="O48" i="1"/>
  <c r="O49" i="1"/>
  <c r="O45" i="1"/>
  <c r="N50" i="1"/>
  <c r="I50" i="1"/>
  <c r="I46" i="1"/>
  <c r="I47" i="1"/>
  <c r="I48" i="1"/>
  <c r="I49" i="1"/>
  <c r="I45" i="1"/>
  <c r="H50" i="1"/>
  <c r="O40" i="1"/>
  <c r="O41" i="1"/>
  <c r="O42" i="1"/>
  <c r="O43" i="1"/>
  <c r="O39" i="1"/>
  <c r="N44" i="1"/>
  <c r="I40" i="1"/>
  <c r="I41" i="1"/>
  <c r="I42" i="1"/>
  <c r="I43" i="1"/>
  <c r="I39" i="1"/>
  <c r="H44" i="1"/>
  <c r="O34" i="1"/>
  <c r="O35" i="1"/>
  <c r="O36" i="1"/>
  <c r="O37" i="1"/>
  <c r="O38" i="1" s="1"/>
  <c r="O33" i="1"/>
  <c r="N38" i="1"/>
  <c r="I34" i="1"/>
  <c r="I35" i="1"/>
  <c r="I36" i="1"/>
  <c r="I37" i="1"/>
  <c r="I33" i="1"/>
  <c r="H38" i="1"/>
  <c r="O28" i="1"/>
  <c r="O29" i="1"/>
  <c r="O30" i="1"/>
  <c r="O27" i="1"/>
  <c r="I28" i="1"/>
  <c r="I29" i="1"/>
  <c r="I30" i="1"/>
  <c r="I31" i="1"/>
  <c r="I27" i="1"/>
  <c r="H32" i="1"/>
  <c r="N32" i="1"/>
  <c r="O22" i="1"/>
  <c r="O23" i="1"/>
  <c r="O24" i="1"/>
  <c r="O25" i="1"/>
  <c r="O26" i="1" s="1"/>
  <c r="O21" i="1"/>
  <c r="N26" i="1"/>
  <c r="I22" i="1"/>
  <c r="I23" i="1"/>
  <c r="I24" i="1"/>
  <c r="I25" i="1"/>
  <c r="I21" i="1"/>
  <c r="H26" i="1"/>
  <c r="O16" i="1"/>
  <c r="O17" i="1"/>
  <c r="O18" i="1"/>
  <c r="O19" i="1"/>
  <c r="O15" i="1"/>
  <c r="N20" i="1"/>
  <c r="N14" i="1"/>
  <c r="O11" i="1" s="1"/>
  <c r="I20" i="1"/>
  <c r="I16" i="1"/>
  <c r="I17" i="1"/>
  <c r="I18" i="1"/>
  <c r="I19" i="1"/>
  <c r="I15" i="1"/>
  <c r="H20" i="1"/>
  <c r="O10" i="1"/>
  <c r="O12" i="1"/>
  <c r="O13" i="1"/>
  <c r="O9" i="1"/>
  <c r="I14" i="1"/>
  <c r="I10" i="1"/>
  <c r="I11" i="1"/>
  <c r="I12" i="1"/>
  <c r="I13" i="1"/>
  <c r="I9" i="1"/>
  <c r="H14" i="1"/>
  <c r="O4" i="1"/>
  <c r="O5" i="1"/>
  <c r="O6" i="1"/>
  <c r="O8" i="1" s="1"/>
  <c r="O7" i="1"/>
  <c r="O3" i="1"/>
  <c r="N8" i="1"/>
  <c r="I8" i="1"/>
  <c r="I4" i="1"/>
  <c r="I5" i="1"/>
  <c r="I6" i="1"/>
  <c r="I7" i="1"/>
  <c r="I3" i="1"/>
  <c r="H8" i="1"/>
  <c r="D180" i="1"/>
  <c r="D181" i="1"/>
  <c r="D183" i="1"/>
  <c r="D184" i="1"/>
  <c r="D185" i="1"/>
  <c r="D179" i="1"/>
  <c r="D186" i="1"/>
  <c r="C186" i="1"/>
  <c r="D172" i="1"/>
  <c r="D173" i="1"/>
  <c r="D174" i="1"/>
  <c r="D175" i="1"/>
  <c r="D176" i="1"/>
  <c r="D177" i="1"/>
  <c r="D171" i="1"/>
  <c r="D178" i="1"/>
  <c r="C178" i="1"/>
  <c r="D164" i="1"/>
  <c r="D165" i="1"/>
  <c r="D166" i="1"/>
  <c r="D167" i="1"/>
  <c r="D168" i="1"/>
  <c r="D169" i="1"/>
  <c r="D163" i="1"/>
  <c r="D170" i="1"/>
  <c r="C170" i="1"/>
  <c r="D156" i="1"/>
  <c r="D157" i="1"/>
  <c r="D158" i="1"/>
  <c r="D159" i="1"/>
  <c r="D160" i="1"/>
  <c r="D161" i="1"/>
  <c r="D155" i="1"/>
  <c r="D162" i="1"/>
  <c r="C162" i="1"/>
  <c r="D148" i="1"/>
  <c r="D149" i="1"/>
  <c r="D150" i="1"/>
  <c r="D151" i="1"/>
  <c r="D152" i="1"/>
  <c r="D153" i="1"/>
  <c r="D147" i="1"/>
  <c r="D154" i="1"/>
  <c r="C154" i="1"/>
  <c r="D140" i="1"/>
  <c r="D141" i="1"/>
  <c r="D142" i="1"/>
  <c r="D143" i="1"/>
  <c r="D146" i="1" s="1"/>
  <c r="D144" i="1"/>
  <c r="D145" i="1"/>
  <c r="D139" i="1"/>
  <c r="C146" i="1"/>
  <c r="D132" i="1"/>
  <c r="D133" i="1"/>
  <c r="D134" i="1"/>
  <c r="D135" i="1"/>
  <c r="D136" i="1"/>
  <c r="D137" i="1"/>
  <c r="D131" i="1"/>
  <c r="D138" i="1"/>
  <c r="C138" i="1"/>
  <c r="D124" i="1"/>
  <c r="D125" i="1"/>
  <c r="D126" i="1"/>
  <c r="D127" i="1"/>
  <c r="D128" i="1"/>
  <c r="D129" i="1"/>
  <c r="D123" i="1"/>
  <c r="D130" i="1"/>
  <c r="C130" i="1"/>
  <c r="D116" i="1"/>
  <c r="D117" i="1"/>
  <c r="D118" i="1"/>
  <c r="D119" i="1"/>
  <c r="D122" i="1" s="1"/>
  <c r="D120" i="1"/>
  <c r="D121" i="1"/>
  <c r="D115" i="1"/>
  <c r="C122" i="1"/>
  <c r="D114" i="1"/>
  <c r="D113" i="1"/>
  <c r="C114" i="1"/>
  <c r="D108" i="1" s="1"/>
  <c r="D107" i="1"/>
  <c r="D100" i="1"/>
  <c r="D101" i="1"/>
  <c r="D102" i="1"/>
  <c r="D103" i="1"/>
  <c r="D104" i="1"/>
  <c r="D105" i="1"/>
  <c r="D106" i="1"/>
  <c r="D99" i="1"/>
  <c r="C106" i="1"/>
  <c r="D92" i="1"/>
  <c r="D93" i="1"/>
  <c r="D94" i="1"/>
  <c r="D95" i="1"/>
  <c r="D96" i="1"/>
  <c r="D97" i="1"/>
  <c r="D91" i="1"/>
  <c r="D98" i="1"/>
  <c r="C98" i="1"/>
  <c r="D84" i="1"/>
  <c r="D85" i="1"/>
  <c r="D87" i="1"/>
  <c r="D88" i="1"/>
  <c r="D89" i="1"/>
  <c r="D83" i="1"/>
  <c r="D90" i="1"/>
  <c r="C90" i="1"/>
  <c r="D76" i="1"/>
  <c r="D77" i="1"/>
  <c r="D78" i="1"/>
  <c r="D79" i="1"/>
  <c r="D80" i="1"/>
  <c r="D81" i="1"/>
  <c r="D75" i="1"/>
  <c r="D82" i="1"/>
  <c r="C82" i="1"/>
  <c r="D68" i="1"/>
  <c r="D69" i="1"/>
  <c r="D70" i="1"/>
  <c r="D71" i="1"/>
  <c r="D74" i="1" s="1"/>
  <c r="D72" i="1"/>
  <c r="D73" i="1"/>
  <c r="D67" i="1"/>
  <c r="C74" i="1"/>
  <c r="D60" i="1"/>
  <c r="D61" i="1"/>
  <c r="D62" i="1"/>
  <c r="D63" i="1"/>
  <c r="D64" i="1"/>
  <c r="D65" i="1"/>
  <c r="D59" i="1"/>
  <c r="D66" i="1"/>
  <c r="C66" i="1"/>
  <c r="D52" i="1"/>
  <c r="D53" i="1"/>
  <c r="D54" i="1"/>
  <c r="D55" i="1"/>
  <c r="D56" i="1"/>
  <c r="D57" i="1"/>
  <c r="D51" i="1"/>
  <c r="D58" i="1"/>
  <c r="C58" i="1"/>
  <c r="D50" i="1"/>
  <c r="D44" i="1"/>
  <c r="D45" i="1"/>
  <c r="D46" i="1"/>
  <c r="D47" i="1"/>
  <c r="D48" i="1"/>
  <c r="D49" i="1"/>
  <c r="D43" i="1"/>
  <c r="C50" i="1"/>
  <c r="D36" i="1"/>
  <c r="D37" i="1"/>
  <c r="D38" i="1"/>
  <c r="D39" i="1"/>
  <c r="D40" i="1"/>
  <c r="D41" i="1"/>
  <c r="D35" i="1"/>
  <c r="D42" i="1"/>
  <c r="C42" i="1"/>
  <c r="D28" i="1"/>
  <c r="D29" i="1"/>
  <c r="D30" i="1"/>
  <c r="D31" i="1"/>
  <c r="D34" i="1" s="1"/>
  <c r="D32" i="1"/>
  <c r="D33" i="1"/>
  <c r="D27" i="1"/>
  <c r="C34" i="1"/>
  <c r="D20" i="1"/>
  <c r="D21" i="1"/>
  <c r="D22" i="1"/>
  <c r="D23" i="1"/>
  <c r="D24" i="1"/>
  <c r="D25" i="1"/>
  <c r="D19" i="1"/>
  <c r="C26" i="1"/>
  <c r="D12" i="1"/>
  <c r="D13" i="1"/>
  <c r="D14" i="1"/>
  <c r="D15" i="1"/>
  <c r="D16" i="1"/>
  <c r="D17" i="1"/>
  <c r="D11" i="1"/>
  <c r="C18" i="1"/>
  <c r="D8" i="1"/>
  <c r="D9" i="1"/>
  <c r="C10" i="1"/>
  <c r="D7" i="1" s="1"/>
  <c r="G278" i="4" l="1"/>
  <c r="G274" i="4"/>
  <c r="G270" i="4"/>
  <c r="G266" i="4"/>
  <c r="G262" i="4"/>
  <c r="G258" i="4"/>
  <c r="G254" i="4"/>
  <c r="G250" i="4"/>
  <c r="G246" i="4"/>
  <c r="G242" i="4"/>
  <c r="G238" i="4"/>
  <c r="G234" i="4"/>
  <c r="G230" i="4"/>
  <c r="G226" i="4"/>
  <c r="G222" i="4"/>
  <c r="G218" i="4"/>
  <c r="G214" i="4"/>
  <c r="G210" i="4"/>
  <c r="G206" i="4"/>
  <c r="G202" i="4"/>
  <c r="G198" i="4"/>
  <c r="G194" i="4"/>
  <c r="G190" i="4"/>
  <c r="G186" i="4"/>
  <c r="G182" i="4"/>
  <c r="G178" i="4"/>
  <c r="G174" i="4"/>
  <c r="G170" i="4"/>
  <c r="G166" i="4"/>
  <c r="G162" i="4"/>
  <c r="G158" i="4"/>
  <c r="G154" i="4"/>
  <c r="G150" i="4"/>
  <c r="G146" i="4"/>
  <c r="G142" i="4"/>
  <c r="G138" i="4"/>
  <c r="G134" i="4"/>
  <c r="G130" i="4"/>
  <c r="G126" i="4"/>
  <c r="G122" i="4"/>
  <c r="G118" i="4"/>
  <c r="G114" i="4"/>
  <c r="G110" i="4"/>
  <c r="G106" i="4"/>
  <c r="G102" i="4"/>
  <c r="G98" i="4"/>
  <c r="G94" i="4"/>
  <c r="G90" i="4"/>
  <c r="G86" i="4"/>
  <c r="G82" i="4"/>
  <c r="G78" i="4"/>
  <c r="G74" i="4"/>
  <c r="G70" i="4"/>
  <c r="G66" i="4"/>
  <c r="G62" i="4"/>
  <c r="G58" i="4"/>
  <c r="G54" i="4"/>
  <c r="G50" i="4"/>
  <c r="G46" i="4"/>
  <c r="G42" i="4"/>
  <c r="G38" i="4"/>
  <c r="G34" i="4"/>
  <c r="G30" i="4"/>
  <c r="G26" i="4"/>
  <c r="G22" i="4"/>
  <c r="G18" i="4"/>
  <c r="G14" i="4"/>
  <c r="G10" i="4"/>
  <c r="G5" i="4"/>
  <c r="AY3" i="2"/>
  <c r="I74" i="1"/>
  <c r="I56" i="1"/>
  <c r="O50" i="1"/>
  <c r="O44" i="1"/>
  <c r="I44" i="1"/>
  <c r="I38" i="1"/>
  <c r="O32" i="1"/>
  <c r="I32" i="1"/>
  <c r="I26" i="1"/>
  <c r="O20" i="1"/>
  <c r="O14" i="1"/>
  <c r="D111" i="1"/>
  <c r="D110" i="1"/>
  <c r="D109" i="1"/>
  <c r="D112" i="1"/>
  <c r="D26" i="1"/>
  <c r="D18" i="1"/>
  <c r="D3" i="1"/>
  <c r="D6" i="1"/>
  <c r="D5" i="1"/>
  <c r="D4" i="1"/>
  <c r="AZ10" i="2" l="1"/>
  <c r="AZ14" i="2"/>
  <c r="AZ5" i="2"/>
  <c r="AZ9" i="2"/>
  <c r="F10" i="2"/>
  <c r="M10" i="2"/>
  <c r="F5" i="2"/>
  <c r="M5" i="2"/>
  <c r="AZ11" i="2"/>
  <c r="AZ12" i="2"/>
  <c r="AZ6" i="2"/>
  <c r="AZ4" i="2"/>
  <c r="AZ7" i="2"/>
  <c r="AZ8" i="2"/>
  <c r="AZ13" i="2"/>
  <c r="D10" i="1"/>
  <c r="AO4" i="2" l="1"/>
  <c r="AV4" i="2"/>
  <c r="AO9" i="2"/>
  <c r="AP9" i="2" s="1"/>
  <c r="AV9" i="2"/>
  <c r="AW9" i="2" s="1"/>
  <c r="AO13" i="2"/>
  <c r="AP13" i="2" s="1"/>
  <c r="AV13" i="2"/>
  <c r="AW13" i="2" s="1"/>
  <c r="AO6" i="2"/>
  <c r="AP6" i="2" s="1"/>
  <c r="AV6" i="2"/>
  <c r="AW6" i="2" s="1"/>
  <c r="AO5" i="2"/>
  <c r="AV5" i="2"/>
  <c r="AW5" i="2" s="1"/>
  <c r="AO8" i="2"/>
  <c r="AP8" i="2" s="1"/>
  <c r="AV8" i="2"/>
  <c r="AW8" i="2" s="1"/>
  <c r="AO12" i="2"/>
  <c r="AP12" i="2" s="1"/>
  <c r="AV12" i="2"/>
  <c r="AW12" i="2" s="1"/>
  <c r="AO14" i="2"/>
  <c r="AV14" i="2"/>
  <c r="AW14" i="2" s="1"/>
  <c r="AO7" i="2"/>
  <c r="AV7" i="2"/>
  <c r="AW7" i="2" s="1"/>
  <c r="AO11" i="2"/>
  <c r="AP11" i="2" s="1"/>
  <c r="AV11" i="2"/>
  <c r="AW11" i="2" s="1"/>
  <c r="AO10" i="2"/>
  <c r="AV10" i="2"/>
  <c r="AW10" i="2" s="1"/>
  <c r="AP14" i="2"/>
  <c r="AP5" i="2"/>
  <c r="AP7" i="2"/>
  <c r="AP10" i="2"/>
  <c r="AA4" i="2"/>
  <c r="AH4" i="2"/>
  <c r="T4" i="2"/>
  <c r="AH9" i="2"/>
  <c r="AI9" i="2" s="1"/>
  <c r="AA9" i="2"/>
  <c r="AH13" i="2"/>
  <c r="AI13" i="2" s="1"/>
  <c r="AA13" i="2"/>
  <c r="U6" i="2"/>
  <c r="AH6" i="2"/>
  <c r="AI6" i="2" s="1"/>
  <c r="AA6" i="2"/>
  <c r="AH5" i="2"/>
  <c r="AI5" i="2" s="1"/>
  <c r="U5" i="2"/>
  <c r="AA5" i="2"/>
  <c r="U8" i="2"/>
  <c r="AH8" i="2"/>
  <c r="AA8" i="2"/>
  <c r="AA12" i="2"/>
  <c r="AH12" i="2"/>
  <c r="AA14" i="2"/>
  <c r="AH14" i="2"/>
  <c r="AI14" i="2" s="1"/>
  <c r="AH7" i="2"/>
  <c r="AA7" i="2"/>
  <c r="AA11" i="2"/>
  <c r="AH11" i="2"/>
  <c r="AA10" i="2"/>
  <c r="AH10" i="2"/>
  <c r="AI10" i="2" s="1"/>
  <c r="M14" i="2"/>
  <c r="F14" i="2"/>
  <c r="M9" i="2"/>
  <c r="N10" i="2" s="1"/>
  <c r="F9" i="2"/>
  <c r="G10" i="2" s="1"/>
  <c r="F8" i="2"/>
  <c r="M8" i="2"/>
  <c r="F6" i="2"/>
  <c r="G6" i="2" s="1"/>
  <c r="M6" i="2"/>
  <c r="N6" i="2" s="1"/>
  <c r="F13" i="2"/>
  <c r="M13" i="2"/>
  <c r="F11" i="2"/>
  <c r="G11" i="2" s="1"/>
  <c r="M11" i="2"/>
  <c r="N11" i="2" s="1"/>
  <c r="F7" i="2"/>
  <c r="M7" i="2"/>
  <c r="F4" i="2"/>
  <c r="G5" i="2" s="1"/>
  <c r="M4" i="2"/>
  <c r="N5" i="2" s="1"/>
  <c r="F12" i="2"/>
  <c r="M12" i="2"/>
  <c r="AB10" i="2" l="1"/>
  <c r="AB6" i="2"/>
  <c r="U7" i="2"/>
  <c r="U14" i="2"/>
  <c r="U13" i="2"/>
  <c r="AB5" i="2"/>
  <c r="U9" i="2"/>
  <c r="AB7" i="2"/>
  <c r="AB14" i="2"/>
  <c r="U11" i="2"/>
  <c r="AB12" i="2"/>
  <c r="AI11" i="2"/>
  <c r="U12" i="2"/>
  <c r="AB11" i="2"/>
  <c r="AB8" i="2"/>
  <c r="AI7" i="2"/>
  <c r="AB13" i="2"/>
  <c r="AI12" i="2"/>
  <c r="AB9" i="2"/>
  <c r="AI8" i="2"/>
  <c r="G14" i="2"/>
  <c r="G8" i="2"/>
  <c r="G9" i="2"/>
  <c r="U10" i="2"/>
  <c r="N12" i="2"/>
  <c r="G7" i="2"/>
  <c r="N7" i="2"/>
  <c r="N13" i="2"/>
  <c r="G12" i="2"/>
  <c r="G13" i="2"/>
  <c r="N8" i="2"/>
  <c r="N9" i="2"/>
  <c r="N14" i="2"/>
  <c r="AT75" i="2" l="1"/>
  <c r="AT16" i="2"/>
  <c r="AT106" i="2"/>
  <c r="AT179" i="2"/>
  <c r="AT70" i="2"/>
  <c r="AT124" i="2"/>
  <c r="AT34" i="2"/>
  <c r="AT63" i="2"/>
  <c r="AT98" i="2"/>
  <c r="AT25" i="2"/>
  <c r="AT142" i="2"/>
  <c r="AT125" i="2"/>
  <c r="AT79" i="2"/>
  <c r="AT105" i="2"/>
  <c r="AT76" i="2"/>
  <c r="AT71" i="2"/>
  <c r="AT209" i="2"/>
  <c r="AT141" i="2"/>
  <c r="AT82" i="2"/>
  <c r="AT78" i="2"/>
  <c r="AT208" i="2"/>
  <c r="AT33" i="2"/>
  <c r="AT17" i="2"/>
  <c r="AT62" i="2"/>
  <c r="AT97" i="2"/>
  <c r="AT81" i="2"/>
  <c r="AT24" i="2"/>
  <c r="AT51" i="2"/>
  <c r="AT52" i="2"/>
  <c r="AT225" i="2"/>
  <c r="AT262" i="2"/>
  <c r="AT146" i="2"/>
  <c r="AT94" i="2"/>
  <c r="AT55" i="2"/>
  <c r="AT167" i="2"/>
  <c r="AT251" i="2"/>
  <c r="AT149" i="2"/>
  <c r="AT45" i="2"/>
  <c r="AT50" i="2"/>
  <c r="AT148" i="2"/>
  <c r="AT150" i="2"/>
  <c r="AT69" i="2"/>
  <c r="AT47" i="2"/>
  <c r="AT238" i="2"/>
  <c r="AT138" i="2"/>
  <c r="AT36" i="2"/>
  <c r="AT168" i="2"/>
  <c r="AT178" i="2"/>
  <c r="AT223" i="2"/>
  <c r="AT222" i="2"/>
  <c r="AT153" i="2"/>
  <c r="AT145" i="2"/>
  <c r="AT140" i="2"/>
  <c r="AT224" i="2"/>
  <c r="AT154" i="2"/>
  <c r="AT261" i="2"/>
  <c r="AT198" i="2"/>
  <c r="AT205" i="2"/>
  <c r="AT93" i="2"/>
  <c r="AT46" i="2"/>
  <c r="AT27" i="2"/>
  <c r="AT23" i="2"/>
  <c r="AT132" i="2"/>
  <c r="AT43" i="2"/>
  <c r="AT188" i="2"/>
  <c r="AT228" i="2"/>
  <c r="AT233" i="2"/>
  <c r="AT206" i="2"/>
  <c r="AT214" i="2"/>
  <c r="AT272" i="2"/>
  <c r="AT196" i="2"/>
  <c r="AT267" i="2"/>
  <c r="AT241" i="2"/>
  <c r="AT212" i="2"/>
  <c r="AT48" i="2"/>
  <c r="AT275" i="2"/>
  <c r="AT57" i="2"/>
  <c r="AT253" i="2"/>
  <c r="AT191" i="2"/>
  <c r="AT99" i="2"/>
  <c r="AT199" i="2"/>
  <c r="AT194" i="2"/>
  <c r="AT184" i="2"/>
  <c r="AT151" i="2"/>
  <c r="AT263" i="2"/>
  <c r="AT130" i="2"/>
  <c r="AT200" i="2"/>
  <c r="AT211" i="2"/>
  <c r="AT278" i="2"/>
  <c r="AT38" i="2"/>
  <c r="AT122" i="2"/>
  <c r="AT21" i="2"/>
  <c r="AT117" i="2"/>
  <c r="AT235" i="2"/>
  <c r="AT250" i="2"/>
  <c r="AT165" i="2"/>
  <c r="AT164" i="2"/>
  <c r="AT221" i="2"/>
  <c r="AT80" i="2"/>
  <c r="AT66" i="2"/>
  <c r="AT244" i="2"/>
  <c r="AT243" i="2"/>
  <c r="AT161" i="2"/>
  <c r="AT202" i="2"/>
  <c r="AT277" i="2"/>
  <c r="AT210" i="2"/>
  <c r="AT28" i="2"/>
  <c r="AT248" i="2"/>
  <c r="AT174" i="2"/>
  <c r="AT67" i="2"/>
  <c r="AT135" i="2"/>
  <c r="AT189" i="2"/>
  <c r="AT144" i="2"/>
  <c r="AT15" i="2"/>
  <c r="AT252" i="2"/>
  <c r="AT249" i="2"/>
  <c r="AT84" i="2"/>
  <c r="AT68" i="2"/>
  <c r="AT131" i="2"/>
  <c r="AT190" i="2"/>
  <c r="AT110" i="2"/>
  <c r="AT44" i="2"/>
  <c r="AT41" i="2"/>
  <c r="AT175" i="2"/>
  <c r="AT192" i="2"/>
  <c r="AT88" i="2"/>
  <c r="AT269" i="2"/>
  <c r="AT166" i="2"/>
  <c r="AT242" i="2"/>
  <c r="AT119" i="2"/>
  <c r="AT89" i="2"/>
  <c r="AT59" i="2"/>
  <c r="AT121" i="2"/>
  <c r="AT171" i="2"/>
  <c r="AT107" i="2"/>
  <c r="AT72" i="2"/>
  <c r="AT87" i="2"/>
  <c r="AT256" i="2"/>
  <c r="AT53" i="2"/>
  <c r="AT147" i="2"/>
  <c r="AT276" i="2"/>
  <c r="AT115" i="2"/>
  <c r="AT265" i="2"/>
  <c r="AT270" i="2"/>
  <c r="AT139" i="2"/>
  <c r="AT31" i="2"/>
  <c r="AT42" i="2"/>
  <c r="AT83" i="2"/>
  <c r="AT232" i="2"/>
  <c r="AT172" i="2"/>
  <c r="AT274" i="2"/>
  <c r="AT229" i="2"/>
  <c r="AT73" i="2"/>
  <c r="AT49" i="2"/>
  <c r="AT236" i="2"/>
  <c r="AT197" i="2"/>
  <c r="AT207" i="2"/>
  <c r="AT218" i="2"/>
  <c r="AT156" i="2"/>
  <c r="AT245" i="2"/>
  <c r="AT104" i="2"/>
  <c r="AT61" i="2"/>
  <c r="AT155" i="2"/>
  <c r="AT20" i="2"/>
  <c r="AT127" i="2"/>
  <c r="AT237" i="2"/>
  <c r="AT219" i="2"/>
  <c r="AT260" i="2"/>
  <c r="AT116" i="2"/>
  <c r="AT103" i="2"/>
  <c r="AT118" i="2"/>
  <c r="AT257" i="2"/>
  <c r="AT74" i="2"/>
  <c r="AT37" i="2"/>
  <c r="AT187" i="2"/>
  <c r="AT173" i="2"/>
  <c r="AT137" i="2"/>
  <c r="AT163" i="2"/>
  <c r="AT230" i="2"/>
  <c r="AT162" i="2"/>
  <c r="AT113" i="2"/>
  <c r="AT246" i="2"/>
  <c r="AT19" i="2"/>
  <c r="AT258" i="2"/>
  <c r="AT65" i="2"/>
  <c r="AT64" i="2"/>
  <c r="AT92" i="2"/>
  <c r="AT226" i="2"/>
  <c r="AT271" i="2"/>
  <c r="AT96" i="2"/>
  <c r="AT120" i="2"/>
  <c r="AT100" i="2"/>
  <c r="AT204" i="2"/>
  <c r="AT54" i="2"/>
  <c r="AT133" i="2"/>
  <c r="AT22" i="2"/>
  <c r="AT123" i="2"/>
  <c r="AT193" i="2"/>
  <c r="AT180" i="2"/>
  <c r="AT102" i="2"/>
  <c r="AT169" i="2"/>
  <c r="AT181" i="2"/>
  <c r="AT183" i="2"/>
  <c r="AT95" i="2"/>
  <c r="AT266" i="2"/>
  <c r="AT201" i="2"/>
  <c r="AT58" i="2"/>
  <c r="AT60" i="2"/>
  <c r="AT240" i="2"/>
  <c r="AT176" i="2"/>
  <c r="AT30" i="2"/>
  <c r="AT227" i="2"/>
  <c r="AT247" i="2"/>
  <c r="AT195" i="2"/>
  <c r="AT136" i="2"/>
  <c r="AT111" i="2"/>
  <c r="AT86" i="2"/>
  <c r="AT90" i="2"/>
  <c r="AT231" i="2"/>
  <c r="AT91" i="2"/>
  <c r="AT29" i="2"/>
  <c r="AT128" i="2"/>
  <c r="AT239" i="2"/>
  <c r="AT26" i="2"/>
  <c r="AT259" i="2"/>
  <c r="AT203" i="2"/>
  <c r="AT234" i="2"/>
  <c r="AT213" i="2"/>
  <c r="AT77" i="2"/>
  <c r="AT255" i="2"/>
  <c r="AT109" i="2"/>
  <c r="AT101" i="2"/>
  <c r="AT158" i="2"/>
  <c r="AT32" i="2"/>
  <c r="AT129" i="2"/>
  <c r="AT40" i="2"/>
  <c r="AT159" i="2"/>
  <c r="AT170" i="2"/>
  <c r="AT134" i="2"/>
  <c r="AT35" i="2"/>
  <c r="AT268" i="2"/>
  <c r="AT56" i="2"/>
  <c r="AT177" i="2"/>
  <c r="AT220" i="2"/>
  <c r="AT112" i="2"/>
  <c r="AT126" i="2"/>
  <c r="AT152" i="2"/>
  <c r="AT217" i="2"/>
  <c r="AT182" i="2"/>
  <c r="AT215" i="2"/>
  <c r="AT273" i="2"/>
  <c r="AT254" i="2"/>
  <c r="AT264" i="2"/>
  <c r="AT157" i="2"/>
  <c r="AT108" i="2"/>
  <c r="AT143" i="2"/>
  <c r="AT186" i="2"/>
  <c r="AT85" i="2"/>
  <c r="AT18" i="2"/>
  <c r="AT160" i="2"/>
  <c r="AT39" i="2"/>
  <c r="AT114" i="2"/>
  <c r="AT216" i="2"/>
  <c r="R123" i="2"/>
  <c r="AM176" i="2"/>
  <c r="D75" i="2"/>
  <c r="R18" i="2"/>
  <c r="AT185" i="2"/>
  <c r="AF228" i="2"/>
  <c r="D169" i="2"/>
  <c r="D189" i="2"/>
  <c r="R82" i="2"/>
  <c r="R166" i="2"/>
  <c r="AF87" i="2"/>
  <c r="R104" i="2"/>
  <c r="D159" i="2"/>
  <c r="AF39" i="2"/>
  <c r="D183" i="2"/>
  <c r="D270" i="2"/>
  <c r="AF48" i="2"/>
  <c r="K86" i="2"/>
  <c r="K230" i="2"/>
  <c r="AF15" i="2"/>
  <c r="D211" i="2"/>
  <c r="D27" i="2"/>
  <c r="AF65" i="2"/>
  <c r="D276" i="2"/>
  <c r="Y234" i="2"/>
  <c r="Y151" i="2"/>
  <c r="R156" i="2"/>
  <c r="D141" i="2"/>
  <c r="D160" i="2"/>
  <c r="D33" i="2"/>
  <c r="AM177" i="2"/>
  <c r="D261" i="2"/>
  <c r="AM92" i="2"/>
  <c r="AF80" i="2"/>
  <c r="D200" i="2"/>
  <c r="D76" i="2"/>
  <c r="AM131" i="2"/>
  <c r="Y177" i="2"/>
  <c r="R171" i="2"/>
  <c r="D167" i="2"/>
  <c r="D239" i="2"/>
  <c r="K233" i="2"/>
  <c r="D54" i="2"/>
  <c r="AF23" i="2"/>
  <c r="AF252" i="2"/>
  <c r="AM230" i="2"/>
  <c r="D100" i="2"/>
  <c r="K116" i="2"/>
  <c r="AF95" i="2"/>
  <c r="D37" i="2"/>
  <c r="AM53" i="2"/>
  <c r="D212" i="2"/>
  <c r="Y80" i="2"/>
  <c r="Y31" i="2"/>
  <c r="D233" i="2"/>
  <c r="K93" i="2"/>
  <c r="D43" i="2"/>
  <c r="K202" i="2"/>
  <c r="D188" i="2"/>
  <c r="AF158" i="2"/>
  <c r="Y263" i="2"/>
  <c r="D173" i="2"/>
  <c r="AM122" i="2"/>
  <c r="AM141" i="2"/>
  <c r="Y240" i="2"/>
  <c r="AF250" i="2"/>
  <c r="Y172" i="2"/>
  <c r="Y41" i="2"/>
  <c r="D107" i="2"/>
  <c r="Y18" i="2"/>
  <c r="D22" i="2"/>
  <c r="Y64" i="2"/>
  <c r="D60" i="2"/>
  <c r="D238" i="2"/>
  <c r="Y219" i="2"/>
  <c r="K112" i="2"/>
  <c r="K35" i="2"/>
  <c r="R139" i="2"/>
  <c r="Y210" i="2"/>
  <c r="D45" i="2"/>
  <c r="Y30" i="2"/>
  <c r="D168" i="2"/>
  <c r="Y97" i="2"/>
  <c r="D88" i="2"/>
  <c r="D57" i="2"/>
  <c r="D112" i="2"/>
  <c r="R124" i="2"/>
  <c r="R133" i="2"/>
  <c r="AM134" i="2"/>
  <c r="AF113" i="2"/>
  <c r="D104" i="2"/>
  <c r="D220" i="2"/>
  <c r="Y50" i="2"/>
  <c r="K263" i="2"/>
  <c r="D67" i="2"/>
  <c r="K199" i="2"/>
  <c r="D227" i="2"/>
  <c r="D133" i="2"/>
  <c r="AM190" i="2"/>
  <c r="AF102" i="2"/>
  <c r="D84" i="2"/>
  <c r="AF231" i="2"/>
  <c r="D119" i="2"/>
  <c r="D147" i="2"/>
  <c r="D83" i="2"/>
  <c r="K70" i="2"/>
  <c r="R204" i="2"/>
  <c r="K96" i="2"/>
  <c r="D155" i="2"/>
  <c r="K156" i="2"/>
  <c r="AF183" i="2"/>
  <c r="AM267" i="2"/>
  <c r="K124" i="2"/>
  <c r="AM213" i="2"/>
  <c r="AF21" i="2"/>
  <c r="Y33" i="2"/>
  <c r="D139" i="2"/>
  <c r="AM116" i="2"/>
  <c r="R236" i="2"/>
  <c r="K270" i="2"/>
  <c r="D267" i="2"/>
  <c r="D273" i="2"/>
  <c r="AM31" i="2"/>
  <c r="AF41" i="2"/>
  <c r="D116" i="2"/>
  <c r="Y117" i="2"/>
  <c r="R187" i="2"/>
  <c r="AM133" i="2"/>
  <c r="K265" i="2"/>
  <c r="R118" i="2"/>
  <c r="R105" i="2"/>
  <c r="AM15" i="2"/>
  <c r="D113" i="2"/>
  <c r="R29" i="2"/>
  <c r="K101" i="2"/>
  <c r="AM101" i="2"/>
  <c r="K214" i="2"/>
  <c r="K90" i="2"/>
  <c r="R57" i="2"/>
  <c r="Y169" i="2"/>
  <c r="AF270" i="2"/>
  <c r="AF195" i="2"/>
  <c r="Y72" i="2"/>
  <c r="R42" i="2"/>
  <c r="Y145" i="2"/>
  <c r="R22" i="2"/>
  <c r="D207" i="2"/>
  <c r="R96" i="2"/>
  <c r="AM50" i="2"/>
  <c r="AM221" i="2"/>
  <c r="D46" i="2"/>
  <c r="AF69" i="2"/>
  <c r="Y237" i="2"/>
  <c r="AF47" i="2"/>
  <c r="D242" i="2"/>
  <c r="R76" i="2"/>
  <c r="R67" i="2"/>
  <c r="D260" i="2"/>
  <c r="K136" i="2"/>
  <c r="D231" i="2"/>
  <c r="Y27" i="2"/>
  <c r="AM120" i="2"/>
  <c r="Y106" i="2"/>
  <c r="Y161" i="2"/>
  <c r="D123" i="2"/>
  <c r="D254" i="2"/>
  <c r="AF18" i="2"/>
  <c r="D21" i="2"/>
  <c r="K118" i="2"/>
  <c r="D248" i="2"/>
  <c r="K130" i="2"/>
  <c r="R237" i="2"/>
  <c r="Y164" i="2"/>
  <c r="D36" i="2"/>
  <c r="R45" i="2"/>
  <c r="D269" i="2"/>
  <c r="Y185" i="2"/>
  <c r="D124" i="2"/>
  <c r="D209" i="2"/>
  <c r="AM55" i="2"/>
  <c r="K41" i="2"/>
  <c r="AF137" i="2"/>
  <c r="AF120" i="2"/>
  <c r="AF227" i="2"/>
  <c r="AF235" i="2"/>
  <c r="D105" i="2"/>
  <c r="D35" i="2"/>
  <c r="D216" i="2"/>
  <c r="D274" i="2"/>
  <c r="AF203" i="2"/>
  <c r="AF139" i="2"/>
  <c r="R193" i="2"/>
  <c r="AF122" i="2"/>
  <c r="K178" i="2"/>
  <c r="Y256" i="2"/>
  <c r="AM268" i="2"/>
  <c r="K149" i="2"/>
  <c r="AM20" i="2"/>
  <c r="D181" i="2"/>
  <c r="AF61" i="2"/>
  <c r="D198" i="2"/>
  <c r="AM194" i="2"/>
  <c r="R31" i="2"/>
  <c r="AM174" i="2"/>
  <c r="K66" i="2"/>
  <c r="AM62" i="2"/>
  <c r="AF234" i="2"/>
  <c r="D137" i="2"/>
  <c r="D225" i="2"/>
  <c r="Y247" i="2"/>
  <c r="Y55" i="2"/>
  <c r="R121" i="2"/>
  <c r="AM25" i="2"/>
  <c r="AF223" i="2"/>
  <c r="D125" i="2"/>
  <c r="AF97" i="2"/>
  <c r="K151" i="2"/>
  <c r="Y22" i="2"/>
  <c r="D16" i="2"/>
  <c r="AM38" i="2"/>
  <c r="Y16" i="2"/>
  <c r="D258" i="2"/>
  <c r="R128" i="2"/>
  <c r="AM33" i="2"/>
  <c r="R219" i="2"/>
  <c r="D23" i="2"/>
  <c r="Y115" i="2"/>
  <c r="Y181" i="2"/>
  <c r="Y252" i="2"/>
  <c r="AF241" i="2"/>
  <c r="D164" i="2"/>
  <c r="D247" i="2"/>
  <c r="D41" i="2"/>
  <c r="R265" i="2"/>
  <c r="R224" i="2"/>
  <c r="Y208" i="2"/>
  <c r="R34" i="2"/>
  <c r="K36" i="2"/>
  <c r="R264" i="2"/>
  <c r="K30" i="2"/>
  <c r="AF56" i="2"/>
  <c r="R249" i="2"/>
  <c r="AM155" i="2"/>
  <c r="R161" i="2"/>
  <c r="Y266" i="2"/>
  <c r="R63" i="2"/>
  <c r="D206" i="2"/>
  <c r="D184" i="2"/>
  <c r="D86" i="2"/>
  <c r="K95" i="2"/>
  <c r="R206" i="2"/>
  <c r="D243" i="2"/>
  <c r="R203" i="2"/>
  <c r="D127" i="2"/>
  <c r="AM184" i="2"/>
  <c r="D176" i="2"/>
  <c r="D20" i="2"/>
  <c r="K131" i="2"/>
  <c r="D229" i="2"/>
  <c r="D182" i="2"/>
  <c r="D85" i="2"/>
  <c r="K253" i="2"/>
  <c r="AF144" i="2"/>
  <c r="Y79" i="2"/>
  <c r="K228" i="2"/>
  <c r="AF27" i="2"/>
  <c r="R215" i="2"/>
  <c r="D158" i="2"/>
  <c r="Y268" i="2"/>
  <c r="R243" i="2"/>
  <c r="AF143" i="2"/>
  <c r="AF108" i="2"/>
  <c r="R134" i="2"/>
  <c r="D272" i="2"/>
  <c r="AM72" i="2"/>
  <c r="D17" i="2"/>
  <c r="K58" i="2"/>
  <c r="D201" i="2"/>
  <c r="Y75" i="2"/>
  <c r="K193" i="2"/>
  <c r="D193" i="2"/>
  <c r="K249" i="2"/>
  <c r="D217" i="2"/>
  <c r="D19" i="2"/>
  <c r="D190" i="2"/>
  <c r="K157" i="2"/>
  <c r="AM181" i="2"/>
  <c r="D62" i="2"/>
  <c r="D221" i="2"/>
  <c r="AF271" i="2"/>
  <c r="D47" i="2"/>
  <c r="AM105" i="2"/>
  <c r="D185" i="2"/>
  <c r="D78" i="2"/>
  <c r="D218" i="2"/>
  <c r="Y214" i="2"/>
  <c r="AF42" i="2"/>
  <c r="AM159" i="2"/>
  <c r="K175" i="2"/>
  <c r="K174" i="2"/>
  <c r="D174" i="2"/>
  <c r="K42" i="2"/>
  <c r="AF89" i="2"/>
  <c r="D129" i="2"/>
  <c r="AF126" i="2"/>
  <c r="AF185" i="2"/>
  <c r="AF274" i="2"/>
  <c r="D52" i="2"/>
  <c r="R47" i="2"/>
  <c r="D108" i="2"/>
  <c r="D142" i="2"/>
  <c r="D215" i="2"/>
  <c r="D103" i="2"/>
  <c r="AF106" i="2"/>
  <c r="AM17" i="2"/>
  <c r="R184" i="2"/>
  <c r="AF269" i="2"/>
  <c r="D128" i="2"/>
  <c r="D266" i="2"/>
  <c r="Y276" i="2"/>
  <c r="D152" i="2"/>
  <c r="AM154" i="2"/>
  <c r="Y244" i="2"/>
  <c r="K38" i="2"/>
  <c r="K144" i="2"/>
  <c r="D30" i="2"/>
  <c r="Y83" i="2"/>
  <c r="R103" i="2"/>
  <c r="Y233" i="2"/>
  <c r="D153" i="2"/>
  <c r="Y77" i="2"/>
  <c r="D126" i="2"/>
  <c r="Y245" i="2"/>
  <c r="D99" i="2"/>
  <c r="K181" i="2"/>
  <c r="AY181" i="2" s="1"/>
  <c r="K236" i="2"/>
  <c r="R268" i="2"/>
  <c r="D109" i="2"/>
  <c r="R199" i="2"/>
  <c r="AF132" i="2"/>
  <c r="AF247" i="2"/>
  <c r="AM41" i="2"/>
  <c r="AM198" i="2"/>
  <c r="R275" i="2"/>
  <c r="D271" i="2"/>
  <c r="R62" i="2"/>
  <c r="K266" i="2"/>
  <c r="D68" i="2"/>
  <c r="Y47" i="2"/>
  <c r="D177" i="2"/>
  <c r="K197" i="2"/>
  <c r="R126" i="2"/>
  <c r="AF209" i="2"/>
  <c r="D244" i="2"/>
  <c r="D214" i="2"/>
  <c r="D40" i="2"/>
  <c r="AF166" i="2"/>
  <c r="Y174" i="2"/>
  <c r="D175" i="2"/>
  <c r="D251" i="2"/>
  <c r="D166" i="2"/>
  <c r="D101" i="2"/>
  <c r="Y108" i="2"/>
  <c r="Y42" i="2"/>
  <c r="R51" i="2"/>
  <c r="R192" i="2"/>
  <c r="D237" i="2"/>
  <c r="R212" i="2"/>
  <c r="D232" i="2"/>
  <c r="D252" i="2"/>
  <c r="K50" i="2"/>
  <c r="AF150" i="2"/>
  <c r="D120" i="2"/>
  <c r="Y61" i="2"/>
  <c r="D268" i="2"/>
  <c r="D196" i="2"/>
  <c r="R201" i="2"/>
  <c r="R148" i="2"/>
  <c r="D205" i="2"/>
  <c r="D32" i="2"/>
  <c r="D246" i="2"/>
  <c r="R175" i="2"/>
  <c r="AF266" i="2"/>
  <c r="K76" i="2"/>
  <c r="R252" i="2"/>
  <c r="D136" i="2"/>
  <c r="R210" i="2"/>
  <c r="AM63" i="2"/>
  <c r="D95" i="2"/>
  <c r="Y229" i="2"/>
  <c r="D199" i="2"/>
  <c r="D256" i="2"/>
  <c r="AM185" i="2"/>
  <c r="R50" i="2"/>
  <c r="AM223" i="2"/>
  <c r="Y179" i="2"/>
  <c r="D110" i="2"/>
  <c r="D132" i="2"/>
  <c r="D202" i="2"/>
  <c r="AM18" i="2"/>
  <c r="K188" i="2"/>
  <c r="K119" i="2"/>
  <c r="D208" i="2"/>
  <c r="K100" i="2"/>
  <c r="AF257" i="2"/>
  <c r="Y167" i="2"/>
  <c r="K206" i="2"/>
  <c r="AM145" i="2"/>
  <c r="R228" i="2"/>
  <c r="K161" i="2"/>
  <c r="Y189" i="2"/>
  <c r="D236" i="2"/>
  <c r="D79" i="2"/>
  <c r="AM85" i="2"/>
  <c r="AM94" i="2"/>
  <c r="AM173" i="2"/>
  <c r="K26" i="2"/>
  <c r="D53" i="2"/>
  <c r="AM245" i="2"/>
  <c r="AF16" i="2"/>
  <c r="AF173" i="2"/>
  <c r="R129" i="2"/>
  <c r="D235" i="2"/>
  <c r="Y215" i="2"/>
  <c r="K63" i="2"/>
  <c r="D219" i="2"/>
  <c r="D228" i="2"/>
  <c r="D134" i="2"/>
  <c r="R259" i="2"/>
  <c r="K126" i="2"/>
  <c r="R99" i="2"/>
  <c r="Y152" i="2"/>
  <c r="K80" i="2"/>
  <c r="R174" i="2"/>
  <c r="AM91" i="2"/>
  <c r="D149" i="2"/>
  <c r="AM46" i="2"/>
  <c r="D275" i="2"/>
  <c r="D31" i="2"/>
  <c r="D38" i="2"/>
  <c r="AM19" i="2"/>
  <c r="Y224" i="2"/>
  <c r="D77" i="2"/>
  <c r="R240" i="2"/>
  <c r="AM278" i="2"/>
  <c r="D197" i="2"/>
  <c r="Y238" i="2"/>
  <c r="R267" i="2"/>
  <c r="Y118" i="2"/>
  <c r="Y127" i="2"/>
  <c r="K192" i="2"/>
  <c r="AM168" i="2"/>
  <c r="AM271" i="2"/>
  <c r="K179" i="2"/>
  <c r="AM261" i="2"/>
  <c r="Y140" i="2"/>
  <c r="AM256" i="2"/>
  <c r="R167" i="2"/>
  <c r="Y99" i="2"/>
  <c r="AM81" i="2"/>
  <c r="D250" i="2"/>
  <c r="Y195" i="2"/>
  <c r="R194" i="2"/>
  <c r="D223" i="2"/>
  <c r="D257" i="2"/>
  <c r="D51" i="2"/>
  <c r="Y205" i="2"/>
  <c r="K19" i="2"/>
  <c r="AM201" i="2"/>
  <c r="R176" i="2"/>
  <c r="D165" i="2"/>
  <c r="AF74" i="2"/>
  <c r="D265" i="2"/>
  <c r="R36" i="2"/>
  <c r="D195" i="2"/>
  <c r="Y157" i="2"/>
  <c r="Y231" i="2"/>
  <c r="AF22" i="2"/>
  <c r="D69" i="2"/>
  <c r="R234" i="2"/>
  <c r="AM71" i="2"/>
  <c r="K103" i="2"/>
  <c r="K191" i="2"/>
  <c r="D63" i="2"/>
  <c r="K207" i="2"/>
  <c r="AM86" i="2"/>
  <c r="AF171" i="2"/>
  <c r="D255" i="2"/>
  <c r="D96" i="2"/>
  <c r="K277" i="2"/>
  <c r="K246" i="2"/>
  <c r="D28" i="2"/>
  <c r="R49" i="2"/>
  <c r="D61" i="2"/>
  <c r="D262" i="2"/>
  <c r="R207" i="2"/>
  <c r="D117" i="2"/>
  <c r="D59" i="2"/>
  <c r="D135" i="2"/>
  <c r="D143" i="2"/>
  <c r="D48" i="2"/>
  <c r="D94" i="2"/>
  <c r="K69" i="2"/>
  <c r="Y59" i="2"/>
  <c r="R93" i="2"/>
  <c r="AF174" i="2"/>
  <c r="Y69" i="2"/>
  <c r="AM217" i="2"/>
  <c r="K49" i="2"/>
  <c r="AM180" i="2"/>
  <c r="K85" i="2"/>
  <c r="AF205" i="2"/>
  <c r="AM251" i="2"/>
  <c r="R239" i="2"/>
  <c r="K256" i="2"/>
  <c r="K172" i="2"/>
  <c r="Y227" i="2"/>
  <c r="AM129" i="2"/>
  <c r="Y269" i="2"/>
  <c r="AM164" i="2"/>
  <c r="D249" i="2"/>
  <c r="K64" i="2"/>
  <c r="AM127" i="2"/>
  <c r="AF127" i="2"/>
  <c r="R272" i="2"/>
  <c r="AM152" i="2"/>
  <c r="AM51" i="2"/>
  <c r="D191" i="2"/>
  <c r="Y225" i="2"/>
  <c r="Y74" i="2"/>
  <c r="D230" i="2"/>
  <c r="D111" i="2"/>
  <c r="D87" i="2"/>
  <c r="AM255" i="2"/>
  <c r="K261" i="2"/>
  <c r="D156" i="2"/>
  <c r="Y70" i="2"/>
  <c r="K98" i="2"/>
  <c r="D245" i="2"/>
  <c r="AM87" i="2"/>
  <c r="R86" i="2"/>
  <c r="K17" i="2"/>
  <c r="D253" i="2"/>
  <c r="D140" i="2"/>
  <c r="D161" i="2"/>
  <c r="R154" i="2"/>
  <c r="K152" i="2"/>
  <c r="AY152" i="2" s="1"/>
  <c r="AF77" i="2"/>
  <c r="AM22" i="2"/>
  <c r="AF145" i="2"/>
  <c r="Y192" i="2"/>
  <c r="AF133" i="2"/>
  <c r="AM276" i="2"/>
  <c r="D71" i="2"/>
  <c r="D192" i="2"/>
  <c r="K182" i="2"/>
  <c r="AF67" i="2"/>
  <c r="AM58" i="2"/>
  <c r="D29" i="2"/>
  <c r="Y239" i="2"/>
  <c r="R196" i="2"/>
  <c r="K278" i="2"/>
  <c r="AM272" i="2"/>
  <c r="D97" i="2"/>
  <c r="AM218" i="2"/>
  <c r="D102" i="2"/>
  <c r="AM238" i="2"/>
  <c r="K128" i="2"/>
  <c r="D145" i="2"/>
  <c r="AM242" i="2"/>
  <c r="AF59" i="2"/>
  <c r="AF156" i="2"/>
  <c r="Y178" i="2"/>
  <c r="AM59" i="2"/>
  <c r="K146" i="2"/>
  <c r="R256" i="2"/>
  <c r="K108" i="2"/>
  <c r="Y96" i="2"/>
  <c r="K221" i="2"/>
  <c r="Y65" i="2"/>
  <c r="Y34" i="2"/>
  <c r="AM143" i="2"/>
  <c r="AF157" i="2"/>
  <c r="R30" i="2"/>
  <c r="K34" i="2"/>
  <c r="AM161" i="2"/>
  <c r="D204" i="2"/>
  <c r="R208" i="2"/>
  <c r="Y37" i="2"/>
  <c r="Y15" i="2"/>
  <c r="D131" i="2"/>
  <c r="Y194" i="2"/>
  <c r="AM233" i="2"/>
  <c r="D157" i="2"/>
  <c r="D148" i="2"/>
  <c r="R153" i="2"/>
  <c r="R53" i="2"/>
  <c r="Y58" i="2"/>
  <c r="Y223" i="2"/>
  <c r="D92" i="2"/>
  <c r="Y209" i="2"/>
  <c r="D44" i="2"/>
  <c r="D241" i="2"/>
  <c r="D277" i="2"/>
  <c r="D64" i="2"/>
  <c r="D194" i="2"/>
  <c r="R233" i="2"/>
  <c r="Y46" i="2"/>
  <c r="D65" i="2"/>
  <c r="R127" i="2"/>
  <c r="AF237" i="2"/>
  <c r="K153" i="2"/>
  <c r="K155" i="2"/>
  <c r="AF180" i="2"/>
  <c r="AM247" i="2"/>
  <c r="K227" i="2"/>
  <c r="AF60" i="2"/>
  <c r="R217" i="2"/>
  <c r="AM258" i="2"/>
  <c r="R60" i="2"/>
  <c r="D224" i="2"/>
  <c r="R213" i="2"/>
  <c r="D203" i="2"/>
  <c r="AF178" i="2"/>
  <c r="D222" i="2"/>
  <c r="Y128" i="2"/>
  <c r="D226" i="2"/>
  <c r="D187" i="2"/>
  <c r="D39" i="2"/>
  <c r="K255" i="2"/>
  <c r="Y196" i="2"/>
  <c r="D56" i="2"/>
  <c r="D259" i="2"/>
  <c r="Y254" i="2"/>
  <c r="AF32" i="2"/>
  <c r="AM273" i="2"/>
  <c r="AF138" i="2"/>
  <c r="D278" i="2"/>
  <c r="K258" i="2"/>
  <c r="Y275" i="2"/>
  <c r="AF262" i="2"/>
  <c r="R157" i="2"/>
  <c r="K248" i="2"/>
  <c r="K271" i="2"/>
  <c r="R230" i="2"/>
  <c r="Y111" i="2"/>
  <c r="AM30" i="2"/>
  <c r="Y253" i="2"/>
  <c r="R74" i="2"/>
  <c r="K61" i="2"/>
  <c r="R131" i="2"/>
  <c r="AM140" i="2"/>
  <c r="K68" i="2"/>
  <c r="K196" i="2"/>
  <c r="Y182" i="2"/>
  <c r="AF29" i="2"/>
  <c r="AF52" i="2"/>
  <c r="AM170" i="2"/>
  <c r="R26" i="2"/>
  <c r="K269" i="2"/>
  <c r="AM28" i="2"/>
  <c r="R108" i="2"/>
  <c r="D25" i="2"/>
  <c r="D171" i="2"/>
  <c r="AM39" i="2"/>
  <c r="D163" i="2"/>
  <c r="D121" i="2"/>
  <c r="D72" i="2"/>
  <c r="AF68" i="2"/>
  <c r="R255" i="2"/>
  <c r="D263" i="2"/>
  <c r="AF98" i="2"/>
  <c r="AM234" i="2"/>
  <c r="Y125" i="2"/>
  <c r="K243" i="2"/>
  <c r="AF162" i="2"/>
  <c r="K213" i="2"/>
  <c r="Y250" i="2"/>
  <c r="R98" i="2"/>
  <c r="K242" i="2"/>
  <c r="K247" i="2"/>
  <c r="D118" i="2"/>
  <c r="D240" i="2"/>
  <c r="AM219" i="2"/>
  <c r="Y173" i="2"/>
  <c r="K117" i="2"/>
  <c r="D213" i="2"/>
  <c r="D91" i="2"/>
  <c r="AF78" i="2"/>
  <c r="K209" i="2"/>
  <c r="D234" i="2"/>
  <c r="D80" i="2"/>
  <c r="D115" i="2"/>
  <c r="D73" i="2"/>
  <c r="Y204" i="2"/>
  <c r="D210" i="2"/>
  <c r="D55" i="2"/>
  <c r="K55" i="2"/>
  <c r="D70" i="2"/>
  <c r="D93" i="2"/>
  <c r="AM263" i="2"/>
  <c r="D24" i="2"/>
  <c r="Y53" i="2"/>
  <c r="K127" i="2"/>
  <c r="Y232" i="2"/>
  <c r="R159" i="2"/>
  <c r="R186" i="2"/>
  <c r="D172" i="2"/>
  <c r="Y56" i="2"/>
  <c r="D264" i="2"/>
  <c r="AM220" i="2"/>
  <c r="AF254" i="2"/>
  <c r="K33" i="2"/>
  <c r="Y259" i="2"/>
  <c r="K22" i="2"/>
  <c r="AY22" i="2" s="1"/>
  <c r="AM147" i="2"/>
  <c r="AM80" i="2"/>
  <c r="AM236" i="2"/>
  <c r="R80" i="2"/>
  <c r="AM188" i="2"/>
  <c r="D15" i="2"/>
  <c r="K133" i="2"/>
  <c r="AF124" i="2"/>
  <c r="D89" i="2"/>
  <c r="K208" i="2"/>
  <c r="AM248" i="2"/>
  <c r="D49" i="2"/>
  <c r="AM189" i="2"/>
  <c r="Y190" i="2"/>
  <c r="D151" i="2"/>
  <c r="R229" i="2"/>
  <c r="D81" i="2"/>
  <c r="D150" i="2"/>
  <c r="K210" i="2"/>
  <c r="AF212" i="2"/>
  <c r="AF147" i="2"/>
  <c r="D180" i="2"/>
  <c r="D179" i="2"/>
  <c r="Y267" i="2"/>
  <c r="D144" i="2"/>
  <c r="R65" i="2"/>
  <c r="D186" i="2"/>
  <c r="AM277" i="2"/>
  <c r="AF273" i="2"/>
  <c r="AF272" i="2"/>
  <c r="K276" i="2"/>
  <c r="K267" i="2"/>
  <c r="AF278" i="2"/>
  <c r="AF268" i="2"/>
  <c r="K273" i="2"/>
  <c r="R270" i="2"/>
  <c r="K272" i="2"/>
  <c r="R277" i="2"/>
  <c r="Y273" i="2"/>
  <c r="AM275" i="2"/>
  <c r="AF276" i="2"/>
  <c r="AM270" i="2"/>
  <c r="K275" i="2"/>
  <c r="R271" i="2"/>
  <c r="Y274" i="2"/>
  <c r="AM274" i="2"/>
  <c r="K268" i="2"/>
  <c r="AY268" i="2" s="1"/>
  <c r="K274" i="2"/>
  <c r="AF267" i="2"/>
  <c r="AM269" i="2"/>
  <c r="Y278" i="2"/>
  <c r="R278" i="2"/>
  <c r="Y271" i="2"/>
  <c r="R273" i="2"/>
  <c r="Y270" i="2"/>
  <c r="AF277" i="2"/>
  <c r="R276" i="2"/>
  <c r="Y277" i="2"/>
  <c r="Y272" i="2"/>
  <c r="R269" i="2"/>
  <c r="AF275" i="2"/>
  <c r="R274" i="2"/>
  <c r="D178" i="2"/>
  <c r="AF265" i="2"/>
  <c r="AM260" i="2"/>
  <c r="AM257" i="2"/>
  <c r="Y262" i="2"/>
  <c r="AF255" i="2"/>
  <c r="K257" i="2"/>
  <c r="AM262" i="2"/>
  <c r="R262" i="2"/>
  <c r="K262" i="2"/>
  <c r="K264" i="2"/>
  <c r="R257" i="2"/>
  <c r="R261" i="2"/>
  <c r="AM264" i="2"/>
  <c r="Y255" i="2"/>
  <c r="AF263" i="2"/>
  <c r="Y264" i="2"/>
  <c r="AF258" i="2"/>
  <c r="AM266" i="2"/>
  <c r="AM265" i="2"/>
  <c r="Y260" i="2"/>
  <c r="AM259" i="2"/>
  <c r="R266" i="2"/>
  <c r="Y265" i="2"/>
  <c r="Y258" i="2"/>
  <c r="AF259" i="2"/>
  <c r="AF256" i="2"/>
  <c r="K259" i="2"/>
  <c r="Y257" i="2"/>
  <c r="AF264" i="2"/>
  <c r="R263" i="2"/>
  <c r="Y261" i="2"/>
  <c r="K260" i="2"/>
  <c r="R260" i="2"/>
  <c r="R258" i="2"/>
  <c r="AF261" i="2"/>
  <c r="AF260" i="2"/>
  <c r="D170" i="2"/>
  <c r="R253" i="2"/>
  <c r="AF244" i="2"/>
  <c r="AM246" i="2"/>
  <c r="AF246" i="2"/>
  <c r="AM243" i="2"/>
  <c r="AF249" i="2"/>
  <c r="Y246" i="2"/>
  <c r="R245" i="2"/>
  <c r="R254" i="2"/>
  <c r="K245" i="2"/>
  <c r="AF251" i="2"/>
  <c r="K244" i="2"/>
  <c r="AF243" i="2"/>
  <c r="K254" i="2"/>
  <c r="AM252" i="2"/>
  <c r="R247" i="2"/>
  <c r="AM250" i="2"/>
  <c r="K252" i="2"/>
  <c r="K250" i="2"/>
  <c r="Y249" i="2"/>
  <c r="R248" i="2"/>
  <c r="AM254" i="2"/>
  <c r="R246" i="2"/>
  <c r="K251" i="2"/>
  <c r="Y243" i="2"/>
  <c r="Y251" i="2"/>
  <c r="AF245" i="2"/>
  <c r="AM244" i="2"/>
  <c r="R244" i="2"/>
  <c r="AM253" i="2"/>
  <c r="R251" i="2"/>
  <c r="Y248" i="2"/>
  <c r="AM249" i="2"/>
  <c r="AF253" i="2"/>
  <c r="R250" i="2"/>
  <c r="AF248" i="2"/>
  <c r="D162" i="2"/>
  <c r="K231" i="2"/>
  <c r="K238" i="2"/>
  <c r="K239" i="2"/>
  <c r="R235" i="2"/>
  <c r="K240" i="2"/>
  <c r="Y236" i="2"/>
  <c r="R238" i="2"/>
  <c r="R231" i="2"/>
  <c r="Y235" i="2"/>
  <c r="R241" i="2"/>
  <c r="Y242" i="2"/>
  <c r="AF236" i="2"/>
  <c r="AM241" i="2"/>
  <c r="AM231" i="2"/>
  <c r="AM235" i="2"/>
  <c r="R232" i="2"/>
  <c r="AF239" i="2"/>
  <c r="Y241" i="2"/>
  <c r="K234" i="2"/>
  <c r="AY234" i="2" s="1"/>
  <c r="K237" i="2"/>
  <c r="AM239" i="2"/>
  <c r="AM240" i="2"/>
  <c r="AF233" i="2"/>
  <c r="K241" i="2"/>
  <c r="K232" i="2"/>
  <c r="AM237" i="2"/>
  <c r="AF238" i="2"/>
  <c r="AF242" i="2"/>
  <c r="R242" i="2"/>
  <c r="AF240" i="2"/>
  <c r="AM232" i="2"/>
  <c r="AF232" i="2"/>
  <c r="K235" i="2"/>
  <c r="D154" i="2"/>
  <c r="AF222" i="2"/>
  <c r="AM227" i="2"/>
  <c r="AF225" i="2"/>
  <c r="AM228" i="2"/>
  <c r="R223" i="2"/>
  <c r="Y220" i="2"/>
  <c r="Y226" i="2"/>
  <c r="AM222" i="2"/>
  <c r="K229" i="2"/>
  <c r="Y222" i="2"/>
  <c r="AF221" i="2"/>
  <c r="AF224" i="2"/>
  <c r="R222" i="2"/>
  <c r="AM224" i="2"/>
  <c r="AM229" i="2"/>
  <c r="Y230" i="2"/>
  <c r="K225" i="2"/>
  <c r="AY225" i="2" s="1"/>
  <c r="AF230" i="2"/>
  <c r="Y221" i="2"/>
  <c r="R225" i="2"/>
  <c r="AF229" i="2"/>
  <c r="AM225" i="2"/>
  <c r="K224" i="2"/>
  <c r="AF219" i="2"/>
  <c r="R220" i="2"/>
  <c r="K226" i="2"/>
  <c r="K222" i="2"/>
  <c r="R227" i="2"/>
  <c r="AF220" i="2"/>
  <c r="AF226" i="2"/>
  <c r="Y228" i="2"/>
  <c r="R221" i="2"/>
  <c r="AM226" i="2"/>
  <c r="K223" i="2"/>
  <c r="R226" i="2"/>
  <c r="K219" i="2"/>
  <c r="K220" i="2"/>
  <c r="AY220" i="2" s="1"/>
  <c r="AF216" i="2"/>
  <c r="D146" i="2"/>
  <c r="AF217" i="2"/>
  <c r="Y216" i="2"/>
  <c r="AM210" i="2"/>
  <c r="AF214" i="2"/>
  <c r="AF207" i="2"/>
  <c r="AM215" i="2"/>
  <c r="K216" i="2"/>
  <c r="AF208" i="2"/>
  <c r="K218" i="2"/>
  <c r="K215" i="2"/>
  <c r="AM216" i="2"/>
  <c r="Y211" i="2"/>
  <c r="Y213" i="2"/>
  <c r="R209" i="2"/>
  <c r="Y217" i="2"/>
  <c r="K211" i="2"/>
  <c r="R214" i="2"/>
  <c r="R216" i="2"/>
  <c r="AM209" i="2"/>
  <c r="K217" i="2"/>
  <c r="R218" i="2"/>
  <c r="Y207" i="2"/>
  <c r="Y212" i="2"/>
  <c r="AF213" i="2"/>
  <c r="AM214" i="2"/>
  <c r="AM212" i="2"/>
  <c r="Y218" i="2"/>
  <c r="K212" i="2"/>
  <c r="AF210" i="2"/>
  <c r="AF215" i="2"/>
  <c r="AM208" i="2"/>
  <c r="AF211" i="2"/>
  <c r="AF218" i="2"/>
  <c r="AM207" i="2"/>
  <c r="R211" i="2"/>
  <c r="AM211" i="2"/>
  <c r="Y200" i="2"/>
  <c r="D138" i="2"/>
  <c r="AF200" i="2"/>
  <c r="K200" i="2"/>
  <c r="AM197" i="2"/>
  <c r="K195" i="2"/>
  <c r="Y206" i="2"/>
  <c r="Y198" i="2"/>
  <c r="R198" i="2"/>
  <c r="AM206" i="2"/>
  <c r="R200" i="2"/>
  <c r="AF199" i="2"/>
  <c r="R205" i="2"/>
  <c r="AF201" i="2"/>
  <c r="AF196" i="2"/>
  <c r="R197" i="2"/>
  <c r="R195" i="2"/>
  <c r="AM203" i="2"/>
  <c r="AM195" i="2"/>
  <c r="AM199" i="2"/>
  <c r="K204" i="2"/>
  <c r="AM205" i="2"/>
  <c r="Y203" i="2"/>
  <c r="Y197" i="2"/>
  <c r="AM202" i="2"/>
  <c r="K201" i="2"/>
  <c r="AF204" i="2"/>
  <c r="AM196" i="2"/>
  <c r="K198" i="2"/>
  <c r="AF197" i="2"/>
  <c r="R202" i="2"/>
  <c r="Y201" i="2"/>
  <c r="AF206" i="2"/>
  <c r="K205" i="2"/>
  <c r="Y199" i="2"/>
  <c r="AF198" i="2"/>
  <c r="AM200" i="2"/>
  <c r="K203" i="2"/>
  <c r="Y202" i="2"/>
  <c r="AF202" i="2"/>
  <c r="AM204" i="2"/>
  <c r="D130" i="2"/>
  <c r="Y193" i="2"/>
  <c r="R188" i="2"/>
  <c r="AF188" i="2"/>
  <c r="R185" i="2"/>
  <c r="AF193" i="2"/>
  <c r="AM192" i="2"/>
  <c r="AM186" i="2"/>
  <c r="R190" i="2"/>
  <c r="K186" i="2"/>
  <c r="Y184" i="2"/>
  <c r="K190" i="2"/>
  <c r="AF189" i="2"/>
  <c r="R191" i="2"/>
  <c r="AF187" i="2"/>
  <c r="Y183" i="2"/>
  <c r="Y188" i="2"/>
  <c r="R189" i="2"/>
  <c r="K194" i="2"/>
  <c r="K187" i="2"/>
  <c r="K185" i="2"/>
  <c r="Y191" i="2"/>
  <c r="AF192" i="2"/>
  <c r="K183" i="2"/>
  <c r="K189" i="2"/>
  <c r="AM183" i="2"/>
  <c r="AF191" i="2"/>
  <c r="AM191" i="2"/>
  <c r="AM193" i="2"/>
  <c r="K184" i="2"/>
  <c r="R183" i="2"/>
  <c r="AM187" i="2"/>
  <c r="Y187" i="2"/>
  <c r="AF184" i="2"/>
  <c r="Y186" i="2"/>
  <c r="AF190" i="2"/>
  <c r="AF194" i="2"/>
  <c r="AF186" i="2"/>
  <c r="D122" i="2"/>
  <c r="Y175" i="2"/>
  <c r="AF172" i="2"/>
  <c r="AM175" i="2"/>
  <c r="R179" i="2"/>
  <c r="K176" i="2"/>
  <c r="K177" i="2"/>
  <c r="AM179" i="2"/>
  <c r="R173" i="2"/>
  <c r="Y176" i="2"/>
  <c r="Y171" i="2"/>
  <c r="K173" i="2"/>
  <c r="R172" i="2"/>
  <c r="AF177" i="2"/>
  <c r="AM171" i="2"/>
  <c r="R178" i="2"/>
  <c r="AF175" i="2"/>
  <c r="K180" i="2"/>
  <c r="Y180" i="2"/>
  <c r="R181" i="2"/>
  <c r="AM182" i="2"/>
  <c r="R177" i="2"/>
  <c r="AF176" i="2"/>
  <c r="AM178" i="2"/>
  <c r="AF182" i="2"/>
  <c r="K171" i="2"/>
  <c r="R182" i="2"/>
  <c r="AF181" i="2"/>
  <c r="R180" i="2"/>
  <c r="AF179" i="2"/>
  <c r="AM172" i="2"/>
  <c r="AM165" i="2"/>
  <c r="Y159" i="2"/>
  <c r="D114" i="2"/>
  <c r="AM162" i="2"/>
  <c r="AM160" i="2"/>
  <c r="Y168" i="2"/>
  <c r="AF160" i="2"/>
  <c r="AF167" i="2"/>
  <c r="K166" i="2"/>
  <c r="R170" i="2"/>
  <c r="AF165" i="2"/>
  <c r="AF161" i="2"/>
  <c r="R169" i="2"/>
  <c r="K165" i="2"/>
  <c r="R163" i="2"/>
  <c r="K168" i="2"/>
  <c r="K162" i="2"/>
  <c r="AM163" i="2"/>
  <c r="AF170" i="2"/>
  <c r="AM169" i="2"/>
  <c r="R162" i="2"/>
  <c r="AF159" i="2"/>
  <c r="Y163" i="2"/>
  <c r="R160" i="2"/>
  <c r="R165" i="2"/>
  <c r="K170" i="2"/>
  <c r="R168" i="2"/>
  <c r="K163" i="2"/>
  <c r="AF164" i="2"/>
  <c r="Y160" i="2"/>
  <c r="AM167" i="2"/>
  <c r="Y170" i="2"/>
  <c r="K160" i="2"/>
  <c r="R164" i="2"/>
  <c r="K159" i="2"/>
  <c r="AY159" i="2" s="1"/>
  <c r="AF168" i="2"/>
  <c r="K169" i="2"/>
  <c r="K167" i="2"/>
  <c r="AF163" i="2"/>
  <c r="Y165" i="2"/>
  <c r="Y162" i="2"/>
  <c r="AM166" i="2"/>
  <c r="K164" i="2"/>
  <c r="AY164" i="2" s="1"/>
  <c r="Y166" i="2"/>
  <c r="AF169" i="2"/>
  <c r="D106" i="2"/>
  <c r="AF152" i="2"/>
  <c r="AF151" i="2"/>
  <c r="R155" i="2"/>
  <c r="AF148" i="2"/>
  <c r="Y150" i="2"/>
  <c r="Y148" i="2"/>
  <c r="AM157" i="2"/>
  <c r="AM148" i="2"/>
  <c r="R158" i="2"/>
  <c r="K158" i="2"/>
  <c r="Y153" i="2"/>
  <c r="AF154" i="2"/>
  <c r="K147" i="2"/>
  <c r="AY147" i="2" s="1"/>
  <c r="R151" i="2"/>
  <c r="K148" i="2"/>
  <c r="AF149" i="2"/>
  <c r="AM150" i="2"/>
  <c r="Y154" i="2"/>
  <c r="K154" i="2"/>
  <c r="AM149" i="2"/>
  <c r="Y158" i="2"/>
  <c r="R149" i="2"/>
  <c r="Y147" i="2"/>
  <c r="R152" i="2"/>
  <c r="AM151" i="2"/>
  <c r="AM156" i="2"/>
  <c r="Y149" i="2"/>
  <c r="AM153" i="2"/>
  <c r="AF153" i="2"/>
  <c r="AM158" i="2"/>
  <c r="R150" i="2"/>
  <c r="AF155" i="2"/>
  <c r="K150" i="2"/>
  <c r="R147" i="2"/>
  <c r="Y156" i="2"/>
  <c r="Y155" i="2"/>
  <c r="R138" i="2"/>
  <c r="R140" i="2"/>
  <c r="AM137" i="2"/>
  <c r="AM142" i="2"/>
  <c r="D98" i="2"/>
  <c r="K135" i="2"/>
  <c r="AF142" i="2"/>
  <c r="K143" i="2"/>
  <c r="AM138" i="2"/>
  <c r="Y135" i="2"/>
  <c r="K142" i="2"/>
  <c r="Y142" i="2"/>
  <c r="R137" i="2"/>
  <c r="K141" i="2"/>
  <c r="AM146" i="2"/>
  <c r="Y138" i="2"/>
  <c r="R143" i="2"/>
  <c r="AM135" i="2"/>
  <c r="K138" i="2"/>
  <c r="Y136" i="2"/>
  <c r="AF141" i="2"/>
  <c r="R145" i="2"/>
  <c r="R142" i="2"/>
  <c r="AF140" i="2"/>
  <c r="R144" i="2"/>
  <c r="AM136" i="2"/>
  <c r="K145" i="2"/>
  <c r="Y141" i="2"/>
  <c r="R135" i="2"/>
  <c r="R136" i="2"/>
  <c r="R146" i="2"/>
  <c r="AF135" i="2"/>
  <c r="AM144" i="2"/>
  <c r="Y143" i="2"/>
  <c r="K137" i="2"/>
  <c r="Y139" i="2"/>
  <c r="AF146" i="2"/>
  <c r="Y137" i="2"/>
  <c r="Y146" i="2"/>
  <c r="AM139" i="2"/>
  <c r="Y144" i="2"/>
  <c r="R141" i="2"/>
  <c r="K139" i="2"/>
  <c r="AF136" i="2"/>
  <c r="K140" i="2"/>
  <c r="AM130" i="2"/>
  <c r="Y133" i="2"/>
  <c r="R132" i="2"/>
  <c r="K123" i="2"/>
  <c r="K134" i="2"/>
  <c r="D90" i="2"/>
  <c r="R130" i="2"/>
  <c r="K129" i="2"/>
  <c r="AF125" i="2"/>
  <c r="Y126" i="2"/>
  <c r="AM132" i="2"/>
  <c r="AF128" i="2"/>
  <c r="AM125" i="2"/>
  <c r="AF129" i="2"/>
  <c r="K132" i="2"/>
  <c r="AY132" i="2" s="1"/>
  <c r="K125" i="2"/>
  <c r="AM123" i="2"/>
  <c r="AF130" i="2"/>
  <c r="AF131" i="2"/>
  <c r="AM128" i="2"/>
  <c r="Y131" i="2"/>
  <c r="Y134" i="2"/>
  <c r="Y124" i="2"/>
  <c r="Y132" i="2"/>
  <c r="Y123" i="2"/>
  <c r="Y130" i="2"/>
  <c r="Y129" i="2"/>
  <c r="AM126" i="2"/>
  <c r="AM124" i="2"/>
  <c r="AF134" i="2"/>
  <c r="R125" i="2"/>
  <c r="AF123" i="2"/>
  <c r="K113" i="2"/>
  <c r="Y121" i="2"/>
  <c r="D82" i="2"/>
  <c r="AM114" i="2"/>
  <c r="AM113" i="2"/>
  <c r="Y112" i="2"/>
  <c r="R119" i="2"/>
  <c r="K122" i="2"/>
  <c r="AF116" i="2"/>
  <c r="K111" i="2"/>
  <c r="K115" i="2"/>
  <c r="AF111" i="2"/>
  <c r="AM111" i="2"/>
  <c r="R116" i="2"/>
  <c r="R112" i="2"/>
  <c r="AM112" i="2"/>
  <c r="AF114" i="2"/>
  <c r="Y122" i="2"/>
  <c r="K121" i="2"/>
  <c r="K114" i="2"/>
  <c r="K120" i="2"/>
  <c r="AF119" i="2"/>
  <c r="Y119" i="2"/>
  <c r="R111" i="2"/>
  <c r="Y120" i="2"/>
  <c r="AF112" i="2"/>
  <c r="AF118" i="2"/>
  <c r="AF121" i="2"/>
  <c r="R120" i="2"/>
  <c r="AF115" i="2"/>
  <c r="AM115" i="2"/>
  <c r="AM121" i="2"/>
  <c r="Y116" i="2"/>
  <c r="Y113" i="2"/>
  <c r="AF117" i="2"/>
  <c r="R117" i="2"/>
  <c r="AM118" i="2"/>
  <c r="AM117" i="2"/>
  <c r="AM119" i="2"/>
  <c r="R115" i="2"/>
  <c r="R113" i="2"/>
  <c r="R114" i="2"/>
  <c r="Y114" i="2"/>
  <c r="R122" i="2"/>
  <c r="D74" i="2"/>
  <c r="K102" i="2"/>
  <c r="AM104" i="2"/>
  <c r="AF109" i="2"/>
  <c r="AM107" i="2"/>
  <c r="K109" i="2"/>
  <c r="AM103" i="2"/>
  <c r="R107" i="2"/>
  <c r="K104" i="2"/>
  <c r="AF104" i="2"/>
  <c r="Y110" i="2"/>
  <c r="Y102" i="2"/>
  <c r="K106" i="2"/>
  <c r="AF101" i="2"/>
  <c r="AM109" i="2"/>
  <c r="R100" i="2"/>
  <c r="AM108" i="2"/>
  <c r="K110" i="2"/>
  <c r="AF99" i="2"/>
  <c r="Y101" i="2"/>
  <c r="AM102" i="2"/>
  <c r="R109" i="2"/>
  <c r="AF110" i="2"/>
  <c r="K107" i="2"/>
  <c r="K99" i="2"/>
  <c r="AF107" i="2"/>
  <c r="Y103" i="2"/>
  <c r="R110" i="2"/>
  <c r="AF103" i="2"/>
  <c r="AM110" i="2"/>
  <c r="Y104" i="2"/>
  <c r="R106" i="2"/>
  <c r="Y105" i="2"/>
  <c r="AM100" i="2"/>
  <c r="AM106" i="2"/>
  <c r="Y109" i="2"/>
  <c r="AF105" i="2"/>
  <c r="AF100" i="2"/>
  <c r="AM99" i="2"/>
  <c r="Y107" i="2"/>
  <c r="K105" i="2"/>
  <c r="R101" i="2"/>
  <c r="R102" i="2"/>
  <c r="Y100" i="2"/>
  <c r="K92" i="2"/>
  <c r="AF91" i="2"/>
  <c r="R97" i="2"/>
  <c r="D66" i="2"/>
  <c r="Y92" i="2"/>
  <c r="R94" i="2"/>
  <c r="R87" i="2"/>
  <c r="R89" i="2"/>
  <c r="K88" i="2"/>
  <c r="AF96" i="2"/>
  <c r="AM88" i="2"/>
  <c r="K97" i="2"/>
  <c r="AM96" i="2"/>
  <c r="Y98" i="2"/>
  <c r="K89" i="2"/>
  <c r="AM89" i="2"/>
  <c r="AM93" i="2"/>
  <c r="AF90" i="2"/>
  <c r="AF93" i="2"/>
  <c r="AF92" i="2"/>
  <c r="Y93" i="2"/>
  <c r="R88" i="2"/>
  <c r="Y90" i="2"/>
  <c r="AF88" i="2"/>
  <c r="Y87" i="2"/>
  <c r="K87" i="2"/>
  <c r="AM90" i="2"/>
  <c r="Y89" i="2"/>
  <c r="Y95" i="2"/>
  <c r="R90" i="2"/>
  <c r="AF94" i="2"/>
  <c r="R95" i="2"/>
  <c r="Y91" i="2"/>
  <c r="Y88" i="2"/>
  <c r="Y94" i="2"/>
  <c r="R92" i="2"/>
  <c r="K94" i="2"/>
  <c r="K91" i="2"/>
  <c r="AM97" i="2"/>
  <c r="AM95" i="2"/>
  <c r="AM98" i="2"/>
  <c r="R91" i="2"/>
  <c r="Y86" i="2"/>
  <c r="D58" i="2"/>
  <c r="AF86" i="2"/>
  <c r="R77" i="2"/>
  <c r="AF83" i="2"/>
  <c r="AM78" i="2"/>
  <c r="R79" i="2"/>
  <c r="AF85" i="2"/>
  <c r="Y84" i="2"/>
  <c r="AM77" i="2"/>
  <c r="K81" i="2"/>
  <c r="Y82" i="2"/>
  <c r="Y85" i="2"/>
  <c r="R81" i="2"/>
  <c r="K78" i="2"/>
  <c r="AM82" i="2"/>
  <c r="Y81" i="2"/>
  <c r="AF79" i="2"/>
  <c r="AM75" i="2"/>
  <c r="AF75" i="2"/>
  <c r="AF76" i="2"/>
  <c r="R85" i="2"/>
  <c r="R78" i="2"/>
  <c r="Y76" i="2"/>
  <c r="K77" i="2"/>
  <c r="AM83" i="2"/>
  <c r="AF84" i="2"/>
  <c r="AM84" i="2"/>
  <c r="AM79" i="2"/>
  <c r="K84" i="2"/>
  <c r="AF81" i="2"/>
  <c r="Y78" i="2"/>
  <c r="R84" i="2"/>
  <c r="K82" i="2"/>
  <c r="R75" i="2"/>
  <c r="R83" i="2"/>
  <c r="AF82" i="2"/>
  <c r="AM76" i="2"/>
  <c r="K79" i="2"/>
  <c r="K83" i="2"/>
  <c r="K75" i="2"/>
  <c r="D50" i="2"/>
  <c r="R68" i="2"/>
  <c r="AM67" i="2"/>
  <c r="AF71" i="2"/>
  <c r="R71" i="2"/>
  <c r="Y63" i="2"/>
  <c r="AF63" i="2"/>
  <c r="AM69" i="2"/>
  <c r="AM74" i="2"/>
  <c r="AF73" i="2"/>
  <c r="K74" i="2"/>
  <c r="AY74" i="2" s="1"/>
  <c r="Y68" i="2"/>
  <c r="R69" i="2"/>
  <c r="R73" i="2"/>
  <c r="R70" i="2"/>
  <c r="K73" i="2"/>
  <c r="R66" i="2"/>
  <c r="R72" i="2"/>
  <c r="Y67" i="2"/>
  <c r="AM65" i="2"/>
  <c r="AM66" i="2"/>
  <c r="K65" i="2"/>
  <c r="AF66" i="2"/>
  <c r="AM68" i="2"/>
  <c r="R64" i="2"/>
  <c r="K71" i="2"/>
  <c r="Y71" i="2"/>
  <c r="Y66" i="2"/>
  <c r="AF64" i="2"/>
  <c r="Y73" i="2"/>
  <c r="K72" i="2"/>
  <c r="AM64" i="2"/>
  <c r="AM73" i="2"/>
  <c r="AM70" i="2"/>
  <c r="AF72" i="2"/>
  <c r="K67" i="2"/>
  <c r="AF70" i="2"/>
  <c r="D42" i="2"/>
  <c r="AF53" i="2"/>
  <c r="R55" i="2"/>
  <c r="R56" i="2"/>
  <c r="K54" i="2"/>
  <c r="K62" i="2"/>
  <c r="R58" i="2"/>
  <c r="Y62" i="2"/>
  <c r="AM52" i="2"/>
  <c r="AF54" i="2"/>
  <c r="AF55" i="2"/>
  <c r="AF57" i="2"/>
  <c r="AF62" i="2"/>
  <c r="R54" i="2"/>
  <c r="K57" i="2"/>
  <c r="AF58" i="2"/>
  <c r="Y52" i="2"/>
  <c r="R61" i="2"/>
  <c r="AM56" i="2"/>
  <c r="R52" i="2"/>
  <c r="AM61" i="2"/>
  <c r="Y57" i="2"/>
  <c r="K52" i="2"/>
  <c r="K56" i="2"/>
  <c r="AY56" i="2" s="1"/>
  <c r="Y51" i="2"/>
  <c r="AM57" i="2"/>
  <c r="K59" i="2"/>
  <c r="Y54" i="2"/>
  <c r="AM60" i="2"/>
  <c r="AF51" i="2"/>
  <c r="K51" i="2"/>
  <c r="K60" i="2"/>
  <c r="K53" i="2"/>
  <c r="R59" i="2"/>
  <c r="AM54" i="2"/>
  <c r="Y60" i="2"/>
  <c r="R43" i="2"/>
  <c r="D34" i="2"/>
  <c r="AM44" i="2"/>
  <c r="R46" i="2"/>
  <c r="R41" i="2"/>
  <c r="Y45" i="2"/>
  <c r="K39" i="2"/>
  <c r="AF40" i="2"/>
  <c r="K48" i="2"/>
  <c r="AF50" i="2"/>
  <c r="K47" i="2"/>
  <c r="AF45" i="2"/>
  <c r="AF49" i="2"/>
  <c r="AM40" i="2"/>
  <c r="K46" i="2"/>
  <c r="Y49" i="2"/>
  <c r="K40" i="2"/>
  <c r="AM43" i="2"/>
  <c r="AM49" i="2"/>
  <c r="R40" i="2"/>
  <c r="AM42" i="2"/>
  <c r="R48" i="2"/>
  <c r="AF44" i="2"/>
  <c r="Y44" i="2"/>
  <c r="AF46" i="2"/>
  <c r="R39" i="2"/>
  <c r="K44" i="2"/>
  <c r="Y40" i="2"/>
  <c r="AF43" i="2"/>
  <c r="Y43" i="2"/>
  <c r="R44" i="2"/>
  <c r="Y39" i="2"/>
  <c r="Y48" i="2"/>
  <c r="AM47" i="2"/>
  <c r="K43" i="2"/>
  <c r="K45" i="2"/>
  <c r="AM45" i="2"/>
  <c r="AM48" i="2"/>
  <c r="D26" i="2"/>
  <c r="R32" i="2"/>
  <c r="K27" i="2"/>
  <c r="AM34" i="2"/>
  <c r="R35" i="2"/>
  <c r="K29" i="2"/>
  <c r="AF35" i="2"/>
  <c r="R27" i="2"/>
  <c r="AF30" i="2"/>
  <c r="Y35" i="2"/>
  <c r="AF37" i="2"/>
  <c r="Y32" i="2"/>
  <c r="R33" i="2"/>
  <c r="AF31" i="2"/>
  <c r="AF34" i="2"/>
  <c r="K31" i="2"/>
  <c r="Y38" i="2"/>
  <c r="K28" i="2"/>
  <c r="Y36" i="2"/>
  <c r="AM35" i="2"/>
  <c r="R28" i="2"/>
  <c r="AF33" i="2"/>
  <c r="R37" i="2"/>
  <c r="AM36" i="2"/>
  <c r="K32" i="2"/>
  <c r="AF28" i="2"/>
  <c r="K37" i="2"/>
  <c r="R38" i="2"/>
  <c r="AF36" i="2"/>
  <c r="Y28" i="2"/>
  <c r="AM27" i="2"/>
  <c r="AM29" i="2"/>
  <c r="Y29" i="2"/>
  <c r="AM37" i="2"/>
  <c r="AM32" i="2"/>
  <c r="AF38" i="2"/>
  <c r="D18" i="2"/>
  <c r="Y20" i="2"/>
  <c r="AF17" i="2"/>
  <c r="Y25" i="2"/>
  <c r="Y23" i="2"/>
  <c r="AM23" i="2"/>
  <c r="K15" i="2"/>
  <c r="AF19" i="2"/>
  <c r="K21" i="2"/>
  <c r="Y19" i="2"/>
  <c r="AF25" i="2"/>
  <c r="R17" i="2"/>
  <c r="K23" i="2"/>
  <c r="R25" i="2"/>
  <c r="AM21" i="2"/>
  <c r="R21" i="2"/>
  <c r="R24" i="2"/>
  <c r="AF20" i="2"/>
  <c r="R16" i="2"/>
  <c r="R23" i="2"/>
  <c r="K16" i="2"/>
  <c r="Y24" i="2"/>
  <c r="K20" i="2"/>
  <c r="Y26" i="2"/>
  <c r="AM16" i="2"/>
  <c r="Y17" i="2"/>
  <c r="K25" i="2"/>
  <c r="K24" i="2"/>
  <c r="Y21" i="2"/>
  <c r="R15" i="2"/>
  <c r="AM26" i="2"/>
  <c r="AF26" i="2"/>
  <c r="AF24" i="2"/>
  <c r="R20" i="2"/>
  <c r="K18" i="2"/>
  <c r="R19" i="2"/>
  <c r="AM24" i="2"/>
  <c r="AY262" i="2" l="1"/>
  <c r="AY252" i="2"/>
  <c r="AY235" i="2"/>
  <c r="AY203" i="2"/>
  <c r="AY205" i="2"/>
  <c r="AY195" i="2"/>
  <c r="AY185" i="2"/>
  <c r="AY189" i="2"/>
  <c r="AY150" i="2"/>
  <c r="AY79" i="2"/>
  <c r="AY67" i="2"/>
  <c r="AY69" i="2"/>
  <c r="AY47" i="2"/>
  <c r="AY46" i="2"/>
  <c r="AY37" i="2"/>
  <c r="AY16" i="2"/>
  <c r="AY256" i="2"/>
  <c r="AY267" i="2"/>
  <c r="AY239" i="2"/>
  <c r="AY232" i="2"/>
  <c r="AY240" i="2"/>
  <c r="AY229" i="2"/>
  <c r="AY215" i="2"/>
  <c r="AY212" i="2"/>
  <c r="AY208" i="2"/>
  <c r="AY198" i="2"/>
  <c r="AY161" i="2"/>
  <c r="AY169" i="2"/>
  <c r="AY134" i="2"/>
  <c r="AY71" i="2"/>
  <c r="AY65" i="2"/>
  <c r="AY34" i="2"/>
  <c r="AY274" i="2"/>
  <c r="AY272" i="2"/>
  <c r="AY275" i="2"/>
  <c r="AY258" i="2"/>
  <c r="AY261" i="2"/>
  <c r="AY259" i="2"/>
  <c r="AY251" i="2"/>
  <c r="AY243" i="2"/>
  <c r="AY249" i="2"/>
  <c r="AY237" i="2"/>
  <c r="AY221" i="2"/>
  <c r="AZ221" i="2" s="1"/>
  <c r="T221" i="2" s="1"/>
  <c r="AY230" i="2"/>
  <c r="AY219" i="2"/>
  <c r="AY226" i="2"/>
  <c r="AY201" i="2"/>
  <c r="AY206" i="2"/>
  <c r="AY192" i="2"/>
  <c r="AY184" i="2"/>
  <c r="AY193" i="2"/>
  <c r="AY175" i="2"/>
  <c r="AY176" i="2"/>
  <c r="AY180" i="2"/>
  <c r="AY171" i="2"/>
  <c r="AY167" i="2"/>
  <c r="AY170" i="2"/>
  <c r="AY160" i="2"/>
  <c r="AY153" i="2"/>
  <c r="AZ153" i="2" s="1"/>
  <c r="T153" i="2" s="1"/>
  <c r="AY139" i="2"/>
  <c r="AY137" i="2"/>
  <c r="AY123" i="2"/>
  <c r="AY133" i="2"/>
  <c r="AY126" i="2"/>
  <c r="AY121" i="2"/>
  <c r="AY111" i="2"/>
  <c r="AY101" i="2"/>
  <c r="AY103" i="2"/>
  <c r="AY104" i="2"/>
  <c r="AY107" i="2"/>
  <c r="AY85" i="2"/>
  <c r="AY83" i="2"/>
  <c r="AY81" i="2"/>
  <c r="AY82" i="2"/>
  <c r="AY76" i="2"/>
  <c r="AY54" i="2"/>
  <c r="AY53" i="2"/>
  <c r="AY60" i="2"/>
  <c r="AY51" i="2"/>
  <c r="AY42" i="2"/>
  <c r="AY45" i="2"/>
  <c r="AY49" i="2"/>
  <c r="AY24" i="2"/>
  <c r="AY18" i="2"/>
  <c r="AY273" i="2"/>
  <c r="AY276" i="2"/>
  <c r="AY278" i="2"/>
  <c r="AY277" i="2"/>
  <c r="AY269" i="2"/>
  <c r="AZ269" i="2" s="1"/>
  <c r="T269" i="2" s="1"/>
  <c r="AY271" i="2"/>
  <c r="AZ272" i="2" s="1"/>
  <c r="T272" i="2" s="1"/>
  <c r="AY270" i="2"/>
  <c r="AY266" i="2"/>
  <c r="AY263" i="2"/>
  <c r="AY260" i="2"/>
  <c r="AZ260" i="2" s="1"/>
  <c r="T260" i="2" s="1"/>
  <c r="AY255" i="2"/>
  <c r="AY265" i="2"/>
  <c r="AY264" i="2"/>
  <c r="AY257" i="2"/>
  <c r="AY244" i="2"/>
  <c r="AY248" i="2"/>
  <c r="AY246" i="2"/>
  <c r="AY250" i="2"/>
  <c r="AY253" i="2"/>
  <c r="AZ253" i="2" s="1"/>
  <c r="T253" i="2" s="1"/>
  <c r="AY254" i="2"/>
  <c r="AY245" i="2"/>
  <c r="AY247" i="2"/>
  <c r="AY231" i="2"/>
  <c r="AY238" i="2"/>
  <c r="AY233" i="2"/>
  <c r="AY241" i="2"/>
  <c r="AY242" i="2"/>
  <c r="AY236" i="2"/>
  <c r="AY222" i="2"/>
  <c r="AY224" i="2"/>
  <c r="AZ225" i="2" s="1"/>
  <c r="T225" i="2" s="1"/>
  <c r="AY228" i="2"/>
  <c r="AY223" i="2"/>
  <c r="AY227" i="2"/>
  <c r="AY207" i="2"/>
  <c r="AY217" i="2"/>
  <c r="AY213" i="2"/>
  <c r="AY218" i="2"/>
  <c r="AY210" i="2"/>
  <c r="AY209" i="2"/>
  <c r="AY211" i="2"/>
  <c r="AY214" i="2"/>
  <c r="AY216" i="2"/>
  <c r="AY197" i="2"/>
  <c r="AY196" i="2"/>
  <c r="AY204" i="2"/>
  <c r="AY202" i="2"/>
  <c r="AY200" i="2"/>
  <c r="AY199" i="2"/>
  <c r="AY191" i="2"/>
  <c r="AY183" i="2"/>
  <c r="AY187" i="2"/>
  <c r="AY190" i="2"/>
  <c r="AY194" i="2"/>
  <c r="AY188" i="2"/>
  <c r="AY186" i="2"/>
  <c r="AY173" i="2"/>
  <c r="AY179" i="2"/>
  <c r="AY178" i="2"/>
  <c r="AZ179" i="2" s="1"/>
  <c r="T179" i="2" s="1"/>
  <c r="AY177" i="2"/>
  <c r="AY182" i="2"/>
  <c r="AY172" i="2"/>
  <c r="AY174" i="2"/>
  <c r="AY166" i="2"/>
  <c r="AY165" i="2"/>
  <c r="AY162" i="2"/>
  <c r="AY163" i="2"/>
  <c r="AZ164" i="2" s="1"/>
  <c r="T164" i="2" s="1"/>
  <c r="AY168" i="2"/>
  <c r="AY151" i="2"/>
  <c r="AY149" i="2"/>
  <c r="AY157" i="2"/>
  <c r="AY156" i="2"/>
  <c r="AY154" i="2"/>
  <c r="AY148" i="2"/>
  <c r="AY155" i="2"/>
  <c r="AY158" i="2"/>
  <c r="AY143" i="2"/>
  <c r="AY146" i="2"/>
  <c r="AY136" i="2"/>
  <c r="AY138" i="2"/>
  <c r="AY145" i="2"/>
  <c r="AY140" i="2"/>
  <c r="AY142" i="2"/>
  <c r="AY141" i="2"/>
  <c r="AY135" i="2"/>
  <c r="AY144" i="2"/>
  <c r="AY130" i="2"/>
  <c r="AY125" i="2"/>
  <c r="AY124" i="2"/>
  <c r="AY131" i="2"/>
  <c r="AY129" i="2"/>
  <c r="AY127" i="2"/>
  <c r="AY128" i="2"/>
  <c r="AY113" i="2"/>
  <c r="AY119" i="2"/>
  <c r="AY117" i="2"/>
  <c r="AY114" i="2"/>
  <c r="AY122" i="2"/>
  <c r="AZ122" i="2" s="1"/>
  <c r="T122" i="2" s="1"/>
  <c r="AY118" i="2"/>
  <c r="AY120" i="2"/>
  <c r="AY115" i="2"/>
  <c r="AY112" i="2"/>
  <c r="AY116" i="2"/>
  <c r="AY106" i="2"/>
  <c r="AY110" i="2"/>
  <c r="AY109" i="2"/>
  <c r="AY102" i="2"/>
  <c r="AY105" i="2"/>
  <c r="AY99" i="2"/>
  <c r="AY108" i="2"/>
  <c r="AY100" i="2"/>
  <c r="AY98" i="2"/>
  <c r="AY95" i="2"/>
  <c r="AY87" i="2"/>
  <c r="AY97" i="2"/>
  <c r="AY91" i="2"/>
  <c r="AY90" i="2"/>
  <c r="AY89" i="2"/>
  <c r="AY94" i="2"/>
  <c r="AY88" i="2"/>
  <c r="AY92" i="2"/>
  <c r="AY96" i="2"/>
  <c r="AY93" i="2"/>
  <c r="AY86" i="2"/>
  <c r="AY84" i="2"/>
  <c r="AY80" i="2"/>
  <c r="AZ81" i="2" s="1"/>
  <c r="T81" i="2" s="1"/>
  <c r="AY78" i="2"/>
  <c r="AY75" i="2"/>
  <c r="AZ75" i="2" s="1"/>
  <c r="T75" i="2" s="1"/>
  <c r="AY77" i="2"/>
  <c r="AY63" i="2"/>
  <c r="AY64" i="2"/>
  <c r="AY70" i="2"/>
  <c r="AY73" i="2"/>
  <c r="AY68" i="2"/>
  <c r="AZ69" i="2" s="1"/>
  <c r="T69" i="2" s="1"/>
  <c r="AY66" i="2"/>
  <c r="AZ66" i="2" s="1"/>
  <c r="T66" i="2" s="1"/>
  <c r="AY72" i="2"/>
  <c r="AY62" i="2"/>
  <c r="AY52" i="2"/>
  <c r="AY55" i="2"/>
  <c r="AY61" i="2"/>
  <c r="AY59" i="2"/>
  <c r="AY57" i="2"/>
  <c r="AY58" i="2"/>
  <c r="AY48" i="2"/>
  <c r="AY50" i="2"/>
  <c r="AY43" i="2"/>
  <c r="AY39" i="2"/>
  <c r="AY44" i="2"/>
  <c r="AY41" i="2"/>
  <c r="AY40" i="2"/>
  <c r="AY32" i="2"/>
  <c r="AY31" i="2"/>
  <c r="AY36" i="2"/>
  <c r="AY27" i="2"/>
  <c r="AY33" i="2"/>
  <c r="AZ34" i="2" s="1"/>
  <c r="T34" i="2" s="1"/>
  <c r="AY35" i="2"/>
  <c r="AY28" i="2"/>
  <c r="AY29" i="2"/>
  <c r="AY38" i="2"/>
  <c r="AY30" i="2"/>
  <c r="AY25" i="2"/>
  <c r="AY20" i="2"/>
  <c r="AY15" i="2"/>
  <c r="AZ15" i="2" s="1"/>
  <c r="T15" i="2" s="1"/>
  <c r="AY17" i="2"/>
  <c r="AY26" i="2"/>
  <c r="AY23" i="2"/>
  <c r="AZ23" i="2" s="1"/>
  <c r="T23" i="2" s="1"/>
  <c r="AY21" i="2"/>
  <c r="AZ21" i="2" s="1"/>
  <c r="T21" i="2" s="1"/>
  <c r="AY19" i="2"/>
  <c r="AZ274" i="2"/>
  <c r="T274" i="2" s="1"/>
  <c r="AZ130" i="2"/>
  <c r="T130" i="2" s="1"/>
  <c r="AZ208" i="2"/>
  <c r="T208" i="2" s="1"/>
  <c r="AZ247" i="2" l="1"/>
  <c r="T247" i="2" s="1"/>
  <c r="AZ206" i="2"/>
  <c r="T206" i="2" s="1"/>
  <c r="AZ175" i="2"/>
  <c r="T175" i="2" s="1"/>
  <c r="AZ161" i="2"/>
  <c r="T161" i="2" s="1"/>
  <c r="AZ137" i="2"/>
  <c r="AZ141" i="2"/>
  <c r="AZ134" i="2"/>
  <c r="T134" i="2" s="1"/>
  <c r="AZ91" i="2"/>
  <c r="T91" i="2" s="1"/>
  <c r="AZ87" i="2"/>
  <c r="T87" i="2" s="1"/>
  <c r="AZ55" i="2"/>
  <c r="T55" i="2" s="1"/>
  <c r="AZ45" i="2"/>
  <c r="T45" i="2" s="1"/>
  <c r="AZ222" i="2"/>
  <c r="T222" i="2" s="1"/>
  <c r="AZ232" i="2"/>
  <c r="T232" i="2" s="1"/>
  <c r="AZ233" i="2"/>
  <c r="T233" i="2" s="1"/>
  <c r="AZ251" i="2"/>
  <c r="T251" i="2" s="1"/>
  <c r="AZ259" i="2"/>
  <c r="T259" i="2" s="1"/>
  <c r="AZ261" i="2"/>
  <c r="T261" i="2" s="1"/>
  <c r="AZ249" i="2"/>
  <c r="T249" i="2" s="1"/>
  <c r="AZ183" i="2"/>
  <c r="T183" i="2" s="1"/>
  <c r="AZ177" i="2"/>
  <c r="T177" i="2" s="1"/>
  <c r="AZ158" i="2"/>
  <c r="T158" i="2" s="1"/>
  <c r="AZ145" i="2"/>
  <c r="AV145" i="2" s="1"/>
  <c r="AW145" i="2" s="1"/>
  <c r="AZ80" i="2"/>
  <c r="T80" i="2" s="1"/>
  <c r="AZ78" i="2"/>
  <c r="T78" i="2" s="1"/>
  <c r="AZ52" i="2"/>
  <c r="T52" i="2" s="1"/>
  <c r="AZ50" i="2"/>
  <c r="T50" i="2" s="1"/>
  <c r="AZ30" i="2"/>
  <c r="T30" i="2" s="1"/>
  <c r="AZ223" i="2"/>
  <c r="T223" i="2" s="1"/>
  <c r="AZ200" i="2"/>
  <c r="T200" i="2" s="1"/>
  <c r="AZ194" i="2"/>
  <c r="T194" i="2" s="1"/>
  <c r="AZ184" i="2"/>
  <c r="T184" i="2" s="1"/>
  <c r="AZ146" i="2"/>
  <c r="AZ120" i="2"/>
  <c r="T120" i="2" s="1"/>
  <c r="AZ109" i="2"/>
  <c r="T109" i="2" s="1"/>
  <c r="AZ104" i="2"/>
  <c r="T104" i="2" s="1"/>
  <c r="AZ106" i="2"/>
  <c r="T106" i="2" s="1"/>
  <c r="AZ88" i="2"/>
  <c r="T88" i="2" s="1"/>
  <c r="AZ62" i="2"/>
  <c r="T62" i="2" s="1"/>
  <c r="AZ63" i="2"/>
  <c r="T63" i="2" s="1"/>
  <c r="AZ24" i="2"/>
  <c r="T24" i="2" s="1"/>
  <c r="AZ18" i="2"/>
  <c r="T18" i="2" s="1"/>
  <c r="AZ265" i="2"/>
  <c r="T265" i="2" s="1"/>
  <c r="AZ211" i="2"/>
  <c r="T211" i="2" s="1"/>
  <c r="AZ210" i="2"/>
  <c r="T210" i="2" s="1"/>
  <c r="AZ188" i="2"/>
  <c r="T188" i="2" s="1"/>
  <c r="AZ136" i="2"/>
  <c r="AZ115" i="2"/>
  <c r="T115" i="2" s="1"/>
  <c r="AZ110" i="2"/>
  <c r="T110" i="2" s="1"/>
  <c r="AZ97" i="2"/>
  <c r="T97" i="2" s="1"/>
  <c r="AZ94" i="2"/>
  <c r="T94" i="2" s="1"/>
  <c r="AZ59" i="2"/>
  <c r="T59" i="2" s="1"/>
  <c r="AZ41" i="2"/>
  <c r="T41" i="2" s="1"/>
  <c r="AZ27" i="2"/>
  <c r="T27" i="2" s="1"/>
  <c r="AO75" i="2"/>
  <c r="AV75" i="2"/>
  <c r="AW75" i="2" s="1"/>
  <c r="AO274" i="2"/>
  <c r="AV274" i="2"/>
  <c r="AW274" i="2" s="1"/>
  <c r="AO225" i="2"/>
  <c r="AV225" i="2"/>
  <c r="AW225" i="2" s="1"/>
  <c r="AO24" i="2"/>
  <c r="AP24" i="2" s="1"/>
  <c r="AV24" i="2"/>
  <c r="AW24" i="2" s="1"/>
  <c r="AO45" i="2"/>
  <c r="AV45" i="2"/>
  <c r="AW45" i="2" s="1"/>
  <c r="AO221" i="2"/>
  <c r="AV221" i="2"/>
  <c r="AW221" i="2" s="1"/>
  <c r="AV88" i="2"/>
  <c r="AW88" i="2" s="1"/>
  <c r="AO110" i="2"/>
  <c r="AV110" i="2"/>
  <c r="AW110" i="2" s="1"/>
  <c r="AO247" i="2"/>
  <c r="AV247" i="2"/>
  <c r="AW247" i="2" s="1"/>
  <c r="AO208" i="2"/>
  <c r="AV208" i="2"/>
  <c r="AW208" i="2" s="1"/>
  <c r="AO21" i="2"/>
  <c r="AV21" i="2"/>
  <c r="AW21" i="2" s="1"/>
  <c r="AO161" i="2"/>
  <c r="AV161" i="2"/>
  <c r="AW161" i="2" s="1"/>
  <c r="AO153" i="2"/>
  <c r="AV153" i="2"/>
  <c r="AW153" i="2" s="1"/>
  <c r="AO260" i="2"/>
  <c r="AV260" i="2"/>
  <c r="AW260" i="2" s="1"/>
  <c r="AO63" i="2"/>
  <c r="AP63" i="2" s="1"/>
  <c r="AV63" i="2"/>
  <c r="AW63" i="2" s="1"/>
  <c r="AO261" i="2"/>
  <c r="AP261" i="2" s="1"/>
  <c r="AV261" i="2"/>
  <c r="AW261" i="2" s="1"/>
  <c r="AO122" i="2"/>
  <c r="AV122" i="2"/>
  <c r="AW122" i="2" s="1"/>
  <c r="AO80" i="2"/>
  <c r="AO87" i="2"/>
  <c r="AV87" i="2"/>
  <c r="AW87" i="2" s="1"/>
  <c r="AO175" i="2"/>
  <c r="AV175" i="2"/>
  <c r="AW175" i="2" s="1"/>
  <c r="AO269" i="2"/>
  <c r="AV269" i="2"/>
  <c r="AW269" i="2" s="1"/>
  <c r="AO120" i="2"/>
  <c r="AV120" i="2"/>
  <c r="AW120" i="2" s="1"/>
  <c r="AO158" i="2"/>
  <c r="AV158" i="2"/>
  <c r="AW158" i="2" s="1"/>
  <c r="AV137" i="2"/>
  <c r="AW137" i="2" s="1"/>
  <c r="AO177" i="2"/>
  <c r="AV177" i="2"/>
  <c r="AW177" i="2" s="1"/>
  <c r="AO81" i="2"/>
  <c r="AP81" i="2" s="1"/>
  <c r="AV81" i="2"/>
  <c r="AW81" i="2" s="1"/>
  <c r="AO184" i="2"/>
  <c r="AP184" i="2" s="1"/>
  <c r="AV184" i="2"/>
  <c r="AW184" i="2" s="1"/>
  <c r="AO134" i="2"/>
  <c r="AV134" i="2"/>
  <c r="AW134" i="2" s="1"/>
  <c r="AO34" i="2"/>
  <c r="AV34" i="2"/>
  <c r="AW34" i="2" s="1"/>
  <c r="AO179" i="2"/>
  <c r="AV179" i="2"/>
  <c r="AW179" i="2" s="1"/>
  <c r="AO55" i="2"/>
  <c r="AV55" i="2"/>
  <c r="AW55" i="2" s="1"/>
  <c r="AO69" i="2"/>
  <c r="AV69" i="2"/>
  <c r="AW69" i="2" s="1"/>
  <c r="AO253" i="2"/>
  <c r="AV253" i="2"/>
  <c r="AW253" i="2" s="1"/>
  <c r="AO23" i="2"/>
  <c r="AV23" i="2"/>
  <c r="AW23" i="2" s="1"/>
  <c r="AO130" i="2"/>
  <c r="AV130" i="2"/>
  <c r="AW130" i="2" s="1"/>
  <c r="AO106" i="2"/>
  <c r="AV106" i="2"/>
  <c r="AW106" i="2" s="1"/>
  <c r="AO62" i="2"/>
  <c r="AV62" i="2"/>
  <c r="AW62" i="2" s="1"/>
  <c r="AO206" i="2"/>
  <c r="AO66" i="2"/>
  <c r="AV66" i="2"/>
  <c r="AW66" i="2" s="1"/>
  <c r="AO272" i="2"/>
  <c r="AV272" i="2"/>
  <c r="AW272" i="2" s="1"/>
  <c r="AO50" i="2"/>
  <c r="AO164" i="2"/>
  <c r="AV164" i="2"/>
  <c r="AW164" i="2" s="1"/>
  <c r="AO59" i="2"/>
  <c r="AO15" i="2"/>
  <c r="AP15" i="2" s="1"/>
  <c r="AV15" i="2"/>
  <c r="AW15" i="2" s="1"/>
  <c r="AO183" i="2"/>
  <c r="AV183" i="2"/>
  <c r="AW183" i="2" s="1"/>
  <c r="AO91" i="2"/>
  <c r="AV91" i="2"/>
  <c r="AW91" i="2" s="1"/>
  <c r="AZ169" i="2"/>
  <c r="T169" i="2" s="1"/>
  <c r="AZ242" i="2"/>
  <c r="F242" i="2" s="1"/>
  <c r="AZ231" i="2"/>
  <c r="AZ267" i="2"/>
  <c r="AZ278" i="2"/>
  <c r="T278" i="2" s="1"/>
  <c r="AZ148" i="2"/>
  <c r="T148" i="2" s="1"/>
  <c r="AZ99" i="2"/>
  <c r="T99" i="2" s="1"/>
  <c r="AZ117" i="2"/>
  <c r="AZ155" i="2"/>
  <c r="T155" i="2" s="1"/>
  <c r="AZ172" i="2"/>
  <c r="AA172" i="2" s="1"/>
  <c r="AZ257" i="2"/>
  <c r="T257" i="2" s="1"/>
  <c r="AZ57" i="2"/>
  <c r="T57" i="2" s="1"/>
  <c r="AZ214" i="2"/>
  <c r="AZ228" i="2"/>
  <c r="T228" i="2" s="1"/>
  <c r="AZ171" i="2"/>
  <c r="AZ186" i="2"/>
  <c r="T186" i="2" s="1"/>
  <c r="AZ19" i="2"/>
  <c r="T19" i="2" s="1"/>
  <c r="AZ105" i="2"/>
  <c r="T105" i="2" s="1"/>
  <c r="AZ124" i="2"/>
  <c r="AZ167" i="2"/>
  <c r="T167" i="2" s="1"/>
  <c r="AZ238" i="2"/>
  <c r="T238" i="2" s="1"/>
  <c r="AZ241" i="2"/>
  <c r="AA109" i="2"/>
  <c r="AH18" i="2"/>
  <c r="AI18" i="2" s="1"/>
  <c r="AH141" i="2"/>
  <c r="AI141" i="2" s="1"/>
  <c r="AA141" i="2"/>
  <c r="AH261" i="2"/>
  <c r="AI261" i="2" s="1"/>
  <c r="AA261" i="2"/>
  <c r="AH278" i="2"/>
  <c r="AI278" i="2" s="1"/>
  <c r="AH223" i="2"/>
  <c r="AH253" i="2"/>
  <c r="AI253" i="2" s="1"/>
  <c r="AA253" i="2"/>
  <c r="AH161" i="2"/>
  <c r="AI161" i="2" s="1"/>
  <c r="AA161" i="2"/>
  <c r="AA153" i="2"/>
  <c r="AH153" i="2"/>
  <c r="AI153" i="2" s="1"/>
  <c r="AA88" i="2"/>
  <c r="AH88" i="2"/>
  <c r="AI88" i="2" s="1"/>
  <c r="AH274" i="2"/>
  <c r="AI274" i="2" s="1"/>
  <c r="AA274" i="2"/>
  <c r="AH269" i="2"/>
  <c r="AI269" i="2" s="1"/>
  <c r="AA269" i="2"/>
  <c r="AH91" i="2"/>
  <c r="AA91" i="2"/>
  <c r="AA137" i="2"/>
  <c r="AH137" i="2"/>
  <c r="AI137" i="2" s="1"/>
  <c r="AZ16" i="2"/>
  <c r="AA62" i="2"/>
  <c r="AH62" i="2"/>
  <c r="AI62" i="2" s="1"/>
  <c r="AH69" i="2"/>
  <c r="AI69" i="2" s="1"/>
  <c r="AA69" i="2"/>
  <c r="AZ235" i="2"/>
  <c r="T235" i="2" s="1"/>
  <c r="AA164" i="2"/>
  <c r="AH164" i="2"/>
  <c r="AA179" i="2"/>
  <c r="AH179" i="2"/>
  <c r="AH225" i="2"/>
  <c r="AI225" i="2" s="1"/>
  <c r="AA225" i="2"/>
  <c r="AZ178" i="2"/>
  <c r="T178" i="2" s="1"/>
  <c r="AZ43" i="2"/>
  <c r="T43" i="2" s="1"/>
  <c r="AZ151" i="2"/>
  <c r="AZ165" i="2"/>
  <c r="AH184" i="2"/>
  <c r="AI184" i="2" s="1"/>
  <c r="AA184" i="2"/>
  <c r="AA272" i="2"/>
  <c r="AH272" i="2"/>
  <c r="AH80" i="2"/>
  <c r="AZ93" i="2"/>
  <c r="AH130" i="2"/>
  <c r="AI130" i="2" s="1"/>
  <c r="AA130" i="2"/>
  <c r="AH87" i="2"/>
  <c r="AA87" i="2"/>
  <c r="AZ73" i="2"/>
  <c r="T73" i="2" s="1"/>
  <c r="AA260" i="2"/>
  <c r="AH260" i="2"/>
  <c r="AA110" i="2"/>
  <c r="AH110" i="2"/>
  <c r="AI110" i="2" s="1"/>
  <c r="AZ127" i="2"/>
  <c r="AH115" i="2"/>
  <c r="AZ20" i="2"/>
  <c r="T20" i="2" s="1"/>
  <c r="AA183" i="2"/>
  <c r="AH183" i="2"/>
  <c r="AH134" i="2"/>
  <c r="AI134" i="2" s="1"/>
  <c r="AA134" i="2"/>
  <c r="AZ112" i="2"/>
  <c r="T112" i="2" s="1"/>
  <c r="AZ65" i="2"/>
  <c r="AZ204" i="2"/>
  <c r="AZ101" i="2"/>
  <c r="T101" i="2" s="1"/>
  <c r="AA34" i="2"/>
  <c r="AH34" i="2"/>
  <c r="AI34" i="2" s="1"/>
  <c r="AH24" i="2"/>
  <c r="AA24" i="2"/>
  <c r="AA122" i="2"/>
  <c r="AH122" i="2"/>
  <c r="AI122" i="2" s="1"/>
  <c r="AH23" i="2"/>
  <c r="AA23" i="2"/>
  <c r="AA15" i="2"/>
  <c r="AB15" i="2" s="1"/>
  <c r="AH15" i="2"/>
  <c r="AA120" i="2"/>
  <c r="AH120" i="2"/>
  <c r="AI120" i="2" s="1"/>
  <c r="AA158" i="2"/>
  <c r="AH158" i="2"/>
  <c r="AI158" i="2" s="1"/>
  <c r="AA247" i="2"/>
  <c r="AH247" i="2"/>
  <c r="AH177" i="2"/>
  <c r="AI177" i="2" s="1"/>
  <c r="AA177" i="2"/>
  <c r="AH106" i="2"/>
  <c r="AI106" i="2" s="1"/>
  <c r="AA106" i="2"/>
  <c r="AH81" i="2"/>
  <c r="AI81" i="2" s="1"/>
  <c r="AA81" i="2"/>
  <c r="AH21" i="2"/>
  <c r="AI21" i="2" s="1"/>
  <c r="AA21" i="2"/>
  <c r="AH222" i="2"/>
  <c r="AI222" i="2" s="1"/>
  <c r="AH221" i="2"/>
  <c r="AI221" i="2" s="1"/>
  <c r="AA221" i="2"/>
  <c r="AZ196" i="2"/>
  <c r="AH59" i="2"/>
  <c r="AZ70" i="2"/>
  <c r="AH75" i="2"/>
  <c r="AA75" i="2"/>
  <c r="AZ72" i="2"/>
  <c r="T72" i="2" s="1"/>
  <c r="AH55" i="2"/>
  <c r="AA55" i="2"/>
  <c r="AA208" i="2"/>
  <c r="AH208" i="2"/>
  <c r="AZ125" i="2"/>
  <c r="AH145" i="2"/>
  <c r="AI145" i="2" s="1"/>
  <c r="AA206" i="2"/>
  <c r="AZ263" i="2"/>
  <c r="AH45" i="2"/>
  <c r="AI45" i="2" s="1"/>
  <c r="AA45" i="2"/>
  <c r="AZ36" i="2"/>
  <c r="AH27" i="2"/>
  <c r="AA27" i="2"/>
  <c r="AZ48" i="2"/>
  <c r="T48" i="2" s="1"/>
  <c r="AA66" i="2"/>
  <c r="AH66" i="2"/>
  <c r="AI66" i="2" s="1"/>
  <c r="AZ205" i="2"/>
  <c r="T205" i="2" s="1"/>
  <c r="AZ275" i="2"/>
  <c r="T275" i="2" s="1"/>
  <c r="AZ149" i="2"/>
  <c r="T149" i="2" s="1"/>
  <c r="AZ138" i="2"/>
  <c r="AZ132" i="2"/>
  <c r="T132" i="2" s="1"/>
  <c r="AZ191" i="2"/>
  <c r="T191" i="2" s="1"/>
  <c r="AZ38" i="2"/>
  <c r="T38" i="2" s="1"/>
  <c r="AZ243" i="2"/>
  <c r="T243" i="2" s="1"/>
  <c r="AZ197" i="2"/>
  <c r="T197" i="2" s="1"/>
  <c r="AZ116" i="2"/>
  <c r="AH175" i="2"/>
  <c r="AZ31" i="2"/>
  <c r="AZ144" i="2"/>
  <c r="AZ270" i="2"/>
  <c r="AZ218" i="2"/>
  <c r="AZ166" i="2"/>
  <c r="AH104" i="2"/>
  <c r="AI104" i="2" s="1"/>
  <c r="AZ103" i="2"/>
  <c r="T103" i="2" s="1"/>
  <c r="AZ60" i="2"/>
  <c r="AZ213" i="2"/>
  <c r="T213" i="2" s="1"/>
  <c r="AZ54" i="2"/>
  <c r="T54" i="2" s="1"/>
  <c r="AZ240" i="2"/>
  <c r="AZ174" i="2"/>
  <c r="T174" i="2" s="1"/>
  <c r="AZ227" i="2"/>
  <c r="T227" i="2" s="1"/>
  <c r="AZ237" i="2"/>
  <c r="AZ113" i="2"/>
  <c r="T113" i="2" s="1"/>
  <c r="AZ170" i="2"/>
  <c r="T170" i="2" s="1"/>
  <c r="AZ256" i="2"/>
  <c r="T256" i="2" s="1"/>
  <c r="M55" i="2"/>
  <c r="F55" i="2"/>
  <c r="M27" i="2"/>
  <c r="M66" i="2"/>
  <c r="F66" i="2"/>
  <c r="M132" i="2"/>
  <c r="F41" i="2"/>
  <c r="AZ147" i="2"/>
  <c r="T147" i="2" s="1"/>
  <c r="F175" i="2"/>
  <c r="AZ192" i="2"/>
  <c r="T192" i="2" s="1"/>
  <c r="AZ139" i="2"/>
  <c r="AZ215" i="2"/>
  <c r="T215" i="2" s="1"/>
  <c r="AZ32" i="2"/>
  <c r="T32" i="2" s="1"/>
  <c r="AZ56" i="2"/>
  <c r="T56" i="2" s="1"/>
  <c r="AZ276" i="2"/>
  <c r="T276" i="2" s="1"/>
  <c r="AZ98" i="2"/>
  <c r="T98" i="2" s="1"/>
  <c r="AZ123" i="2"/>
  <c r="T123" i="2" s="1"/>
  <c r="AZ159" i="2"/>
  <c r="T159" i="2" s="1"/>
  <c r="AZ266" i="2"/>
  <c r="T266" i="2" s="1"/>
  <c r="AZ26" i="2"/>
  <c r="T26" i="2" s="1"/>
  <c r="AZ216" i="2"/>
  <c r="T216" i="2" s="1"/>
  <c r="AZ85" i="2"/>
  <c r="T85" i="2" s="1"/>
  <c r="M18" i="2"/>
  <c r="F18" i="2"/>
  <c r="AZ152" i="2"/>
  <c r="T152" i="2" s="1"/>
  <c r="AZ79" i="2"/>
  <c r="T79" i="2" s="1"/>
  <c r="AZ185" i="2"/>
  <c r="T185" i="2" s="1"/>
  <c r="AZ254" i="2"/>
  <c r="T254" i="2" s="1"/>
  <c r="M208" i="2"/>
  <c r="F208" i="2"/>
  <c r="M145" i="2"/>
  <c r="F145" i="2"/>
  <c r="F141" i="2"/>
  <c r="M148" i="2"/>
  <c r="F161" i="2"/>
  <c r="M161" i="2"/>
  <c r="M233" i="2"/>
  <c r="AZ28" i="2"/>
  <c r="T28" i="2" s="1"/>
  <c r="F88" i="2"/>
  <c r="M88" i="2"/>
  <c r="AZ67" i="2"/>
  <c r="T67" i="2" s="1"/>
  <c r="M274" i="2"/>
  <c r="F274" i="2"/>
  <c r="F269" i="2"/>
  <c r="M269" i="2"/>
  <c r="AZ42" i="2"/>
  <c r="T42" i="2" s="1"/>
  <c r="M15" i="2"/>
  <c r="N15" i="2" s="1"/>
  <c r="U15" i="2"/>
  <c r="AZ89" i="2"/>
  <c r="T89" i="2" s="1"/>
  <c r="AZ118" i="2"/>
  <c r="T118" i="2" s="1"/>
  <c r="F120" i="2"/>
  <c r="M120" i="2"/>
  <c r="F158" i="2"/>
  <c r="M158" i="2"/>
  <c r="AZ273" i="2"/>
  <c r="T273" i="2" s="1"/>
  <c r="AZ156" i="2"/>
  <c r="T156" i="2" s="1"/>
  <c r="AZ180" i="2"/>
  <c r="T180" i="2" s="1"/>
  <c r="M91" i="2"/>
  <c r="F91" i="2"/>
  <c r="AZ264" i="2"/>
  <c r="T264" i="2" s="1"/>
  <c r="AZ25" i="2"/>
  <c r="T25" i="2" s="1"/>
  <c r="F137" i="2"/>
  <c r="M137" i="2"/>
  <c r="AZ181" i="2"/>
  <c r="T181" i="2" s="1"/>
  <c r="AZ35" i="2"/>
  <c r="T35" i="2" s="1"/>
  <c r="AZ226" i="2"/>
  <c r="T226" i="2" s="1"/>
  <c r="M247" i="2"/>
  <c r="F247" i="2"/>
  <c r="AZ234" i="2"/>
  <c r="T234" i="2" s="1"/>
  <c r="F177" i="2"/>
  <c r="M177" i="2"/>
  <c r="AZ176" i="2"/>
  <c r="T176" i="2" s="1"/>
  <c r="AZ160" i="2"/>
  <c r="T160" i="2" s="1"/>
  <c r="AZ143" i="2"/>
  <c r="AZ202" i="2"/>
  <c r="T202" i="2" s="1"/>
  <c r="AZ195" i="2"/>
  <c r="T195" i="2" s="1"/>
  <c r="AZ71" i="2"/>
  <c r="T71" i="2" s="1"/>
  <c r="F24" i="2"/>
  <c r="M24" i="2"/>
  <c r="F223" i="2"/>
  <c r="M253" i="2"/>
  <c r="F253" i="2"/>
  <c r="F23" i="2"/>
  <c r="M23" i="2"/>
  <c r="F106" i="2"/>
  <c r="M106" i="2"/>
  <c r="F81" i="2"/>
  <c r="M81" i="2"/>
  <c r="AZ262" i="2"/>
  <c r="T262" i="2" s="1"/>
  <c r="M62" i="2"/>
  <c r="F62" i="2"/>
  <c r="AZ76" i="2"/>
  <c r="T76" i="2" s="1"/>
  <c r="AZ46" i="2"/>
  <c r="T46" i="2" s="1"/>
  <c r="M21" i="2"/>
  <c r="F21" i="2"/>
  <c r="F69" i="2"/>
  <c r="M69" i="2"/>
  <c r="AZ140" i="2"/>
  <c r="F221" i="2"/>
  <c r="M221" i="2"/>
  <c r="AZ150" i="2"/>
  <c r="T150" i="2" s="1"/>
  <c r="AZ154" i="2"/>
  <c r="T154" i="2" s="1"/>
  <c r="AZ199" i="2"/>
  <c r="T199" i="2" s="1"/>
  <c r="M164" i="2"/>
  <c r="F164" i="2"/>
  <c r="AZ189" i="2"/>
  <c r="T189" i="2" s="1"/>
  <c r="AZ83" i="2"/>
  <c r="T83" i="2" s="1"/>
  <c r="AZ219" i="2"/>
  <c r="T219" i="2" s="1"/>
  <c r="AZ68" i="2"/>
  <c r="T68" i="2" s="1"/>
  <c r="F59" i="2"/>
  <c r="M59" i="2"/>
  <c r="AZ49" i="2"/>
  <c r="T49" i="2" s="1"/>
  <c r="AZ131" i="2"/>
  <c r="T131" i="2" s="1"/>
  <c r="AZ119" i="2"/>
  <c r="T119" i="2" s="1"/>
  <c r="AZ229" i="2"/>
  <c r="T229" i="2" s="1"/>
  <c r="AZ84" i="2"/>
  <c r="T84" i="2" s="1"/>
  <c r="AZ53" i="2"/>
  <c r="T53" i="2" s="1"/>
  <c r="AZ236" i="2"/>
  <c r="T236" i="2" s="1"/>
  <c r="AZ37" i="2"/>
  <c r="T37" i="2" s="1"/>
  <c r="AZ22" i="2"/>
  <c r="T22" i="2" s="1"/>
  <c r="AZ128" i="2"/>
  <c r="T128" i="2" s="1"/>
  <c r="AZ268" i="2"/>
  <c r="T268" i="2" s="1"/>
  <c r="AZ39" i="2"/>
  <c r="T39" i="2" s="1"/>
  <c r="AZ61" i="2"/>
  <c r="T61" i="2" s="1"/>
  <c r="AZ239" i="2"/>
  <c r="T239" i="2" s="1"/>
  <c r="AZ135" i="2"/>
  <c r="AZ162" i="2"/>
  <c r="T162" i="2" s="1"/>
  <c r="AZ95" i="2"/>
  <c r="T95" i="2" s="1"/>
  <c r="AZ90" i="2"/>
  <c r="T90" i="2" s="1"/>
  <c r="AZ217" i="2"/>
  <c r="T217" i="2" s="1"/>
  <c r="AZ187" i="2"/>
  <c r="T187" i="2" s="1"/>
  <c r="AZ193" i="2"/>
  <c r="T193" i="2" s="1"/>
  <c r="AZ111" i="2"/>
  <c r="T111" i="2" s="1"/>
  <c r="AZ255" i="2"/>
  <c r="T255" i="2" s="1"/>
  <c r="AZ126" i="2"/>
  <c r="T126" i="2" s="1"/>
  <c r="AZ230" i="2"/>
  <c r="T230" i="2" s="1"/>
  <c r="AZ64" i="2"/>
  <c r="T64" i="2" s="1"/>
  <c r="AZ33" i="2"/>
  <c r="T33" i="2" s="1"/>
  <c r="AZ92" i="2"/>
  <c r="T92" i="2" s="1"/>
  <c r="AZ100" i="2"/>
  <c r="T100" i="2" s="1"/>
  <c r="AZ77" i="2"/>
  <c r="T77" i="2" s="1"/>
  <c r="AZ86" i="2"/>
  <c r="T86" i="2" s="1"/>
  <c r="AZ277" i="2"/>
  <c r="T277" i="2" s="1"/>
  <c r="M75" i="2"/>
  <c r="F75" i="2"/>
  <c r="F45" i="2"/>
  <c r="M45" i="2"/>
  <c r="M34" i="2"/>
  <c r="F34" i="2"/>
  <c r="AZ142" i="2"/>
  <c r="F261" i="2"/>
  <c r="M261" i="2"/>
  <c r="M188" i="2"/>
  <c r="M122" i="2"/>
  <c r="F122" i="2"/>
  <c r="M153" i="2"/>
  <c r="F153" i="2"/>
  <c r="M179" i="2"/>
  <c r="F179" i="2"/>
  <c r="M225" i="2"/>
  <c r="F225" i="2"/>
  <c r="AZ209" i="2"/>
  <c r="T209" i="2" s="1"/>
  <c r="AZ51" i="2"/>
  <c r="T51" i="2" s="1"/>
  <c r="AZ82" i="2"/>
  <c r="T82" i="2" s="1"/>
  <c r="AZ198" i="2"/>
  <c r="T198" i="2" s="1"/>
  <c r="M184" i="2"/>
  <c r="F184" i="2"/>
  <c r="AZ250" i="2"/>
  <c r="T250" i="2" s="1"/>
  <c r="AZ224" i="2"/>
  <c r="T224" i="2" s="1"/>
  <c r="F272" i="2"/>
  <c r="M272" i="2"/>
  <c r="F80" i="2"/>
  <c r="AZ47" i="2"/>
  <c r="T47" i="2" s="1"/>
  <c r="AZ212" i="2"/>
  <c r="T212" i="2" s="1"/>
  <c r="M130" i="2"/>
  <c r="F130" i="2"/>
  <c r="AZ244" i="2"/>
  <c r="T244" i="2" s="1"/>
  <c r="AZ252" i="2"/>
  <c r="T252" i="2" s="1"/>
  <c r="F87" i="2"/>
  <c r="M87" i="2"/>
  <c r="M260" i="2"/>
  <c r="F260" i="2"/>
  <c r="M110" i="2"/>
  <c r="F110" i="2"/>
  <c r="AZ107" i="2"/>
  <c r="T107" i="2" s="1"/>
  <c r="AZ44" i="2"/>
  <c r="T44" i="2" s="1"/>
  <c r="AZ121" i="2"/>
  <c r="T121" i="2" s="1"/>
  <c r="AZ207" i="2"/>
  <c r="T207" i="2" s="1"/>
  <c r="AZ190" i="2"/>
  <c r="T190" i="2" s="1"/>
  <c r="AZ245" i="2"/>
  <c r="T245" i="2" s="1"/>
  <c r="F183" i="2"/>
  <c r="M183" i="2"/>
  <c r="AZ220" i="2"/>
  <c r="AZ258" i="2"/>
  <c r="T258" i="2" s="1"/>
  <c r="AZ74" i="2"/>
  <c r="T74" i="2" s="1"/>
  <c r="AZ201" i="2"/>
  <c r="T201" i="2" s="1"/>
  <c r="M134" i="2"/>
  <c r="F134" i="2"/>
  <c r="AZ133" i="2"/>
  <c r="T133" i="2" s="1"/>
  <c r="AZ168" i="2"/>
  <c r="T168" i="2" s="1"/>
  <c r="AZ58" i="2"/>
  <c r="T58" i="2" s="1"/>
  <c r="AZ203" i="2"/>
  <c r="T203" i="2" s="1"/>
  <c r="AZ108" i="2"/>
  <c r="T108" i="2" s="1"/>
  <c r="AZ163" i="2"/>
  <c r="T163" i="2" s="1"/>
  <c r="AZ102" i="2"/>
  <c r="T102" i="2" s="1"/>
  <c r="AZ29" i="2"/>
  <c r="T29" i="2" s="1"/>
  <c r="AZ129" i="2"/>
  <c r="T129" i="2" s="1"/>
  <c r="AZ182" i="2"/>
  <c r="T182" i="2" s="1"/>
  <c r="AZ271" i="2"/>
  <c r="T271" i="2" s="1"/>
  <c r="AZ40" i="2"/>
  <c r="T40" i="2" s="1"/>
  <c r="AZ17" i="2"/>
  <c r="T17" i="2" s="1"/>
  <c r="AZ173" i="2"/>
  <c r="T173" i="2" s="1"/>
  <c r="AZ96" i="2"/>
  <c r="T96" i="2" s="1"/>
  <c r="AZ157" i="2"/>
  <c r="T157" i="2" s="1"/>
  <c r="AZ248" i="2"/>
  <c r="T248" i="2" s="1"/>
  <c r="AZ246" i="2"/>
  <c r="T246" i="2" s="1"/>
  <c r="AZ114" i="2"/>
  <c r="T114" i="2" s="1"/>
  <c r="AA259" i="2" l="1"/>
  <c r="F259" i="2"/>
  <c r="AV259" i="2"/>
  <c r="AW259" i="2" s="1"/>
  <c r="M259" i="2"/>
  <c r="N260" i="2" s="1"/>
  <c r="F265" i="2"/>
  <c r="AH259" i="2"/>
  <c r="AP260" i="2"/>
  <c r="AO259" i="2"/>
  <c r="AP259" i="2" s="1"/>
  <c r="AV251" i="2"/>
  <c r="AW251" i="2" s="1"/>
  <c r="M251" i="2"/>
  <c r="AA251" i="2"/>
  <c r="AH251" i="2"/>
  <c r="AI251" i="2" s="1"/>
  <c r="AO251" i="2"/>
  <c r="F251" i="2"/>
  <c r="F232" i="2"/>
  <c r="AA232" i="2"/>
  <c r="F233" i="2"/>
  <c r="G233" i="2" s="1"/>
  <c r="AA233" i="2"/>
  <c r="AV233" i="2"/>
  <c r="AW233" i="2" s="1"/>
  <c r="M232" i="2"/>
  <c r="N233" i="2" s="1"/>
  <c r="AH232" i="2"/>
  <c r="AI232" i="2" s="1"/>
  <c r="AH233" i="2"/>
  <c r="AI233" i="2" s="1"/>
  <c r="AV232" i="2"/>
  <c r="AW232" i="2" s="1"/>
  <c r="AO233" i="2"/>
  <c r="AP233" i="2" s="1"/>
  <c r="AO232" i="2"/>
  <c r="F222" i="2"/>
  <c r="AA222" i="2"/>
  <c r="AA223" i="2"/>
  <c r="AB223" i="2" s="1"/>
  <c r="AV223" i="2"/>
  <c r="AW223" i="2" s="1"/>
  <c r="AO223" i="2"/>
  <c r="AP223" i="2" s="1"/>
  <c r="F228" i="2"/>
  <c r="M222" i="2"/>
  <c r="N222" i="2" s="1"/>
  <c r="M223" i="2"/>
  <c r="N223" i="2" s="1"/>
  <c r="AV222" i="2"/>
  <c r="AW222" i="2" s="1"/>
  <c r="AO222" i="2"/>
  <c r="AP222" i="2" s="1"/>
  <c r="AA210" i="2"/>
  <c r="M206" i="2"/>
  <c r="F206" i="2"/>
  <c r="AH206" i="2"/>
  <c r="AI206" i="2" s="1"/>
  <c r="AV206" i="2"/>
  <c r="AW206" i="2" s="1"/>
  <c r="AA200" i="2"/>
  <c r="AH200" i="2"/>
  <c r="AI200" i="2" s="1"/>
  <c r="F200" i="2"/>
  <c r="AO200" i="2"/>
  <c r="AP200" i="2" s="1"/>
  <c r="M175" i="2"/>
  <c r="AA175" i="2"/>
  <c r="F169" i="2"/>
  <c r="AH169" i="2"/>
  <c r="AI169" i="2" s="1"/>
  <c r="M169" i="2"/>
  <c r="AA169" i="2"/>
  <c r="T138" i="2"/>
  <c r="AO138" i="2"/>
  <c r="T146" i="2"/>
  <c r="AO146" i="2"/>
  <c r="AP146" i="2" s="1"/>
  <c r="F146" i="2"/>
  <c r="T143" i="2"/>
  <c r="AO143" i="2"/>
  <c r="AP143" i="2" s="1"/>
  <c r="T139" i="2"/>
  <c r="AO139" i="2"/>
  <c r="AA146" i="2"/>
  <c r="AB146" i="2" s="1"/>
  <c r="T142" i="2"/>
  <c r="U142" i="2" s="1"/>
  <c r="AO142" i="2"/>
  <c r="AP142" i="2" s="1"/>
  <c r="T135" i="2"/>
  <c r="AO135" i="2"/>
  <c r="T144" i="2"/>
  <c r="AO144" i="2"/>
  <c r="AP144" i="2" s="1"/>
  <c r="T136" i="2"/>
  <c r="AO136" i="2"/>
  <c r="AP136" i="2" s="1"/>
  <c r="T145" i="2"/>
  <c r="U145" i="2" s="1"/>
  <c r="AO145" i="2"/>
  <c r="AP145" i="2" s="1"/>
  <c r="T141" i="2"/>
  <c r="AO141" i="2"/>
  <c r="AP141" i="2" s="1"/>
  <c r="T140" i="2"/>
  <c r="AO140" i="2"/>
  <c r="AP140" i="2" s="1"/>
  <c r="M141" i="2"/>
  <c r="AA145" i="2"/>
  <c r="AV141" i="2"/>
  <c r="AW141" i="2" s="1"/>
  <c r="AV146" i="2"/>
  <c r="AW146" i="2" s="1"/>
  <c r="T137" i="2"/>
  <c r="AO137" i="2"/>
  <c r="AH146" i="2"/>
  <c r="AI146" i="2" s="1"/>
  <c r="M146" i="2"/>
  <c r="N146" i="2" s="1"/>
  <c r="M138" i="2"/>
  <c r="F115" i="2"/>
  <c r="AA115" i="2"/>
  <c r="M104" i="2"/>
  <c r="AA104" i="2"/>
  <c r="M109" i="2"/>
  <c r="N110" i="2" s="1"/>
  <c r="F104" i="2"/>
  <c r="AV104" i="2"/>
  <c r="AW104" i="2" s="1"/>
  <c r="AO104" i="2"/>
  <c r="AO109" i="2"/>
  <c r="AP109" i="2" s="1"/>
  <c r="AO88" i="2"/>
  <c r="AP88" i="2" s="1"/>
  <c r="F78" i="2"/>
  <c r="M78" i="2"/>
  <c r="AH78" i="2"/>
  <c r="AI78" i="2" s="1"/>
  <c r="AA80" i="2"/>
  <c r="AA78" i="2"/>
  <c r="M80" i="2"/>
  <c r="AV80" i="2"/>
  <c r="AW80" i="2" s="1"/>
  <c r="AA63" i="2"/>
  <c r="AV52" i="2"/>
  <c r="AW52" i="2" s="1"/>
  <c r="M52" i="2"/>
  <c r="AO52" i="2"/>
  <c r="AP52" i="2" s="1"/>
  <c r="F52" i="2"/>
  <c r="AA52" i="2"/>
  <c r="F63" i="2"/>
  <c r="G63" i="2" s="1"/>
  <c r="AA59" i="2"/>
  <c r="AH52" i="2"/>
  <c r="AI52" i="2" s="1"/>
  <c r="AV59" i="2"/>
  <c r="AW59" i="2" s="1"/>
  <c r="M50" i="2"/>
  <c r="F50" i="2"/>
  <c r="AH50" i="2"/>
  <c r="AI50" i="2" s="1"/>
  <c r="AV50" i="2"/>
  <c r="AW50" i="2" s="1"/>
  <c r="AA50" i="2"/>
  <c r="M30" i="2"/>
  <c r="AH30" i="2"/>
  <c r="AI30" i="2" s="1"/>
  <c r="AA30" i="2"/>
  <c r="AV30" i="2"/>
  <c r="AW30" i="2" s="1"/>
  <c r="F30" i="2"/>
  <c r="AO30" i="2"/>
  <c r="AP30" i="2" s="1"/>
  <c r="F27" i="2"/>
  <c r="AA18" i="2"/>
  <c r="AV18" i="2"/>
  <c r="AW18" i="2" s="1"/>
  <c r="AV211" i="2"/>
  <c r="AW211" i="2" s="1"/>
  <c r="AH211" i="2"/>
  <c r="AI211" i="2" s="1"/>
  <c r="AO211" i="2"/>
  <c r="F249" i="2"/>
  <c r="M249" i="2"/>
  <c r="AV249" i="2"/>
  <c r="AW249" i="2" s="1"/>
  <c r="AA249" i="2"/>
  <c r="AO249" i="2"/>
  <c r="AP249" i="2" s="1"/>
  <c r="AH249" i="2"/>
  <c r="AI249" i="2" s="1"/>
  <c r="AA265" i="2"/>
  <c r="AO265" i="2"/>
  <c r="AP265" i="2" s="1"/>
  <c r="M265" i="2"/>
  <c r="AH265" i="2"/>
  <c r="AI265" i="2" s="1"/>
  <c r="AV265" i="2"/>
  <c r="AW265" i="2" s="1"/>
  <c r="M200" i="2"/>
  <c r="M205" i="2"/>
  <c r="N206" i="2" s="1"/>
  <c r="AV200" i="2"/>
  <c r="AW200" i="2" s="1"/>
  <c r="AA194" i="2"/>
  <c r="AO194" i="2"/>
  <c r="AV194" i="2"/>
  <c r="AW194" i="2" s="1"/>
  <c r="F194" i="2"/>
  <c r="AH194" i="2"/>
  <c r="AI194" i="2" s="1"/>
  <c r="M194" i="2"/>
  <c r="F136" i="2"/>
  <c r="G137" i="2" s="1"/>
  <c r="AA136" i="2"/>
  <c r="AP137" i="2"/>
  <c r="F109" i="2"/>
  <c r="AH109" i="2"/>
  <c r="AI109" i="2" s="1"/>
  <c r="AP110" i="2"/>
  <c r="AV94" i="2"/>
  <c r="AW94" i="2" s="1"/>
  <c r="F94" i="2"/>
  <c r="AO94" i="2"/>
  <c r="AP94" i="2" s="1"/>
  <c r="AH94" i="2"/>
  <c r="AI94" i="2" s="1"/>
  <c r="M94" i="2"/>
  <c r="AA94" i="2"/>
  <c r="AV78" i="2"/>
  <c r="AW78" i="2" s="1"/>
  <c r="AO78" i="2"/>
  <c r="AP78" i="2" s="1"/>
  <c r="AA41" i="2"/>
  <c r="AH41" i="2"/>
  <c r="AI41" i="2" s="1"/>
  <c r="M41" i="2"/>
  <c r="AO27" i="2"/>
  <c r="AV27" i="2"/>
  <c r="AW27" i="2" s="1"/>
  <c r="AV270" i="2"/>
  <c r="AW270" i="2" s="1"/>
  <c r="T270" i="2"/>
  <c r="U270" i="2" s="1"/>
  <c r="AV263" i="2"/>
  <c r="AW263" i="2" s="1"/>
  <c r="T263" i="2"/>
  <c r="AH267" i="2"/>
  <c r="AI267" i="2" s="1"/>
  <c r="T267" i="2"/>
  <c r="U268" i="2" s="1"/>
  <c r="AV240" i="2"/>
  <c r="AW240" i="2" s="1"/>
  <c r="T240" i="2"/>
  <c r="M241" i="2"/>
  <c r="T241" i="2"/>
  <c r="AH242" i="2"/>
  <c r="AI242" i="2" s="1"/>
  <c r="T242" i="2"/>
  <c r="U243" i="2" s="1"/>
  <c r="F237" i="2"/>
  <c r="T237" i="2"/>
  <c r="U238" i="2" s="1"/>
  <c r="F241" i="2"/>
  <c r="G242" i="2" s="1"/>
  <c r="AH231" i="2"/>
  <c r="AB232" i="2" s="1"/>
  <c r="T231" i="2"/>
  <c r="AP221" i="2"/>
  <c r="T220" i="2"/>
  <c r="U221" i="2" s="1"/>
  <c r="M228" i="2"/>
  <c r="AV210" i="2"/>
  <c r="AW210" i="2" s="1"/>
  <c r="F210" i="2"/>
  <c r="AV218" i="2"/>
  <c r="AW218" i="2" s="1"/>
  <c r="T218" i="2"/>
  <c r="F214" i="2"/>
  <c r="T214" i="2"/>
  <c r="AO210" i="2"/>
  <c r="AP210" i="2" s="1"/>
  <c r="F211" i="2"/>
  <c r="M210" i="2"/>
  <c r="AA211" i="2"/>
  <c r="AH214" i="2"/>
  <c r="AI214" i="2" s="1"/>
  <c r="AH210" i="2"/>
  <c r="AI210" i="2" s="1"/>
  <c r="AP211" i="2"/>
  <c r="M211" i="2"/>
  <c r="AV196" i="2"/>
  <c r="AW196" i="2" s="1"/>
  <c r="T196" i="2"/>
  <c r="U197" i="2" s="1"/>
  <c r="AV204" i="2"/>
  <c r="AW204" i="2" s="1"/>
  <c r="T204" i="2"/>
  <c r="AO188" i="2"/>
  <c r="AA188" i="2"/>
  <c r="F188" i="2"/>
  <c r="AH188" i="2"/>
  <c r="AI188" i="2" s="1"/>
  <c r="AV188" i="2"/>
  <c r="AW188" i="2" s="1"/>
  <c r="M172" i="2"/>
  <c r="F172" i="2"/>
  <c r="AV172" i="2"/>
  <c r="AW172" i="2" s="1"/>
  <c r="T172" i="2"/>
  <c r="AV171" i="2"/>
  <c r="AW171" i="2" s="1"/>
  <c r="T171" i="2"/>
  <c r="F166" i="2"/>
  <c r="T166" i="2"/>
  <c r="U167" i="2" s="1"/>
  <c r="AV165" i="2"/>
  <c r="AW165" i="2" s="1"/>
  <c r="T165" i="2"/>
  <c r="U165" i="2" s="1"/>
  <c r="M151" i="2"/>
  <c r="T151" i="2"/>
  <c r="F148" i="2"/>
  <c r="M136" i="2"/>
  <c r="AH136" i="2"/>
  <c r="AI136" i="2" s="1"/>
  <c r="AV136" i="2"/>
  <c r="AW136" i="2" s="1"/>
  <c r="AV125" i="2"/>
  <c r="AW125" i="2" s="1"/>
  <c r="T125" i="2"/>
  <c r="AV124" i="2"/>
  <c r="AW124" i="2" s="1"/>
  <c r="T124" i="2"/>
  <c r="AV127" i="2"/>
  <c r="AW127" i="2" s="1"/>
  <c r="T127" i="2"/>
  <c r="M112" i="2"/>
  <c r="AO115" i="2"/>
  <c r="AP115" i="2" s="1"/>
  <c r="F117" i="2"/>
  <c r="T117" i="2"/>
  <c r="F112" i="2"/>
  <c r="M115" i="2"/>
  <c r="AV116" i="2"/>
  <c r="AW116" i="2" s="1"/>
  <c r="T116" i="2"/>
  <c r="AV115" i="2"/>
  <c r="AW115" i="2" s="1"/>
  <c r="AV109" i="2"/>
  <c r="AW109" i="2" s="1"/>
  <c r="AV97" i="2"/>
  <c r="AW97" i="2" s="1"/>
  <c r="M97" i="2"/>
  <c r="AV93" i="2"/>
  <c r="AW93" i="2" s="1"/>
  <c r="T93" i="2"/>
  <c r="U94" i="2" s="1"/>
  <c r="AO97" i="2"/>
  <c r="F97" i="2"/>
  <c r="AH97" i="2"/>
  <c r="AI97" i="2" s="1"/>
  <c r="AA97" i="2"/>
  <c r="AV65" i="2"/>
  <c r="AW65" i="2" s="1"/>
  <c r="T65" i="2"/>
  <c r="U66" i="2" s="1"/>
  <c r="AV70" i="2"/>
  <c r="AW70" i="2" s="1"/>
  <c r="T70" i="2"/>
  <c r="U70" i="2" s="1"/>
  <c r="M63" i="2"/>
  <c r="AH63" i="2"/>
  <c r="AI63" i="2" s="1"/>
  <c r="M60" i="2"/>
  <c r="N60" i="2" s="1"/>
  <c r="T60" i="2"/>
  <c r="U60" i="2" s="1"/>
  <c r="AV41" i="2"/>
  <c r="AW41" i="2" s="1"/>
  <c r="AO41" i="2"/>
  <c r="AV36" i="2"/>
  <c r="AW36" i="2" s="1"/>
  <c r="T36" i="2"/>
  <c r="M31" i="2"/>
  <c r="N31" i="2" s="1"/>
  <c r="T31" i="2"/>
  <c r="U32" i="2" s="1"/>
  <c r="AH19" i="2"/>
  <c r="AI19" i="2" s="1"/>
  <c r="AO18" i="2"/>
  <c r="AP18" i="2" s="1"/>
  <c r="AV16" i="2"/>
  <c r="AW16" i="2" s="1"/>
  <c r="T16" i="2"/>
  <c r="U16" i="2" s="1"/>
  <c r="F105" i="2"/>
  <c r="G106" i="2" s="1"/>
  <c r="M105" i="2"/>
  <c r="N105" i="2" s="1"/>
  <c r="M93" i="2"/>
  <c r="N94" i="2" s="1"/>
  <c r="M36" i="2"/>
  <c r="AA242" i="2"/>
  <c r="M242" i="2"/>
  <c r="M231" i="2"/>
  <c r="U232" i="2"/>
  <c r="G110" i="2"/>
  <c r="M196" i="2"/>
  <c r="F231" i="2"/>
  <c r="G232" i="2" s="1"/>
  <c r="M218" i="2"/>
  <c r="AA117" i="2"/>
  <c r="AA231" i="2"/>
  <c r="M125" i="2"/>
  <c r="M70" i="2"/>
  <c r="N70" i="2" s="1"/>
  <c r="AH171" i="2"/>
  <c r="AB172" i="2" s="1"/>
  <c r="AO182" i="2"/>
  <c r="AP182" i="2" s="1"/>
  <c r="AV182" i="2"/>
  <c r="AW182" i="2" s="1"/>
  <c r="AO133" i="2"/>
  <c r="AP133" i="2" s="1"/>
  <c r="AV133" i="2"/>
  <c r="AW133" i="2" s="1"/>
  <c r="AO121" i="2"/>
  <c r="AP121" i="2" s="1"/>
  <c r="AV121" i="2"/>
  <c r="AW121" i="2" s="1"/>
  <c r="AO47" i="2"/>
  <c r="AP47" i="2" s="1"/>
  <c r="AV47" i="2"/>
  <c r="AW47" i="2" s="1"/>
  <c r="AO250" i="2"/>
  <c r="AP250" i="2" s="1"/>
  <c r="AV250" i="2"/>
  <c r="AW250" i="2" s="1"/>
  <c r="AO92" i="2"/>
  <c r="AP92" i="2" s="1"/>
  <c r="AV92" i="2"/>
  <c r="AW92" i="2" s="1"/>
  <c r="AO126" i="2"/>
  <c r="AP126" i="2" s="1"/>
  <c r="AV126" i="2"/>
  <c r="AW126" i="2" s="1"/>
  <c r="AO128" i="2"/>
  <c r="AP128" i="2" s="1"/>
  <c r="AV128" i="2"/>
  <c r="AW128" i="2" s="1"/>
  <c r="AO131" i="2"/>
  <c r="AP131" i="2" s="1"/>
  <c r="AV131" i="2"/>
  <c r="AW131" i="2" s="1"/>
  <c r="AO189" i="2"/>
  <c r="AP189" i="2" s="1"/>
  <c r="AV189" i="2"/>
  <c r="AW189" i="2" s="1"/>
  <c r="AO98" i="2"/>
  <c r="AP98" i="2" s="1"/>
  <c r="AV98" i="2"/>
  <c r="AW98" i="2" s="1"/>
  <c r="AO227" i="2"/>
  <c r="AP227" i="2" s="1"/>
  <c r="AV227" i="2"/>
  <c r="AW227" i="2" s="1"/>
  <c r="AO243" i="2"/>
  <c r="AP243" i="2" s="1"/>
  <c r="AV243" i="2"/>
  <c r="AW243" i="2" s="1"/>
  <c r="AO43" i="2"/>
  <c r="AP43" i="2" s="1"/>
  <c r="AV43" i="2"/>
  <c r="AW43" i="2" s="1"/>
  <c r="AO167" i="2"/>
  <c r="AP167" i="2" s="1"/>
  <c r="AV167" i="2"/>
  <c r="AW167" i="2" s="1"/>
  <c r="AO57" i="2"/>
  <c r="AP57" i="2" s="1"/>
  <c r="AV57" i="2"/>
  <c r="AW57" i="2" s="1"/>
  <c r="AO267" i="2"/>
  <c r="AP267" i="2" s="1"/>
  <c r="AV267" i="2"/>
  <c r="AW267" i="2" s="1"/>
  <c r="AO248" i="2"/>
  <c r="AP248" i="2" s="1"/>
  <c r="AV248" i="2"/>
  <c r="AW248" i="2" s="1"/>
  <c r="AO17" i="2"/>
  <c r="AP17" i="2" s="1"/>
  <c r="AV17" i="2"/>
  <c r="AW17" i="2" s="1"/>
  <c r="AO129" i="2"/>
  <c r="AP129" i="2" s="1"/>
  <c r="AV129" i="2"/>
  <c r="AW129" i="2" s="1"/>
  <c r="AO108" i="2"/>
  <c r="AP108" i="2" s="1"/>
  <c r="AV108" i="2"/>
  <c r="AW108" i="2" s="1"/>
  <c r="AO74" i="2"/>
  <c r="AP74" i="2" s="1"/>
  <c r="AV74" i="2"/>
  <c r="AW74" i="2" s="1"/>
  <c r="AO44" i="2"/>
  <c r="AP44" i="2" s="1"/>
  <c r="AV44" i="2"/>
  <c r="AW44" i="2" s="1"/>
  <c r="AO252" i="2"/>
  <c r="AP252" i="2" s="1"/>
  <c r="AV252" i="2"/>
  <c r="AW252" i="2" s="1"/>
  <c r="AO82" i="2"/>
  <c r="AP82" i="2" s="1"/>
  <c r="AV82" i="2"/>
  <c r="AW82" i="2" s="1"/>
  <c r="F167" i="2"/>
  <c r="AV142" i="2"/>
  <c r="AW142" i="2" s="1"/>
  <c r="AO86" i="2"/>
  <c r="AP86" i="2" s="1"/>
  <c r="AV86" i="2"/>
  <c r="AW86" i="2" s="1"/>
  <c r="AO33" i="2"/>
  <c r="AP33" i="2" s="1"/>
  <c r="AV33" i="2"/>
  <c r="AW33" i="2" s="1"/>
  <c r="AO255" i="2"/>
  <c r="AP255" i="2" s="1"/>
  <c r="AV255" i="2"/>
  <c r="AW255" i="2" s="1"/>
  <c r="AO217" i="2"/>
  <c r="AP217" i="2" s="1"/>
  <c r="AV217" i="2"/>
  <c r="AW217" i="2" s="1"/>
  <c r="AP135" i="2"/>
  <c r="AV135" i="2"/>
  <c r="AW135" i="2" s="1"/>
  <c r="AO239" i="2"/>
  <c r="AP239" i="2" s="1"/>
  <c r="AV239" i="2"/>
  <c r="AW239" i="2" s="1"/>
  <c r="AO61" i="2"/>
  <c r="AP61" i="2" s="1"/>
  <c r="AV61" i="2"/>
  <c r="AW61" i="2" s="1"/>
  <c r="AO22" i="2"/>
  <c r="AP22" i="2" s="1"/>
  <c r="AV22" i="2"/>
  <c r="AW22" i="2" s="1"/>
  <c r="AO84" i="2"/>
  <c r="AP84" i="2" s="1"/>
  <c r="AV84" i="2"/>
  <c r="AW84" i="2" s="1"/>
  <c r="AO49" i="2"/>
  <c r="AP49" i="2" s="1"/>
  <c r="AV49" i="2"/>
  <c r="AW49" i="2" s="1"/>
  <c r="AO68" i="2"/>
  <c r="AP68" i="2" s="1"/>
  <c r="AV68" i="2"/>
  <c r="AW68" i="2" s="1"/>
  <c r="AV140" i="2"/>
  <c r="AW140" i="2" s="1"/>
  <c r="M57" i="2"/>
  <c r="F267" i="2"/>
  <c r="AO160" i="2"/>
  <c r="AP160" i="2" s="1"/>
  <c r="AV160" i="2"/>
  <c r="AW160" i="2" s="1"/>
  <c r="AO176" i="2"/>
  <c r="AP176" i="2" s="1"/>
  <c r="AV176" i="2"/>
  <c r="AW176" i="2" s="1"/>
  <c r="AO234" i="2"/>
  <c r="AP234" i="2" s="1"/>
  <c r="AV234" i="2"/>
  <c r="AW234" i="2" s="1"/>
  <c r="AO226" i="2"/>
  <c r="AP226" i="2" s="1"/>
  <c r="AV226" i="2"/>
  <c r="AW226" i="2" s="1"/>
  <c r="AO25" i="2"/>
  <c r="AP25" i="2" s="1"/>
  <c r="AV25" i="2"/>
  <c r="AW25" i="2" s="1"/>
  <c r="AO79" i="2"/>
  <c r="AP79" i="2" s="1"/>
  <c r="AV79" i="2"/>
  <c r="AW79" i="2" s="1"/>
  <c r="AO159" i="2"/>
  <c r="AP159" i="2" s="1"/>
  <c r="AV159" i="2"/>
  <c r="AW159" i="2" s="1"/>
  <c r="AO276" i="2"/>
  <c r="AP276" i="2" s="1"/>
  <c r="AV276" i="2"/>
  <c r="AW276" i="2" s="1"/>
  <c r="AO215" i="2"/>
  <c r="AP215" i="2" s="1"/>
  <c r="AV215" i="2"/>
  <c r="AW215" i="2" s="1"/>
  <c r="AO192" i="2"/>
  <c r="AP192" i="2" s="1"/>
  <c r="AV192" i="2"/>
  <c r="AW192" i="2" s="1"/>
  <c r="AO170" i="2"/>
  <c r="AP170" i="2" s="1"/>
  <c r="AV170" i="2"/>
  <c r="AW170" i="2" s="1"/>
  <c r="AO174" i="2"/>
  <c r="AP174" i="2" s="1"/>
  <c r="AV174" i="2"/>
  <c r="AW174" i="2" s="1"/>
  <c r="AO60" i="2"/>
  <c r="AP60" i="2" s="1"/>
  <c r="AV60" i="2"/>
  <c r="AW60" i="2" s="1"/>
  <c r="AO166" i="2"/>
  <c r="AP166" i="2" s="1"/>
  <c r="AV166" i="2"/>
  <c r="AW166" i="2" s="1"/>
  <c r="AO31" i="2"/>
  <c r="AP31" i="2" s="1"/>
  <c r="AV31" i="2"/>
  <c r="AW31" i="2" s="1"/>
  <c r="AO197" i="2"/>
  <c r="AP197" i="2" s="1"/>
  <c r="AV197" i="2"/>
  <c r="AW197" i="2" s="1"/>
  <c r="AO38" i="2"/>
  <c r="AP38" i="2" s="1"/>
  <c r="AV38" i="2"/>
  <c r="AW38" i="2" s="1"/>
  <c r="AO149" i="2"/>
  <c r="AP149" i="2" s="1"/>
  <c r="AV149" i="2"/>
  <c r="AW149" i="2" s="1"/>
  <c r="AH117" i="2"/>
  <c r="AI117" i="2" s="1"/>
  <c r="AA267" i="2"/>
  <c r="AP179" i="2"/>
  <c r="AV178" i="2"/>
  <c r="AW178" i="2" s="1"/>
  <c r="AH257" i="2"/>
  <c r="AI257" i="2" s="1"/>
  <c r="AV257" i="2"/>
  <c r="AW257" i="2" s="1"/>
  <c r="F99" i="2"/>
  <c r="AV99" i="2"/>
  <c r="AW99" i="2" s="1"/>
  <c r="AO242" i="2"/>
  <c r="AP242" i="2" s="1"/>
  <c r="AV242" i="2"/>
  <c r="AW242" i="2" s="1"/>
  <c r="AO246" i="2"/>
  <c r="AP246" i="2" s="1"/>
  <c r="AV246" i="2"/>
  <c r="AW246" i="2" s="1"/>
  <c r="AO162" i="2"/>
  <c r="AP162" i="2" s="1"/>
  <c r="AV162" i="2"/>
  <c r="AW162" i="2" s="1"/>
  <c r="AO53" i="2"/>
  <c r="AP53" i="2" s="1"/>
  <c r="AV53" i="2"/>
  <c r="AW53" i="2" s="1"/>
  <c r="AV143" i="2"/>
  <c r="AW143" i="2" s="1"/>
  <c r="AO273" i="2"/>
  <c r="AP273" i="2" s="1"/>
  <c r="AV273" i="2"/>
  <c r="AW273" i="2" s="1"/>
  <c r="AO216" i="2"/>
  <c r="AP216" i="2" s="1"/>
  <c r="AV216" i="2"/>
  <c r="AW216" i="2" s="1"/>
  <c r="AO32" i="2"/>
  <c r="AP32" i="2" s="1"/>
  <c r="AV32" i="2"/>
  <c r="AW32" i="2" s="1"/>
  <c r="AO72" i="2"/>
  <c r="AP72" i="2" s="1"/>
  <c r="AV72" i="2"/>
  <c r="AW72" i="2" s="1"/>
  <c r="AO101" i="2"/>
  <c r="AP101" i="2" s="1"/>
  <c r="AV101" i="2"/>
  <c r="AW101" i="2" s="1"/>
  <c r="AO186" i="2"/>
  <c r="AP186" i="2" s="1"/>
  <c r="AV186" i="2"/>
  <c r="AW186" i="2" s="1"/>
  <c r="AP247" i="2"/>
  <c r="AO29" i="2"/>
  <c r="AP29" i="2" s="1"/>
  <c r="AV29" i="2"/>
  <c r="AW29" i="2" s="1"/>
  <c r="AO245" i="2"/>
  <c r="AP245" i="2" s="1"/>
  <c r="AV245" i="2"/>
  <c r="AW245" i="2" s="1"/>
  <c r="AO107" i="2"/>
  <c r="AP107" i="2" s="1"/>
  <c r="AV107" i="2"/>
  <c r="AW107" i="2" s="1"/>
  <c r="AO209" i="2"/>
  <c r="AP209" i="2" s="1"/>
  <c r="AV209" i="2"/>
  <c r="AW209" i="2" s="1"/>
  <c r="AO77" i="2"/>
  <c r="AP77" i="2" s="1"/>
  <c r="AV77" i="2"/>
  <c r="AW77" i="2" s="1"/>
  <c r="AO111" i="2"/>
  <c r="AP111" i="2" s="1"/>
  <c r="AV111" i="2"/>
  <c r="AW111" i="2" s="1"/>
  <c r="AO90" i="2"/>
  <c r="AP90" i="2" s="1"/>
  <c r="AV90" i="2"/>
  <c r="AW90" i="2" s="1"/>
  <c r="F186" i="2"/>
  <c r="AO39" i="2"/>
  <c r="AP39" i="2" s="1"/>
  <c r="AV39" i="2"/>
  <c r="AW39" i="2" s="1"/>
  <c r="AO37" i="2"/>
  <c r="AP37" i="2" s="1"/>
  <c r="AV37" i="2"/>
  <c r="AW37" i="2" s="1"/>
  <c r="AO229" i="2"/>
  <c r="AP229" i="2" s="1"/>
  <c r="AV229" i="2"/>
  <c r="AW229" i="2" s="1"/>
  <c r="AO219" i="2"/>
  <c r="AP219" i="2" s="1"/>
  <c r="AV219" i="2"/>
  <c r="AW219" i="2" s="1"/>
  <c r="AO154" i="2"/>
  <c r="AP154" i="2" s="1"/>
  <c r="AV154" i="2"/>
  <c r="AW154" i="2" s="1"/>
  <c r="F57" i="2"/>
  <c r="M267" i="2"/>
  <c r="AO71" i="2"/>
  <c r="AP71" i="2" s="1"/>
  <c r="AV71" i="2"/>
  <c r="AW71" i="2" s="1"/>
  <c r="AO35" i="2"/>
  <c r="AP35" i="2" s="1"/>
  <c r="AV35" i="2"/>
  <c r="AW35" i="2" s="1"/>
  <c r="AO181" i="2"/>
  <c r="AP181" i="2" s="1"/>
  <c r="AV181" i="2"/>
  <c r="AW181" i="2" s="1"/>
  <c r="AO264" i="2"/>
  <c r="AP264" i="2" s="1"/>
  <c r="AV264" i="2"/>
  <c r="AW264" i="2" s="1"/>
  <c r="AO180" i="2"/>
  <c r="AP180" i="2" s="1"/>
  <c r="AV180" i="2"/>
  <c r="AW180" i="2" s="1"/>
  <c r="AO118" i="2"/>
  <c r="AP118" i="2" s="1"/>
  <c r="AV118" i="2"/>
  <c r="AW118" i="2" s="1"/>
  <c r="AO89" i="2"/>
  <c r="AP89" i="2" s="1"/>
  <c r="AV89" i="2"/>
  <c r="AW89" i="2" s="1"/>
  <c r="AO42" i="2"/>
  <c r="AP42" i="2" s="1"/>
  <c r="AV42" i="2"/>
  <c r="AW42" i="2" s="1"/>
  <c r="AO28" i="2"/>
  <c r="AP28" i="2" s="1"/>
  <c r="AV28" i="2"/>
  <c r="AW28" i="2" s="1"/>
  <c r="AO152" i="2"/>
  <c r="AP152" i="2" s="1"/>
  <c r="AV152" i="2"/>
  <c r="AW152" i="2" s="1"/>
  <c r="AO85" i="2"/>
  <c r="AP85" i="2" s="1"/>
  <c r="AV85" i="2"/>
  <c r="AW85" i="2" s="1"/>
  <c r="AO26" i="2"/>
  <c r="AP26" i="2" s="1"/>
  <c r="AV26" i="2"/>
  <c r="AW26" i="2" s="1"/>
  <c r="U228" i="2"/>
  <c r="AO56" i="2"/>
  <c r="AP56" i="2" s="1"/>
  <c r="AV56" i="2"/>
  <c r="AW56" i="2" s="1"/>
  <c r="AP139" i="2"/>
  <c r="AV139" i="2"/>
  <c r="AW139" i="2" s="1"/>
  <c r="F113" i="2"/>
  <c r="AV113" i="2"/>
  <c r="AW113" i="2" s="1"/>
  <c r="AP104" i="2"/>
  <c r="AV103" i="2"/>
  <c r="AW103" i="2" s="1"/>
  <c r="M191" i="2"/>
  <c r="AV191" i="2"/>
  <c r="AW191" i="2" s="1"/>
  <c r="U275" i="2"/>
  <c r="AV275" i="2"/>
  <c r="AW275" i="2" s="1"/>
  <c r="AO20" i="2"/>
  <c r="AP20" i="2" s="1"/>
  <c r="AV20" i="2"/>
  <c r="AW20" i="2" s="1"/>
  <c r="AO73" i="2"/>
  <c r="AP73" i="2" s="1"/>
  <c r="AV73" i="2"/>
  <c r="AW73" i="2" s="1"/>
  <c r="AA167" i="2"/>
  <c r="AH186" i="2"/>
  <c r="AI186" i="2" s="1"/>
  <c r="AO235" i="2"/>
  <c r="AP235" i="2" s="1"/>
  <c r="AV235" i="2"/>
  <c r="AW235" i="2" s="1"/>
  <c r="AA241" i="2"/>
  <c r="AV241" i="2"/>
  <c r="AW241" i="2" s="1"/>
  <c r="AP106" i="2"/>
  <c r="AV105" i="2"/>
  <c r="AW105" i="2" s="1"/>
  <c r="AA228" i="2"/>
  <c r="AV228" i="2"/>
  <c r="AW228" i="2" s="1"/>
  <c r="AA148" i="2"/>
  <c r="AV148" i="2"/>
  <c r="AW148" i="2" s="1"/>
  <c r="AP161" i="2"/>
  <c r="AO173" i="2"/>
  <c r="AP173" i="2" s="1"/>
  <c r="AV173" i="2"/>
  <c r="AW173" i="2" s="1"/>
  <c r="AO163" i="2"/>
  <c r="AP163" i="2" s="1"/>
  <c r="AV163" i="2"/>
  <c r="AW163" i="2" s="1"/>
  <c r="AO201" i="2"/>
  <c r="AP201" i="2" s="1"/>
  <c r="AV201" i="2"/>
  <c r="AW201" i="2" s="1"/>
  <c r="AO277" i="2"/>
  <c r="AP277" i="2" s="1"/>
  <c r="AV277" i="2"/>
  <c r="AW277" i="2" s="1"/>
  <c r="AO187" i="2"/>
  <c r="AP187" i="2" s="1"/>
  <c r="AV187" i="2"/>
  <c r="AW187" i="2" s="1"/>
  <c r="AO199" i="2"/>
  <c r="AP199" i="2" s="1"/>
  <c r="AV199" i="2"/>
  <c r="AW199" i="2" s="1"/>
  <c r="AO185" i="2"/>
  <c r="AP185" i="2" s="1"/>
  <c r="AV185" i="2"/>
  <c r="AW185" i="2" s="1"/>
  <c r="AO256" i="2"/>
  <c r="AP256" i="2" s="1"/>
  <c r="AV256" i="2"/>
  <c r="AW256" i="2" s="1"/>
  <c r="AO213" i="2"/>
  <c r="AP213" i="2" s="1"/>
  <c r="AV213" i="2"/>
  <c r="AW213" i="2" s="1"/>
  <c r="AV144" i="2"/>
  <c r="AW144" i="2" s="1"/>
  <c r="AP138" i="2"/>
  <c r="AV138" i="2"/>
  <c r="AW138" i="2" s="1"/>
  <c r="AO48" i="2"/>
  <c r="AP48" i="2" s="1"/>
  <c r="AV48" i="2"/>
  <c r="AW48" i="2" s="1"/>
  <c r="AO117" i="2"/>
  <c r="AP117" i="2" s="1"/>
  <c r="AV117" i="2"/>
  <c r="AW117" i="2" s="1"/>
  <c r="AO157" i="2"/>
  <c r="AP157" i="2" s="1"/>
  <c r="AV157" i="2"/>
  <c r="AW157" i="2" s="1"/>
  <c r="AO40" i="2"/>
  <c r="AP40" i="2" s="1"/>
  <c r="AV40" i="2"/>
  <c r="AW40" i="2" s="1"/>
  <c r="AO203" i="2"/>
  <c r="AP203" i="2" s="1"/>
  <c r="AV203" i="2"/>
  <c r="AW203" i="2" s="1"/>
  <c r="AO258" i="2"/>
  <c r="AP258" i="2" s="1"/>
  <c r="AV258" i="2"/>
  <c r="AW258" i="2" s="1"/>
  <c r="AO190" i="2"/>
  <c r="AP190" i="2" s="1"/>
  <c r="AV190" i="2"/>
  <c r="AW190" i="2" s="1"/>
  <c r="AO244" i="2"/>
  <c r="AP244" i="2" s="1"/>
  <c r="AV244" i="2"/>
  <c r="AW244" i="2" s="1"/>
  <c r="AO212" i="2"/>
  <c r="AP212" i="2" s="1"/>
  <c r="AV212" i="2"/>
  <c r="AW212" i="2" s="1"/>
  <c r="F43" i="2"/>
  <c r="AO51" i="2"/>
  <c r="AP51" i="2" s="1"/>
  <c r="AV51" i="2"/>
  <c r="AW51" i="2" s="1"/>
  <c r="AO64" i="2"/>
  <c r="AP64" i="2" s="1"/>
  <c r="AV64" i="2"/>
  <c r="AW64" i="2" s="1"/>
  <c r="AO114" i="2"/>
  <c r="AP114" i="2" s="1"/>
  <c r="AV114" i="2"/>
  <c r="AW114" i="2" s="1"/>
  <c r="AO96" i="2"/>
  <c r="AP96" i="2" s="1"/>
  <c r="AV96" i="2"/>
  <c r="AW96" i="2" s="1"/>
  <c r="AO271" i="2"/>
  <c r="AP271" i="2" s="1"/>
  <c r="AV271" i="2"/>
  <c r="AW271" i="2" s="1"/>
  <c r="AO102" i="2"/>
  <c r="AP102" i="2" s="1"/>
  <c r="AV102" i="2"/>
  <c r="AW102" i="2" s="1"/>
  <c r="AO58" i="2"/>
  <c r="AP58" i="2" s="1"/>
  <c r="AV58" i="2"/>
  <c r="AW58" i="2" s="1"/>
  <c r="AO168" i="2"/>
  <c r="AP168" i="2" s="1"/>
  <c r="AV168" i="2"/>
  <c r="AW168" i="2" s="1"/>
  <c r="AO220" i="2"/>
  <c r="AP220" i="2" s="1"/>
  <c r="AV220" i="2"/>
  <c r="AW220" i="2" s="1"/>
  <c r="AO207" i="2"/>
  <c r="AP207" i="2" s="1"/>
  <c r="AV207" i="2"/>
  <c r="AW207" i="2" s="1"/>
  <c r="AO224" i="2"/>
  <c r="AP224" i="2" s="1"/>
  <c r="AV224" i="2"/>
  <c r="AW224" i="2" s="1"/>
  <c r="AO198" i="2"/>
  <c r="AP198" i="2" s="1"/>
  <c r="AV198" i="2"/>
  <c r="AW198" i="2" s="1"/>
  <c r="M43" i="2"/>
  <c r="M167" i="2"/>
  <c r="AO100" i="2"/>
  <c r="AP100" i="2" s="1"/>
  <c r="AV100" i="2"/>
  <c r="AW100" i="2" s="1"/>
  <c r="AO230" i="2"/>
  <c r="AP230" i="2" s="1"/>
  <c r="AV230" i="2"/>
  <c r="AW230" i="2" s="1"/>
  <c r="AO193" i="2"/>
  <c r="AP193" i="2" s="1"/>
  <c r="AV193" i="2"/>
  <c r="AW193" i="2" s="1"/>
  <c r="AO95" i="2"/>
  <c r="AP95" i="2" s="1"/>
  <c r="AV95" i="2"/>
  <c r="AW95" i="2" s="1"/>
  <c r="M186" i="2"/>
  <c r="AO268" i="2"/>
  <c r="AP268" i="2" s="1"/>
  <c r="AV268" i="2"/>
  <c r="AW268" i="2" s="1"/>
  <c r="AO236" i="2"/>
  <c r="AP236" i="2" s="1"/>
  <c r="AV236" i="2"/>
  <c r="AW236" i="2" s="1"/>
  <c r="AO119" i="2"/>
  <c r="AP119" i="2" s="1"/>
  <c r="AV119" i="2"/>
  <c r="AW119" i="2" s="1"/>
  <c r="AO83" i="2"/>
  <c r="AP83" i="2" s="1"/>
  <c r="AV83" i="2"/>
  <c r="AW83" i="2" s="1"/>
  <c r="AO150" i="2"/>
  <c r="AP150" i="2" s="1"/>
  <c r="AV150" i="2"/>
  <c r="AW150" i="2" s="1"/>
  <c r="AO46" i="2"/>
  <c r="AP46" i="2" s="1"/>
  <c r="AV46" i="2"/>
  <c r="AW46" i="2" s="1"/>
  <c r="AO76" i="2"/>
  <c r="AP76" i="2" s="1"/>
  <c r="AV76" i="2"/>
  <c r="AW76" i="2" s="1"/>
  <c r="AO262" i="2"/>
  <c r="AP262" i="2" s="1"/>
  <c r="AV262" i="2"/>
  <c r="AW262" i="2" s="1"/>
  <c r="M117" i="2"/>
  <c r="AO195" i="2"/>
  <c r="AP195" i="2" s="1"/>
  <c r="AV195" i="2"/>
  <c r="AW195" i="2" s="1"/>
  <c r="AO202" i="2"/>
  <c r="AP202" i="2" s="1"/>
  <c r="AV202" i="2"/>
  <c r="AW202" i="2" s="1"/>
  <c r="AO156" i="2"/>
  <c r="AP156" i="2" s="1"/>
  <c r="AV156" i="2"/>
  <c r="AW156" i="2" s="1"/>
  <c r="AO67" i="2"/>
  <c r="AP67" i="2" s="1"/>
  <c r="AV67" i="2"/>
  <c r="AW67" i="2" s="1"/>
  <c r="F48" i="2"/>
  <c r="AO254" i="2"/>
  <c r="AP254" i="2" s="1"/>
  <c r="AV254" i="2"/>
  <c r="AW254" i="2" s="1"/>
  <c r="F256" i="2"/>
  <c r="AO266" i="2"/>
  <c r="AP266" i="2" s="1"/>
  <c r="AV266" i="2"/>
  <c r="AW266" i="2" s="1"/>
  <c r="AO123" i="2"/>
  <c r="AP123" i="2" s="1"/>
  <c r="AV123" i="2"/>
  <c r="AW123" i="2" s="1"/>
  <c r="AO147" i="2"/>
  <c r="AP147" i="2" s="1"/>
  <c r="AV147" i="2"/>
  <c r="AW147" i="2" s="1"/>
  <c r="AO237" i="2"/>
  <c r="AP237" i="2" s="1"/>
  <c r="AV237" i="2"/>
  <c r="AW237" i="2" s="1"/>
  <c r="AP55" i="2"/>
  <c r="AV54" i="2"/>
  <c r="AW54" i="2" s="1"/>
  <c r="AO132" i="2"/>
  <c r="AP132" i="2" s="1"/>
  <c r="AV132" i="2"/>
  <c r="AW132" i="2" s="1"/>
  <c r="AO205" i="2"/>
  <c r="AP205" i="2" s="1"/>
  <c r="AV205" i="2"/>
  <c r="AW205" i="2" s="1"/>
  <c r="AO112" i="2"/>
  <c r="AP112" i="2" s="1"/>
  <c r="AV112" i="2"/>
  <c r="AW112" i="2" s="1"/>
  <c r="AO151" i="2"/>
  <c r="AP151" i="2" s="1"/>
  <c r="AV151" i="2"/>
  <c r="AW151" i="2" s="1"/>
  <c r="AH167" i="2"/>
  <c r="AI167" i="2" s="1"/>
  <c r="AA186" i="2"/>
  <c r="AO238" i="2"/>
  <c r="AP238" i="2" s="1"/>
  <c r="AV238" i="2"/>
  <c r="AW238" i="2" s="1"/>
  <c r="AO19" i="2"/>
  <c r="AP19" i="2" s="1"/>
  <c r="AV19" i="2"/>
  <c r="AW19" i="2" s="1"/>
  <c r="AO214" i="2"/>
  <c r="AP214" i="2" s="1"/>
  <c r="AV214" i="2"/>
  <c r="AW214" i="2" s="1"/>
  <c r="AO155" i="2"/>
  <c r="AV155" i="2"/>
  <c r="AW155" i="2" s="1"/>
  <c r="AO278" i="2"/>
  <c r="AP278" i="2" s="1"/>
  <c r="AV278" i="2"/>
  <c r="AW278" i="2" s="1"/>
  <c r="AO231" i="2"/>
  <c r="AP231" i="2" s="1"/>
  <c r="AV231" i="2"/>
  <c r="AW231" i="2" s="1"/>
  <c r="AO169" i="2"/>
  <c r="AP169" i="2" s="1"/>
  <c r="AV169" i="2"/>
  <c r="AW169" i="2" s="1"/>
  <c r="F235" i="2"/>
  <c r="F60" i="2"/>
  <c r="G60" i="2" s="1"/>
  <c r="F38" i="2"/>
  <c r="AP225" i="2"/>
  <c r="AP158" i="2"/>
  <c r="G146" i="2"/>
  <c r="M101" i="2"/>
  <c r="M257" i="2"/>
  <c r="F170" i="2"/>
  <c r="G170" i="2" s="1"/>
  <c r="U104" i="2"/>
  <c r="M38" i="2"/>
  <c r="F149" i="2"/>
  <c r="AP206" i="2"/>
  <c r="AP175" i="2"/>
  <c r="F151" i="2"/>
  <c r="F101" i="2"/>
  <c r="M170" i="2"/>
  <c r="N170" i="2" s="1"/>
  <c r="M174" i="2"/>
  <c r="N175" i="2" s="1"/>
  <c r="U31" i="2"/>
  <c r="AP153" i="2"/>
  <c r="M116" i="2"/>
  <c r="AO116" i="2"/>
  <c r="AP116" i="2" s="1"/>
  <c r="F127" i="2"/>
  <c r="AO127" i="2"/>
  <c r="AP127" i="2" s="1"/>
  <c r="AP155" i="2"/>
  <c r="AP75" i="2"/>
  <c r="M127" i="2"/>
  <c r="M238" i="2"/>
  <c r="M278" i="2"/>
  <c r="U19" i="2"/>
  <c r="M155" i="2"/>
  <c r="M256" i="2"/>
  <c r="F144" i="2"/>
  <c r="G145" i="2" s="1"/>
  <c r="M243" i="2"/>
  <c r="F138" i="2"/>
  <c r="G138" i="2" s="1"/>
  <c r="AA19" i="2"/>
  <c r="AB19" i="2" s="1"/>
  <c r="AA214" i="2"/>
  <c r="M65" i="2"/>
  <c r="N66" i="2" s="1"/>
  <c r="AO65" i="2"/>
  <c r="AP65" i="2" s="1"/>
  <c r="AA155" i="2"/>
  <c r="AP183" i="2"/>
  <c r="AP80" i="2"/>
  <c r="AP41" i="2"/>
  <c r="AP194" i="2"/>
  <c r="AP62" i="2"/>
  <c r="AP274" i="2"/>
  <c r="AP50" i="2"/>
  <c r="AP122" i="2"/>
  <c r="AP45" i="2"/>
  <c r="F238" i="2"/>
  <c r="M19" i="2"/>
  <c r="N19" i="2" s="1"/>
  <c r="U105" i="2"/>
  <c r="U81" i="2"/>
  <c r="F155" i="2"/>
  <c r="F174" i="2"/>
  <c r="G175" i="2" s="1"/>
  <c r="M166" i="2"/>
  <c r="M197" i="2"/>
  <c r="F243" i="2"/>
  <c r="G243" i="2" s="1"/>
  <c r="M149" i="2"/>
  <c r="N149" i="2" s="1"/>
  <c r="M72" i="2"/>
  <c r="AO113" i="2"/>
  <c r="AP113" i="2" s="1"/>
  <c r="M240" i="2"/>
  <c r="AO240" i="2"/>
  <c r="AP240" i="2" s="1"/>
  <c r="M103" i="2"/>
  <c r="AO103" i="2"/>
  <c r="AP103" i="2" s="1"/>
  <c r="AO218" i="2"/>
  <c r="AP218" i="2" s="1"/>
  <c r="AO191" i="2"/>
  <c r="AP191" i="2" s="1"/>
  <c r="M275" i="2"/>
  <c r="AO275" i="2"/>
  <c r="AP275" i="2" s="1"/>
  <c r="AO263" i="2"/>
  <c r="AP263" i="2" s="1"/>
  <c r="AO93" i="2"/>
  <c r="AP93" i="2" s="1"/>
  <c r="AH238" i="2"/>
  <c r="AI238" i="2" s="1"/>
  <c r="AH57" i="2"/>
  <c r="AI57" i="2" s="1"/>
  <c r="M16" i="2"/>
  <c r="N16" i="2" s="1"/>
  <c r="AO16" i="2"/>
  <c r="AP16" i="2" s="1"/>
  <c r="AH155" i="2"/>
  <c r="AI155" i="2" s="1"/>
  <c r="AA124" i="2"/>
  <c r="AO124" i="2"/>
  <c r="AP124" i="2" s="1"/>
  <c r="F171" i="2"/>
  <c r="AO171" i="2"/>
  <c r="AP171" i="2" s="1"/>
  <c r="AA257" i="2"/>
  <c r="AO257" i="2"/>
  <c r="AP257" i="2" s="1"/>
  <c r="M99" i="2"/>
  <c r="AO99" i="2"/>
  <c r="AP99" i="2" s="1"/>
  <c r="AP272" i="2"/>
  <c r="AP251" i="2"/>
  <c r="AP66" i="2"/>
  <c r="AP59" i="2"/>
  <c r="AP69" i="2"/>
  <c r="AP232" i="2"/>
  <c r="AP120" i="2"/>
  <c r="AP253" i="2"/>
  <c r="AP34" i="2"/>
  <c r="AP97" i="2"/>
  <c r="M204" i="2"/>
  <c r="AO204" i="2"/>
  <c r="AP204" i="2" s="1"/>
  <c r="AO165" i="2"/>
  <c r="AP165" i="2" s="1"/>
  <c r="AP130" i="2"/>
  <c r="M165" i="2"/>
  <c r="N165" i="2" s="1"/>
  <c r="F278" i="2"/>
  <c r="F19" i="2"/>
  <c r="G19" i="2" s="1"/>
  <c r="M214" i="2"/>
  <c r="N24" i="2"/>
  <c r="F227" i="2"/>
  <c r="F213" i="2"/>
  <c r="F31" i="2"/>
  <c r="G31" i="2" s="1"/>
  <c r="F197" i="2"/>
  <c r="U149" i="2"/>
  <c r="U73" i="2"/>
  <c r="M54" i="2"/>
  <c r="N55" i="2" s="1"/>
  <c r="AO54" i="2"/>
  <c r="AP54" i="2" s="1"/>
  <c r="AO270" i="2"/>
  <c r="AP270" i="2" s="1"/>
  <c r="F36" i="2"/>
  <c r="AO36" i="2"/>
  <c r="AP36" i="2" s="1"/>
  <c r="AO125" i="2"/>
  <c r="AP125" i="2" s="1"/>
  <c r="F70" i="2"/>
  <c r="G70" i="2" s="1"/>
  <c r="AO70" i="2"/>
  <c r="AP70" i="2" s="1"/>
  <c r="AO196" i="2"/>
  <c r="AP196" i="2" s="1"/>
  <c r="AA238" i="2"/>
  <c r="F178" i="2"/>
  <c r="G178" i="2" s="1"/>
  <c r="AO178" i="2"/>
  <c r="AP178" i="2" s="1"/>
  <c r="AA57" i="2"/>
  <c r="AA278" i="2"/>
  <c r="AH241" i="2"/>
  <c r="AI241" i="2" s="1"/>
  <c r="AO241" i="2"/>
  <c r="AP241" i="2" s="1"/>
  <c r="AA105" i="2"/>
  <c r="AB105" i="2" s="1"/>
  <c r="AO105" i="2"/>
  <c r="AP105" i="2" s="1"/>
  <c r="AH228" i="2"/>
  <c r="AI228" i="2" s="1"/>
  <c r="AO228" i="2"/>
  <c r="AP228" i="2" s="1"/>
  <c r="AH172" i="2"/>
  <c r="AI172" i="2" s="1"/>
  <c r="AO172" i="2"/>
  <c r="AP172" i="2" s="1"/>
  <c r="AH148" i="2"/>
  <c r="AO148" i="2"/>
  <c r="AP148" i="2" s="1"/>
  <c r="AP134" i="2"/>
  <c r="AP87" i="2"/>
  <c r="AP164" i="2"/>
  <c r="AP21" i="2"/>
  <c r="AP27" i="2"/>
  <c r="AP177" i="2"/>
  <c r="AP91" i="2"/>
  <c r="AP269" i="2"/>
  <c r="AP23" i="2"/>
  <c r="AP188" i="2"/>
  <c r="AP208" i="2"/>
  <c r="U110" i="2"/>
  <c r="M178" i="2"/>
  <c r="N178" i="2" s="1"/>
  <c r="F124" i="2"/>
  <c r="M171" i="2"/>
  <c r="M263" i="2"/>
  <c r="F240" i="2"/>
  <c r="F218" i="2"/>
  <c r="F275" i="2"/>
  <c r="G275" i="2" s="1"/>
  <c r="F204" i="2"/>
  <c r="AA171" i="2"/>
  <c r="AH124" i="2"/>
  <c r="AI124" i="2" s="1"/>
  <c r="AA99" i="2"/>
  <c r="U179" i="2"/>
  <c r="M124" i="2"/>
  <c r="U222" i="2"/>
  <c r="F16" i="2"/>
  <c r="G16" i="2" s="1"/>
  <c r="U211" i="2"/>
  <c r="F263" i="2"/>
  <c r="F257" i="2"/>
  <c r="N137" i="2"/>
  <c r="M113" i="2"/>
  <c r="N113" i="2" s="1"/>
  <c r="F103" i="2"/>
  <c r="F191" i="2"/>
  <c r="AB222" i="2"/>
  <c r="AH105" i="2"/>
  <c r="AI105" i="2" s="1"/>
  <c r="AH99" i="2"/>
  <c r="AI99" i="2" s="1"/>
  <c r="N184" i="2"/>
  <c r="AH246" i="2"/>
  <c r="AI246" i="2" s="1"/>
  <c r="AA246" i="2"/>
  <c r="AH173" i="2"/>
  <c r="AI173" i="2" s="1"/>
  <c r="AA173" i="2"/>
  <c r="AH163" i="2"/>
  <c r="AA163" i="2"/>
  <c r="AH74" i="2"/>
  <c r="AI74" i="2" s="1"/>
  <c r="AA74" i="2"/>
  <c r="AA190" i="2"/>
  <c r="AH190" i="2"/>
  <c r="AI190" i="2" s="1"/>
  <c r="AH198" i="2"/>
  <c r="AI198" i="2" s="1"/>
  <c r="AA198" i="2"/>
  <c r="AA64" i="2"/>
  <c r="AH64" i="2"/>
  <c r="AA236" i="2"/>
  <c r="AH236" i="2"/>
  <c r="AH83" i="2"/>
  <c r="AA83" i="2"/>
  <c r="AH199" i="2"/>
  <c r="AA199" i="2"/>
  <c r="AH67" i="2"/>
  <c r="AA67" i="2"/>
  <c r="AB67" i="2" s="1"/>
  <c r="AH185" i="2"/>
  <c r="AI185" i="2" s="1"/>
  <c r="AA185" i="2"/>
  <c r="AB185" i="2" s="1"/>
  <c r="AH56" i="2"/>
  <c r="AA56" i="2"/>
  <c r="AB56" i="2" s="1"/>
  <c r="AA215" i="2"/>
  <c r="AH215" i="2"/>
  <c r="AH237" i="2"/>
  <c r="AI237" i="2" s="1"/>
  <c r="AA237" i="2"/>
  <c r="AA54" i="2"/>
  <c r="AH54" i="2"/>
  <c r="AI54" i="2" s="1"/>
  <c r="AA270" i="2"/>
  <c r="AB270" i="2" s="1"/>
  <c r="AH270" i="2"/>
  <c r="AI270" i="2" s="1"/>
  <c r="AI175" i="2"/>
  <c r="AA132" i="2"/>
  <c r="AH132" i="2"/>
  <c r="AH205" i="2"/>
  <c r="AI205" i="2" s="1"/>
  <c r="AA205" i="2"/>
  <c r="AI55" i="2"/>
  <c r="AI15" i="2"/>
  <c r="AB260" i="2"/>
  <c r="AI259" i="2"/>
  <c r="AH20" i="2"/>
  <c r="AA20" i="2"/>
  <c r="AA73" i="2"/>
  <c r="AH73" i="2"/>
  <c r="AI73" i="2" s="1"/>
  <c r="AI272" i="2"/>
  <c r="AI164" i="2"/>
  <c r="AA235" i="2"/>
  <c r="AH235" i="2"/>
  <c r="AA17" i="2"/>
  <c r="AH17" i="2"/>
  <c r="AI17" i="2" s="1"/>
  <c r="AA108" i="2"/>
  <c r="AH108" i="2"/>
  <c r="AH258" i="2"/>
  <c r="AI258" i="2" s="1"/>
  <c r="AA258" i="2"/>
  <c r="AH212" i="2"/>
  <c r="AA212" i="2"/>
  <c r="F165" i="2"/>
  <c r="G165" i="2" s="1"/>
  <c r="AA51" i="2"/>
  <c r="AB51" i="2" s="1"/>
  <c r="AH51" i="2"/>
  <c r="F205" i="2"/>
  <c r="G206" i="2" s="1"/>
  <c r="F125" i="2"/>
  <c r="AA100" i="2"/>
  <c r="AH100" i="2"/>
  <c r="AA53" i="2"/>
  <c r="AH53" i="2"/>
  <c r="AI53" i="2" s="1"/>
  <c r="AH150" i="2"/>
  <c r="AI150" i="2" s="1"/>
  <c r="AA150" i="2"/>
  <c r="AH273" i="2"/>
  <c r="AI273" i="2" s="1"/>
  <c r="AA273" i="2"/>
  <c r="AB273" i="2" s="1"/>
  <c r="AH79" i="2"/>
  <c r="AA79" i="2"/>
  <c r="AB79" i="2" s="1"/>
  <c r="F54" i="2"/>
  <c r="AH139" i="2"/>
  <c r="AA139" i="2"/>
  <c r="AH213" i="2"/>
  <c r="AI213" i="2" s="1"/>
  <c r="AA213" i="2"/>
  <c r="AA144" i="2"/>
  <c r="AH144" i="2"/>
  <c r="AA72" i="2"/>
  <c r="AH72" i="2"/>
  <c r="AH157" i="2"/>
  <c r="AI157" i="2" s="1"/>
  <c r="AA157" i="2"/>
  <c r="AH40" i="2"/>
  <c r="AA40" i="2"/>
  <c r="AH29" i="2"/>
  <c r="AI29" i="2" s="1"/>
  <c r="AA29" i="2"/>
  <c r="AA203" i="2"/>
  <c r="AH203" i="2"/>
  <c r="AA168" i="2"/>
  <c r="AH168" i="2"/>
  <c r="AI168" i="2" s="1"/>
  <c r="AA220" i="2"/>
  <c r="AH220" i="2"/>
  <c r="F20" i="2"/>
  <c r="AA121" i="2"/>
  <c r="AB121" i="2" s="1"/>
  <c r="AH121" i="2"/>
  <c r="AI121" i="2" s="1"/>
  <c r="M73" i="2"/>
  <c r="AH277" i="2"/>
  <c r="AI277" i="2" s="1"/>
  <c r="AA277" i="2"/>
  <c r="AA92" i="2"/>
  <c r="AB92" i="2" s="1"/>
  <c r="AH92" i="2"/>
  <c r="AA126" i="2"/>
  <c r="AH126" i="2"/>
  <c r="AI126" i="2" s="1"/>
  <c r="AH187" i="2"/>
  <c r="AA187" i="2"/>
  <c r="AH162" i="2"/>
  <c r="AI162" i="2" s="1"/>
  <c r="AA162" i="2"/>
  <c r="AB162" i="2" s="1"/>
  <c r="AA239" i="2"/>
  <c r="AH239" i="2"/>
  <c r="AH61" i="2"/>
  <c r="AI61" i="2" s="1"/>
  <c r="AA61" i="2"/>
  <c r="AH22" i="2"/>
  <c r="AI22" i="2" s="1"/>
  <c r="AA22" i="2"/>
  <c r="AB22" i="2" s="1"/>
  <c r="AH84" i="2"/>
  <c r="AA84" i="2"/>
  <c r="AH49" i="2"/>
  <c r="AI49" i="2" s="1"/>
  <c r="AA49" i="2"/>
  <c r="AH68" i="2"/>
  <c r="AA68" i="2"/>
  <c r="AA46" i="2"/>
  <c r="AB46" i="2" s="1"/>
  <c r="AH46" i="2"/>
  <c r="AI46" i="2" s="1"/>
  <c r="AA76" i="2"/>
  <c r="AB76" i="2" s="1"/>
  <c r="AH76" i="2"/>
  <c r="AH262" i="2"/>
  <c r="AI262" i="2" s="1"/>
  <c r="AA262" i="2"/>
  <c r="AB262" i="2" s="1"/>
  <c r="AA195" i="2"/>
  <c r="AB195" i="2" s="1"/>
  <c r="AH195" i="2"/>
  <c r="AH143" i="2"/>
  <c r="AA143" i="2"/>
  <c r="AA25" i="2"/>
  <c r="AH25" i="2"/>
  <c r="AI25" i="2" s="1"/>
  <c r="AA28" i="2"/>
  <c r="AB28" i="2" s="1"/>
  <c r="AH28" i="2"/>
  <c r="AA152" i="2"/>
  <c r="AH152" i="2"/>
  <c r="AI152" i="2" s="1"/>
  <c r="AH85" i="2"/>
  <c r="AI85" i="2" s="1"/>
  <c r="AA85" i="2"/>
  <c r="AH216" i="2"/>
  <c r="AI216" i="2" s="1"/>
  <c r="AA216" i="2"/>
  <c r="AA26" i="2"/>
  <c r="AH26" i="2"/>
  <c r="AI26" i="2" s="1"/>
  <c r="AA159" i="2"/>
  <c r="AB159" i="2" s="1"/>
  <c r="AH159" i="2"/>
  <c r="AH123" i="2"/>
  <c r="AA123" i="2"/>
  <c r="AB123" i="2" s="1"/>
  <c r="U55" i="2"/>
  <c r="M270" i="2"/>
  <c r="N270" i="2" s="1"/>
  <c r="M144" i="2"/>
  <c r="N145" i="2" s="1"/>
  <c r="F72" i="2"/>
  <c r="AH170" i="2"/>
  <c r="AI170" i="2" s="1"/>
  <c r="AA170" i="2"/>
  <c r="AB170" i="2" s="1"/>
  <c r="AA174" i="2"/>
  <c r="AH174" i="2"/>
  <c r="AI174" i="2" s="1"/>
  <c r="AA60" i="2"/>
  <c r="AB60" i="2" s="1"/>
  <c r="AH60" i="2"/>
  <c r="AH166" i="2"/>
  <c r="AI166" i="2" s="1"/>
  <c r="AA166" i="2"/>
  <c r="AA31" i="2"/>
  <c r="AB31" i="2" s="1"/>
  <c r="AH31" i="2"/>
  <c r="AH197" i="2"/>
  <c r="AI197" i="2" s="1"/>
  <c r="AA197" i="2"/>
  <c r="AA38" i="2"/>
  <c r="AH38" i="2"/>
  <c r="AI38" i="2" s="1"/>
  <c r="AH149" i="2"/>
  <c r="AI149" i="2" s="1"/>
  <c r="AA149" i="2"/>
  <c r="AI59" i="2"/>
  <c r="AI247" i="2"/>
  <c r="AB233" i="2"/>
  <c r="AH101" i="2"/>
  <c r="AI101" i="2" s="1"/>
  <c r="AA101" i="2"/>
  <c r="AB184" i="2"/>
  <c r="AI183" i="2"/>
  <c r="AI115" i="2"/>
  <c r="AB261" i="2"/>
  <c r="AI260" i="2"/>
  <c r="AB88" i="2"/>
  <c r="AI87" i="2"/>
  <c r="AB81" i="2"/>
  <c r="AI80" i="2"/>
  <c r="AA43" i="2"/>
  <c r="AH43" i="2"/>
  <c r="AI179" i="2"/>
  <c r="AI223" i="2"/>
  <c r="AH182" i="2"/>
  <c r="AI182" i="2" s="1"/>
  <c r="AA182" i="2"/>
  <c r="AH245" i="2"/>
  <c r="AI245" i="2" s="1"/>
  <c r="AA245" i="2"/>
  <c r="AA252" i="2"/>
  <c r="AH252" i="2"/>
  <c r="AA224" i="2"/>
  <c r="AB224" i="2" s="1"/>
  <c r="AH224" i="2"/>
  <c r="AH82" i="2"/>
  <c r="AI82" i="2" s="1"/>
  <c r="AA82" i="2"/>
  <c r="AB82" i="2" s="1"/>
  <c r="AH77" i="2"/>
  <c r="AI77" i="2" s="1"/>
  <c r="AA77" i="2"/>
  <c r="AH111" i="2"/>
  <c r="AA111" i="2"/>
  <c r="AB111" i="2" s="1"/>
  <c r="AA90" i="2"/>
  <c r="AH90" i="2"/>
  <c r="AI90" i="2" s="1"/>
  <c r="AA268" i="2"/>
  <c r="AH268" i="2"/>
  <c r="AH119" i="2"/>
  <c r="AA119" i="2"/>
  <c r="AH189" i="2"/>
  <c r="AI189" i="2" s="1"/>
  <c r="AA189" i="2"/>
  <c r="AA154" i="2"/>
  <c r="AB154" i="2" s="1"/>
  <c r="AH154" i="2"/>
  <c r="AI154" i="2" s="1"/>
  <c r="AA140" i="2"/>
  <c r="AH140" i="2"/>
  <c r="AA156" i="2"/>
  <c r="AH156" i="2"/>
  <c r="AH276" i="2"/>
  <c r="AA276" i="2"/>
  <c r="AH36" i="2"/>
  <c r="AA36" i="2"/>
  <c r="AH125" i="2"/>
  <c r="AI125" i="2" s="1"/>
  <c r="AA125" i="2"/>
  <c r="AH70" i="2"/>
  <c r="AI70" i="2" s="1"/>
  <c r="AA70" i="2"/>
  <c r="AB70" i="2" s="1"/>
  <c r="AH65" i="2"/>
  <c r="AI65" i="2" s="1"/>
  <c r="AA65" i="2"/>
  <c r="AH165" i="2"/>
  <c r="AI165" i="2" s="1"/>
  <c r="AA165" i="2"/>
  <c r="AB165" i="2" s="1"/>
  <c r="AH248" i="2"/>
  <c r="AI248" i="2" s="1"/>
  <c r="AA248" i="2"/>
  <c r="AB248" i="2" s="1"/>
  <c r="AH129" i="2"/>
  <c r="AI129" i="2" s="1"/>
  <c r="AA129" i="2"/>
  <c r="F65" i="2"/>
  <c r="G66" i="2" s="1"/>
  <c r="M20" i="2"/>
  <c r="AA207" i="2"/>
  <c r="AB207" i="2" s="1"/>
  <c r="AH207" i="2"/>
  <c r="AH244" i="2"/>
  <c r="AA244" i="2"/>
  <c r="AA47" i="2"/>
  <c r="AH47" i="2"/>
  <c r="AA250" i="2"/>
  <c r="AB250" i="2" s="1"/>
  <c r="AH250" i="2"/>
  <c r="AI250" i="2" s="1"/>
  <c r="AH209" i="2"/>
  <c r="AI209" i="2" s="1"/>
  <c r="AA209" i="2"/>
  <c r="AB209" i="2" s="1"/>
  <c r="AH230" i="2"/>
  <c r="AI230" i="2" s="1"/>
  <c r="AA230" i="2"/>
  <c r="AH193" i="2"/>
  <c r="AI193" i="2" s="1"/>
  <c r="AA193" i="2"/>
  <c r="AA95" i="2"/>
  <c r="AH95" i="2"/>
  <c r="AA128" i="2"/>
  <c r="AH128" i="2"/>
  <c r="AH131" i="2"/>
  <c r="AA131" i="2"/>
  <c r="AB131" i="2" s="1"/>
  <c r="AH71" i="2"/>
  <c r="AA71" i="2"/>
  <c r="AH202" i="2"/>
  <c r="AI202" i="2" s="1"/>
  <c r="AA202" i="2"/>
  <c r="M237" i="2"/>
  <c r="F270" i="2"/>
  <c r="G270" i="2" s="1"/>
  <c r="F132" i="2"/>
  <c r="AA256" i="2"/>
  <c r="AH256" i="2"/>
  <c r="AH227" i="2"/>
  <c r="AA227" i="2"/>
  <c r="AH116" i="2"/>
  <c r="AA116" i="2"/>
  <c r="AB116" i="2" s="1"/>
  <c r="AA243" i="2"/>
  <c r="AH243" i="2"/>
  <c r="AH138" i="2"/>
  <c r="AI138" i="2" s="1"/>
  <c r="AA138" i="2"/>
  <c r="AB138" i="2" s="1"/>
  <c r="AH48" i="2"/>
  <c r="AA48" i="2"/>
  <c r="AI208" i="2"/>
  <c r="AA196" i="2"/>
  <c r="AH196" i="2"/>
  <c r="AA112" i="2"/>
  <c r="AH112" i="2"/>
  <c r="AH93" i="2"/>
  <c r="AI93" i="2" s="1"/>
  <c r="AA93" i="2"/>
  <c r="AH151" i="2"/>
  <c r="AA151" i="2"/>
  <c r="AH114" i="2"/>
  <c r="AI114" i="2" s="1"/>
  <c r="AA114" i="2"/>
  <c r="AA96" i="2"/>
  <c r="AH96" i="2"/>
  <c r="AA271" i="2"/>
  <c r="AH271" i="2"/>
  <c r="AH102" i="2"/>
  <c r="AI102" i="2" s="1"/>
  <c r="AA102" i="2"/>
  <c r="AA58" i="2"/>
  <c r="AH58" i="2"/>
  <c r="AI58" i="2" s="1"/>
  <c r="AH133" i="2"/>
  <c r="AI133" i="2" s="1"/>
  <c r="AA133" i="2"/>
  <c r="AH201" i="2"/>
  <c r="AI201" i="2" s="1"/>
  <c r="AA201" i="2"/>
  <c r="AB201" i="2" s="1"/>
  <c r="AH44" i="2"/>
  <c r="AA44" i="2"/>
  <c r="AA107" i="2"/>
  <c r="AB107" i="2" s="1"/>
  <c r="AH107" i="2"/>
  <c r="U260" i="2"/>
  <c r="F73" i="2"/>
  <c r="F93" i="2"/>
  <c r="G94" i="2" s="1"/>
  <c r="G184" i="2"/>
  <c r="G261" i="2"/>
  <c r="AA142" i="2"/>
  <c r="AB142" i="2" s="1"/>
  <c r="AH142" i="2"/>
  <c r="AI142" i="2" s="1"/>
  <c r="AA86" i="2"/>
  <c r="AH86" i="2"/>
  <c r="AI86" i="2" s="1"/>
  <c r="AH33" i="2"/>
  <c r="AI33" i="2" s="1"/>
  <c r="AA33" i="2"/>
  <c r="AA255" i="2"/>
  <c r="AH255" i="2"/>
  <c r="AA217" i="2"/>
  <c r="AH217" i="2"/>
  <c r="AI217" i="2" s="1"/>
  <c r="AH135" i="2"/>
  <c r="AA135" i="2"/>
  <c r="AB135" i="2" s="1"/>
  <c r="AH39" i="2"/>
  <c r="AA39" i="2"/>
  <c r="AH37" i="2"/>
  <c r="AI37" i="2" s="1"/>
  <c r="AA37" i="2"/>
  <c r="AH229" i="2"/>
  <c r="AI229" i="2" s="1"/>
  <c r="AA229" i="2"/>
  <c r="AH219" i="2"/>
  <c r="AA219" i="2"/>
  <c r="F196" i="2"/>
  <c r="M235" i="2"/>
  <c r="N63" i="2"/>
  <c r="AA160" i="2"/>
  <c r="AH160" i="2"/>
  <c r="AA176" i="2"/>
  <c r="AB176" i="2" s="1"/>
  <c r="AH176" i="2"/>
  <c r="AH234" i="2"/>
  <c r="AI234" i="2" s="1"/>
  <c r="AA234" i="2"/>
  <c r="AH226" i="2"/>
  <c r="AI226" i="2" s="1"/>
  <c r="AA226" i="2"/>
  <c r="AB226" i="2" s="1"/>
  <c r="AA35" i="2"/>
  <c r="AB35" i="2" s="1"/>
  <c r="AH35" i="2"/>
  <c r="AH181" i="2"/>
  <c r="AI181" i="2" s="1"/>
  <c r="AA181" i="2"/>
  <c r="AH264" i="2"/>
  <c r="AI264" i="2" s="1"/>
  <c r="AA264" i="2"/>
  <c r="AH180" i="2"/>
  <c r="AA180" i="2"/>
  <c r="AB180" i="2" s="1"/>
  <c r="AH118" i="2"/>
  <c r="AI118" i="2" s="1"/>
  <c r="AA118" i="2"/>
  <c r="AA89" i="2"/>
  <c r="AB89" i="2" s="1"/>
  <c r="AH89" i="2"/>
  <c r="AI89" i="2" s="1"/>
  <c r="AH42" i="2"/>
  <c r="AI42" i="2" s="1"/>
  <c r="AA42" i="2"/>
  <c r="AB42" i="2" s="1"/>
  <c r="M48" i="2"/>
  <c r="AA254" i="2"/>
  <c r="AB254" i="2" s="1"/>
  <c r="AH254" i="2"/>
  <c r="AI254" i="2" s="1"/>
  <c r="AH266" i="2"/>
  <c r="AI266" i="2" s="1"/>
  <c r="AA266" i="2"/>
  <c r="AB266" i="2" s="1"/>
  <c r="M227" i="2"/>
  <c r="AH98" i="2"/>
  <c r="AI98" i="2" s="1"/>
  <c r="AA98" i="2"/>
  <c r="AA32" i="2"/>
  <c r="AH32" i="2"/>
  <c r="M213" i="2"/>
  <c r="AA192" i="2"/>
  <c r="AH192" i="2"/>
  <c r="F116" i="2"/>
  <c r="G117" i="2" s="1"/>
  <c r="AH147" i="2"/>
  <c r="AA147" i="2"/>
  <c r="U138" i="2"/>
  <c r="AH113" i="2"/>
  <c r="AI113" i="2" s="1"/>
  <c r="AA113" i="2"/>
  <c r="AA240" i="2"/>
  <c r="AH240" i="2"/>
  <c r="AH103" i="2"/>
  <c r="AA103" i="2"/>
  <c r="AA218" i="2"/>
  <c r="AH218" i="2"/>
  <c r="AI218" i="2" s="1"/>
  <c r="AA191" i="2"/>
  <c r="AH191" i="2"/>
  <c r="AA275" i="2"/>
  <c r="AB275" i="2" s="1"/>
  <c r="AH275" i="2"/>
  <c r="AI27" i="2"/>
  <c r="AH263" i="2"/>
  <c r="AA263" i="2"/>
  <c r="AI75" i="2"/>
  <c r="AB24" i="2"/>
  <c r="AI23" i="2"/>
  <c r="AB25" i="2"/>
  <c r="AI24" i="2"/>
  <c r="AA204" i="2"/>
  <c r="AH204" i="2"/>
  <c r="AA127" i="2"/>
  <c r="AH127" i="2"/>
  <c r="AH178" i="2"/>
  <c r="AI178" i="2" s="1"/>
  <c r="AA178" i="2"/>
  <c r="AB178" i="2" s="1"/>
  <c r="AH16" i="2"/>
  <c r="AA16" i="2"/>
  <c r="AB16" i="2" s="1"/>
  <c r="AI91" i="2"/>
  <c r="AB63" i="2"/>
  <c r="F96" i="2"/>
  <c r="U97" i="2"/>
  <c r="M96" i="2"/>
  <c r="U58" i="2"/>
  <c r="F58" i="2"/>
  <c r="M58" i="2"/>
  <c r="N58" i="2" s="1"/>
  <c r="F133" i="2"/>
  <c r="G134" i="2" s="1"/>
  <c r="M133" i="2"/>
  <c r="N133" i="2" s="1"/>
  <c r="U133" i="2"/>
  <c r="F107" i="2"/>
  <c r="G107" i="2" s="1"/>
  <c r="U107" i="2"/>
  <c r="M107" i="2"/>
  <c r="N107" i="2" s="1"/>
  <c r="U247" i="2"/>
  <c r="F246" i="2"/>
  <c r="G247" i="2" s="1"/>
  <c r="M246" i="2"/>
  <c r="N247" i="2" s="1"/>
  <c r="M173" i="2"/>
  <c r="F173" i="2"/>
  <c r="G173" i="2" s="1"/>
  <c r="F163" i="2"/>
  <c r="G164" i="2" s="1"/>
  <c r="M163" i="2"/>
  <c r="N164" i="2" s="1"/>
  <c r="U164" i="2"/>
  <c r="M190" i="2"/>
  <c r="F190" i="2"/>
  <c r="U224" i="2"/>
  <c r="M224" i="2"/>
  <c r="F224" i="2"/>
  <c r="G224" i="2" s="1"/>
  <c r="F77" i="2"/>
  <c r="G78" i="2" s="1"/>
  <c r="M77" i="2"/>
  <c r="F111" i="2"/>
  <c r="G111" i="2" s="1"/>
  <c r="U111" i="2"/>
  <c r="M111" i="2"/>
  <c r="N111" i="2" s="1"/>
  <c r="M268" i="2"/>
  <c r="F268" i="2"/>
  <c r="F236" i="2"/>
  <c r="M236" i="2"/>
  <c r="F119" i="2"/>
  <c r="G120" i="2" s="1"/>
  <c r="U120" i="2"/>
  <c r="M119" i="2"/>
  <c r="N120" i="2" s="1"/>
  <c r="M83" i="2"/>
  <c r="F83" i="2"/>
  <c r="M154" i="2"/>
  <c r="N154" i="2" s="1"/>
  <c r="F154" i="2"/>
  <c r="G154" i="2" s="1"/>
  <c r="U154" i="2"/>
  <c r="U248" i="2"/>
  <c r="F248" i="2"/>
  <c r="G248" i="2" s="1"/>
  <c r="M248" i="2"/>
  <c r="N248" i="2" s="1"/>
  <c r="F17" i="2"/>
  <c r="G18" i="2" s="1"/>
  <c r="M17" i="2"/>
  <c r="U130" i="2"/>
  <c r="F129" i="2"/>
  <c r="G130" i="2" s="1"/>
  <c r="M129" i="2"/>
  <c r="F108" i="2"/>
  <c r="G109" i="2" s="1"/>
  <c r="M108" i="2"/>
  <c r="N108" i="2" s="1"/>
  <c r="M258" i="2"/>
  <c r="F258" i="2"/>
  <c r="F207" i="2"/>
  <c r="G207" i="2" s="1"/>
  <c r="U207" i="2"/>
  <c r="M207" i="2"/>
  <c r="N207" i="2" s="1"/>
  <c r="F244" i="2"/>
  <c r="M244" i="2"/>
  <c r="U244" i="2"/>
  <c r="U212" i="2"/>
  <c r="M212" i="2"/>
  <c r="F212" i="2"/>
  <c r="M47" i="2"/>
  <c r="F47" i="2"/>
  <c r="F250" i="2"/>
  <c r="U250" i="2"/>
  <c r="M250" i="2"/>
  <c r="N250" i="2" s="1"/>
  <c r="U51" i="2"/>
  <c r="M51" i="2"/>
  <c r="N51" i="2" s="1"/>
  <c r="F51" i="2"/>
  <c r="G51" i="2" s="1"/>
  <c r="F209" i="2"/>
  <c r="G209" i="2" s="1"/>
  <c r="M209" i="2"/>
  <c r="N209" i="2" s="1"/>
  <c r="U209" i="2"/>
  <c r="N261" i="2"/>
  <c r="F100" i="2"/>
  <c r="M100" i="2"/>
  <c r="F230" i="2"/>
  <c r="M230" i="2"/>
  <c r="U194" i="2"/>
  <c r="F193" i="2"/>
  <c r="M193" i="2"/>
  <c r="M95" i="2"/>
  <c r="N95" i="2" s="1"/>
  <c r="U95" i="2"/>
  <c r="F95" i="2"/>
  <c r="G95" i="2" s="1"/>
  <c r="M128" i="2"/>
  <c r="F128" i="2"/>
  <c r="G128" i="2" s="1"/>
  <c r="U53" i="2"/>
  <c r="M53" i="2"/>
  <c r="N53" i="2" s="1"/>
  <c r="F53" i="2"/>
  <c r="F131" i="2"/>
  <c r="G131" i="2" s="1"/>
  <c r="M131" i="2"/>
  <c r="N131" i="2" s="1"/>
  <c r="U131" i="2"/>
  <c r="M150" i="2"/>
  <c r="F150" i="2"/>
  <c r="G223" i="2"/>
  <c r="G24" i="2"/>
  <c r="M71" i="2"/>
  <c r="F71" i="2"/>
  <c r="F202" i="2"/>
  <c r="M202" i="2"/>
  <c r="U137" i="2"/>
  <c r="F273" i="2"/>
  <c r="G273" i="2" s="1"/>
  <c r="U273" i="2"/>
  <c r="M273" i="2"/>
  <c r="N273" i="2" s="1"/>
  <c r="G88" i="2"/>
  <c r="U233" i="2"/>
  <c r="U79" i="2"/>
  <c r="M79" i="2"/>
  <c r="N79" i="2" s="1"/>
  <c r="F79" i="2"/>
  <c r="G79" i="2" s="1"/>
  <c r="U170" i="2"/>
  <c r="F139" i="2"/>
  <c r="M139" i="2"/>
  <c r="N139" i="2" s="1"/>
  <c r="N275" i="2"/>
  <c r="F114" i="2"/>
  <c r="U115" i="2"/>
  <c r="M114" i="2"/>
  <c r="M201" i="2"/>
  <c r="N201" i="2" s="1"/>
  <c r="U201" i="2"/>
  <c r="F201" i="2"/>
  <c r="M182" i="2"/>
  <c r="U183" i="2"/>
  <c r="F182" i="2"/>
  <c r="G183" i="2" s="1"/>
  <c r="F74" i="2"/>
  <c r="U74" i="2"/>
  <c r="M74" i="2"/>
  <c r="F245" i="2"/>
  <c r="M245" i="2"/>
  <c r="G260" i="2"/>
  <c r="M252" i="2"/>
  <c r="N252" i="2" s="1"/>
  <c r="U252" i="2"/>
  <c r="F252" i="2"/>
  <c r="G252" i="2" s="1"/>
  <c r="U198" i="2"/>
  <c r="M198" i="2"/>
  <c r="F198" i="2"/>
  <c r="F82" i="2"/>
  <c r="G82" i="2" s="1"/>
  <c r="M82" i="2"/>
  <c r="N82" i="2" s="1"/>
  <c r="U82" i="2"/>
  <c r="M64" i="2"/>
  <c r="N64" i="2" s="1"/>
  <c r="F64" i="2"/>
  <c r="G64" i="2" s="1"/>
  <c r="U64" i="2"/>
  <c r="F90" i="2"/>
  <c r="G91" i="2" s="1"/>
  <c r="M90" i="2"/>
  <c r="N91" i="2" s="1"/>
  <c r="M199" i="2"/>
  <c r="F199" i="2"/>
  <c r="M157" i="2"/>
  <c r="N158" i="2" s="1"/>
  <c r="F157" i="2"/>
  <c r="G158" i="2" s="1"/>
  <c r="F40" i="2"/>
  <c r="U41" i="2"/>
  <c r="M40" i="2"/>
  <c r="N41" i="2" s="1"/>
  <c r="U30" i="2"/>
  <c r="M29" i="2"/>
  <c r="N30" i="2" s="1"/>
  <c r="F29" i="2"/>
  <c r="G30" i="2" s="1"/>
  <c r="M203" i="2"/>
  <c r="F203" i="2"/>
  <c r="U168" i="2"/>
  <c r="F168" i="2"/>
  <c r="M168" i="2"/>
  <c r="M220" i="2"/>
  <c r="N221" i="2" s="1"/>
  <c r="F220" i="2"/>
  <c r="N183" i="2"/>
  <c r="U121" i="2"/>
  <c r="F121" i="2"/>
  <c r="G121" i="2" s="1"/>
  <c r="M121" i="2"/>
  <c r="N121" i="2" s="1"/>
  <c r="U184" i="2"/>
  <c r="U261" i="2"/>
  <c r="F277" i="2"/>
  <c r="M277" i="2"/>
  <c r="U278" i="2"/>
  <c r="U92" i="2"/>
  <c r="F92" i="2"/>
  <c r="G92" i="2" s="1"/>
  <c r="M92" i="2"/>
  <c r="N92" i="2" s="1"/>
  <c r="M126" i="2"/>
  <c r="F126" i="2"/>
  <c r="F187" i="2"/>
  <c r="G187" i="2" s="1"/>
  <c r="M187" i="2"/>
  <c r="U187" i="2"/>
  <c r="M162" i="2"/>
  <c r="N162" i="2" s="1"/>
  <c r="F162" i="2"/>
  <c r="G162" i="2" s="1"/>
  <c r="U162" i="2"/>
  <c r="U239" i="2"/>
  <c r="F239" i="2"/>
  <c r="M239" i="2"/>
  <c r="M61" i="2"/>
  <c r="F61" i="2"/>
  <c r="G62" i="2" s="1"/>
  <c r="M22" i="2"/>
  <c r="N22" i="2" s="1"/>
  <c r="F22" i="2"/>
  <c r="G22" i="2" s="1"/>
  <c r="U22" i="2"/>
  <c r="F84" i="2"/>
  <c r="M84" i="2"/>
  <c r="M49" i="2"/>
  <c r="F49" i="2"/>
  <c r="G50" i="2" s="1"/>
  <c r="U69" i="2"/>
  <c r="M68" i="2"/>
  <c r="F68" i="2"/>
  <c r="G69" i="2" s="1"/>
  <c r="G222" i="2"/>
  <c r="M46" i="2"/>
  <c r="N46" i="2" s="1"/>
  <c r="F46" i="2"/>
  <c r="G46" i="2" s="1"/>
  <c r="U46" i="2"/>
  <c r="F76" i="2"/>
  <c r="G76" i="2" s="1"/>
  <c r="U76" i="2"/>
  <c r="M76" i="2"/>
  <c r="N76" i="2" s="1"/>
  <c r="U262" i="2"/>
  <c r="F262" i="2"/>
  <c r="G262" i="2" s="1"/>
  <c r="M262" i="2"/>
  <c r="N262" i="2" s="1"/>
  <c r="N81" i="2"/>
  <c r="U106" i="2"/>
  <c r="U24" i="2"/>
  <c r="M195" i="2"/>
  <c r="F195" i="2"/>
  <c r="U195" i="2"/>
  <c r="U109" i="2"/>
  <c r="F143" i="2"/>
  <c r="M143" i="2"/>
  <c r="U25" i="2"/>
  <c r="F25" i="2"/>
  <c r="G25" i="2" s="1"/>
  <c r="M25" i="2"/>
  <c r="N25" i="2" s="1"/>
  <c r="F28" i="2"/>
  <c r="G28" i="2" s="1"/>
  <c r="M28" i="2"/>
  <c r="N28" i="2" s="1"/>
  <c r="U28" i="2"/>
  <c r="F152" i="2"/>
  <c r="M152" i="2"/>
  <c r="N152" i="2" s="1"/>
  <c r="F85" i="2"/>
  <c r="M85" i="2"/>
  <c r="F216" i="2"/>
  <c r="M216" i="2"/>
  <c r="U27" i="2"/>
  <c r="F26" i="2"/>
  <c r="M26" i="2"/>
  <c r="M159" i="2"/>
  <c r="N159" i="2" s="1"/>
  <c r="U159" i="2"/>
  <c r="F159" i="2"/>
  <c r="G159" i="2" s="1"/>
  <c r="F123" i="2"/>
  <c r="G123" i="2" s="1"/>
  <c r="M123" i="2"/>
  <c r="N123" i="2" s="1"/>
  <c r="U123" i="2"/>
  <c r="U175" i="2"/>
  <c r="F102" i="2"/>
  <c r="M102" i="2"/>
  <c r="M142" i="2"/>
  <c r="N142" i="2" s="1"/>
  <c r="F142" i="2"/>
  <c r="G142" i="2" s="1"/>
  <c r="M86" i="2"/>
  <c r="F86" i="2"/>
  <c r="M33" i="2"/>
  <c r="F33" i="2"/>
  <c r="G34" i="2" s="1"/>
  <c r="F255" i="2"/>
  <c r="M255" i="2"/>
  <c r="F217" i="2"/>
  <c r="M217" i="2"/>
  <c r="M135" i="2"/>
  <c r="N135" i="2" s="1"/>
  <c r="F135" i="2"/>
  <c r="G135" i="2" s="1"/>
  <c r="U135" i="2"/>
  <c r="U39" i="2"/>
  <c r="F39" i="2"/>
  <c r="M39" i="2"/>
  <c r="M37" i="2"/>
  <c r="N37" i="2" s="1"/>
  <c r="F37" i="2"/>
  <c r="U229" i="2"/>
  <c r="M229" i="2"/>
  <c r="F229" i="2"/>
  <c r="G229" i="2" s="1"/>
  <c r="U219" i="2"/>
  <c r="M219" i="2"/>
  <c r="F219" i="2"/>
  <c r="G81" i="2"/>
  <c r="U23" i="2"/>
  <c r="U223" i="2"/>
  <c r="F160" i="2"/>
  <c r="G161" i="2" s="1"/>
  <c r="M160" i="2"/>
  <c r="M176" i="2"/>
  <c r="N176" i="2" s="1"/>
  <c r="U176" i="2"/>
  <c r="F176" i="2"/>
  <c r="G176" i="2" s="1"/>
  <c r="M234" i="2"/>
  <c r="N234" i="2" s="1"/>
  <c r="F234" i="2"/>
  <c r="G234" i="2" s="1"/>
  <c r="U234" i="2"/>
  <c r="F226" i="2"/>
  <c r="G226" i="2" s="1"/>
  <c r="M226" i="2"/>
  <c r="N226" i="2" s="1"/>
  <c r="U226" i="2"/>
  <c r="F35" i="2"/>
  <c r="G35" i="2" s="1"/>
  <c r="M35" i="2"/>
  <c r="N35" i="2" s="1"/>
  <c r="U35" i="2"/>
  <c r="M181" i="2"/>
  <c r="F181" i="2"/>
  <c r="M264" i="2"/>
  <c r="F264" i="2"/>
  <c r="U180" i="2"/>
  <c r="F180" i="2"/>
  <c r="G180" i="2" s="1"/>
  <c r="M180" i="2"/>
  <c r="N180" i="2" s="1"/>
  <c r="U158" i="2"/>
  <c r="F118" i="2"/>
  <c r="G118" i="2" s="1"/>
  <c r="M118" i="2"/>
  <c r="M89" i="2"/>
  <c r="N89" i="2" s="1"/>
  <c r="U89" i="2"/>
  <c r="F89" i="2"/>
  <c r="G89" i="2" s="1"/>
  <c r="U42" i="2"/>
  <c r="M42" i="2"/>
  <c r="F42" i="2"/>
  <c r="G42" i="2" s="1"/>
  <c r="U88" i="2"/>
  <c r="U254" i="2"/>
  <c r="F254" i="2"/>
  <c r="G254" i="2" s="1"/>
  <c r="M254" i="2"/>
  <c r="N254" i="2" s="1"/>
  <c r="U266" i="2"/>
  <c r="M266" i="2"/>
  <c r="F266" i="2"/>
  <c r="F98" i="2"/>
  <c r="U98" i="2"/>
  <c r="M98" i="2"/>
  <c r="F32" i="2"/>
  <c r="M32" i="2"/>
  <c r="F192" i="2"/>
  <c r="M192" i="2"/>
  <c r="M147" i="2"/>
  <c r="F147" i="2"/>
  <c r="G147" i="2" s="1"/>
  <c r="F271" i="2"/>
  <c r="M271" i="2"/>
  <c r="F44" i="2"/>
  <c r="M44" i="2"/>
  <c r="U44" i="2"/>
  <c r="M189" i="2"/>
  <c r="N189" i="2" s="1"/>
  <c r="U189" i="2"/>
  <c r="F189" i="2"/>
  <c r="G189" i="2" s="1"/>
  <c r="F140" i="2"/>
  <c r="M140" i="2"/>
  <c r="U78" i="2"/>
  <c r="U63" i="2"/>
  <c r="F156" i="2"/>
  <c r="M156" i="2"/>
  <c r="M67" i="2"/>
  <c r="N67" i="2" s="1"/>
  <c r="U67" i="2"/>
  <c r="F67" i="2"/>
  <c r="G67" i="2" s="1"/>
  <c r="N88" i="2"/>
  <c r="F185" i="2"/>
  <c r="G185" i="2" s="1"/>
  <c r="M185" i="2"/>
  <c r="N185" i="2" s="1"/>
  <c r="U185" i="2"/>
  <c r="F276" i="2"/>
  <c r="M276" i="2"/>
  <c r="N276" i="2" s="1"/>
  <c r="U56" i="2"/>
  <c r="M56" i="2"/>
  <c r="N56" i="2" s="1"/>
  <c r="F56" i="2"/>
  <c r="G56" i="2" s="1"/>
  <c r="M215" i="2"/>
  <c r="F215" i="2"/>
  <c r="N138" i="2"/>
  <c r="N266" i="2" l="1"/>
  <c r="AB268" i="2"/>
  <c r="G266" i="2"/>
  <c r="AB252" i="2"/>
  <c r="G250" i="2"/>
  <c r="N232" i="2"/>
  <c r="AB234" i="2"/>
  <c r="N241" i="2"/>
  <c r="N224" i="2"/>
  <c r="AB212" i="2"/>
  <c r="N212" i="2"/>
  <c r="N211" i="2"/>
  <c r="G201" i="2"/>
  <c r="G198" i="2"/>
  <c r="N195" i="2"/>
  <c r="N194" i="2"/>
  <c r="N172" i="2"/>
  <c r="AB147" i="2"/>
  <c r="N147" i="2"/>
  <c r="U146" i="2"/>
  <c r="U147" i="2"/>
  <c r="AB137" i="2"/>
  <c r="G105" i="2"/>
  <c r="AB110" i="2"/>
  <c r="N98" i="2"/>
  <c r="AB98" i="2"/>
  <c r="N78" i="2"/>
  <c r="N71" i="2"/>
  <c r="G53" i="2"/>
  <c r="AB58" i="2"/>
  <c r="G58" i="2"/>
  <c r="AB53" i="2"/>
  <c r="N32" i="2"/>
  <c r="N39" i="2"/>
  <c r="AB20" i="2"/>
  <c r="N205" i="2"/>
  <c r="G212" i="2"/>
  <c r="G214" i="2"/>
  <c r="AB211" i="2"/>
  <c r="N229" i="2"/>
  <c r="AI231" i="2"/>
  <c r="N228" i="2"/>
  <c r="U241" i="2"/>
  <c r="AB242" i="2"/>
  <c r="G241" i="2"/>
  <c r="N242" i="2"/>
  <c r="AB243" i="2"/>
  <c r="N243" i="2"/>
  <c r="G211" i="2"/>
  <c r="AB215" i="2"/>
  <c r="N197" i="2"/>
  <c r="G195" i="2"/>
  <c r="G194" i="2"/>
  <c r="U172" i="2"/>
  <c r="N173" i="2"/>
  <c r="AB95" i="2"/>
  <c r="G97" i="2"/>
  <c r="G98" i="2"/>
  <c r="N97" i="2"/>
  <c r="N61" i="2"/>
  <c r="N42" i="2"/>
  <c r="N257" i="2"/>
  <c r="U242" i="2"/>
  <c r="G238" i="2"/>
  <c r="G215" i="2"/>
  <c r="N187" i="2"/>
  <c r="AB189" i="2"/>
  <c r="G188" i="2"/>
  <c r="U173" i="2"/>
  <c r="U166" i="2"/>
  <c r="N167" i="2"/>
  <c r="G167" i="2"/>
  <c r="G149" i="2"/>
  <c r="G114" i="2"/>
  <c r="G113" i="2"/>
  <c r="AB118" i="2"/>
  <c r="N106" i="2"/>
  <c r="AB64" i="2"/>
  <c r="G37" i="2"/>
  <c r="G23" i="2"/>
  <c r="AB278" i="2"/>
  <c r="N258" i="2"/>
  <c r="AB263" i="2"/>
  <c r="AB239" i="2"/>
  <c r="N231" i="2"/>
  <c r="AB187" i="2"/>
  <c r="U191" i="2"/>
  <c r="AB168" i="2"/>
  <c r="N166" i="2"/>
  <c r="N150" i="2"/>
  <c r="U136" i="2"/>
  <c r="N126" i="2"/>
  <c r="U125" i="2"/>
  <c r="AB103" i="2"/>
  <c r="U61" i="2"/>
  <c r="U37" i="2"/>
  <c r="AB27" i="2"/>
  <c r="N274" i="2"/>
  <c r="G271" i="2"/>
  <c r="AB274" i="2"/>
  <c r="U271" i="2"/>
  <c r="N263" i="2"/>
  <c r="G256" i="2"/>
  <c r="G257" i="2"/>
  <c r="N264" i="2"/>
  <c r="N268" i="2"/>
  <c r="AB258" i="2"/>
  <c r="N240" i="2"/>
  <c r="N244" i="2"/>
  <c r="U231" i="2"/>
  <c r="N237" i="2"/>
  <c r="G231" i="2"/>
  <c r="G227" i="2"/>
  <c r="AB229" i="2"/>
  <c r="AB186" i="2"/>
  <c r="AB191" i="2"/>
  <c r="N192" i="2"/>
  <c r="N191" i="2"/>
  <c r="AB173" i="2"/>
  <c r="N168" i="2"/>
  <c r="AI171" i="2"/>
  <c r="G152" i="2"/>
  <c r="AB156" i="2"/>
  <c r="N155" i="2"/>
  <c r="U128" i="2"/>
  <c r="AB125" i="2"/>
  <c r="U113" i="2"/>
  <c r="N118" i="2"/>
  <c r="N117" i="2"/>
  <c r="N103" i="2"/>
  <c r="AB100" i="2"/>
  <c r="G72" i="2"/>
  <c r="G44" i="2"/>
  <c r="N44" i="2"/>
  <c r="N49" i="2"/>
  <c r="N38" i="2"/>
  <c r="U264" i="2"/>
  <c r="U205" i="2"/>
  <c r="G228" i="2"/>
  <c r="U140" i="2"/>
  <c r="U118" i="2"/>
  <c r="G61" i="2"/>
  <c r="G240" i="2"/>
  <c r="G168" i="2"/>
  <c r="N128" i="2"/>
  <c r="U100" i="2"/>
  <c r="G197" i="2"/>
  <c r="U20" i="2"/>
  <c r="N125" i="2"/>
  <c r="U117" i="2"/>
  <c r="U214" i="2"/>
  <c r="G174" i="2"/>
  <c r="N204" i="2"/>
  <c r="G199" i="2"/>
  <c r="G100" i="2"/>
  <c r="U151" i="2"/>
  <c r="AB62" i="2"/>
  <c r="U276" i="2"/>
  <c r="U192" i="2"/>
  <c r="N219" i="2"/>
  <c r="G217" i="2"/>
  <c r="G86" i="2"/>
  <c r="G102" i="2"/>
  <c r="N116" i="2"/>
  <c r="U85" i="2"/>
  <c r="N245" i="2"/>
  <c r="G139" i="2"/>
  <c r="G71" i="2"/>
  <c r="N17" i="2"/>
  <c r="AB106" i="2"/>
  <c r="U215" i="2"/>
  <c r="N18" i="2"/>
  <c r="U156" i="2"/>
  <c r="N208" i="2"/>
  <c r="G249" i="2"/>
  <c r="U160" i="2"/>
  <c r="G219" i="2"/>
  <c r="U217" i="2"/>
  <c r="N102" i="2"/>
  <c r="U269" i="2"/>
  <c r="U80" i="2"/>
  <c r="G203" i="2"/>
  <c r="N114" i="2"/>
  <c r="G236" i="2"/>
  <c r="AB175" i="2"/>
  <c r="N104" i="2"/>
  <c r="AB174" i="2"/>
  <c r="N171" i="2"/>
  <c r="N84" i="2"/>
  <c r="N198" i="2"/>
  <c r="U114" i="2"/>
  <c r="U116" i="2"/>
  <c r="G150" i="2"/>
  <c r="G48" i="2"/>
  <c r="U108" i="2"/>
  <c r="N214" i="2"/>
  <c r="AB151" i="2"/>
  <c r="N20" i="2"/>
  <c r="U101" i="2"/>
  <c r="U206" i="2"/>
  <c r="N215" i="2"/>
  <c r="G39" i="2"/>
  <c r="G155" i="2"/>
  <c r="G49" i="2"/>
  <c r="G225" i="2"/>
  <c r="N199" i="2"/>
  <c r="N74" i="2"/>
  <c r="G268" i="2"/>
  <c r="AB86" i="2"/>
  <c r="G73" i="2"/>
  <c r="U178" i="2"/>
  <c r="G20" i="2"/>
  <c r="AB199" i="2"/>
  <c r="G103" i="2"/>
  <c r="AB149" i="2"/>
  <c r="N54" i="2"/>
  <c r="G171" i="2"/>
  <c r="G104" i="2"/>
  <c r="N269" i="2"/>
  <c r="N59" i="2"/>
  <c r="U102" i="2"/>
  <c r="U132" i="2"/>
  <c r="U152" i="2"/>
  <c r="G251" i="2"/>
  <c r="G74" i="2"/>
  <c r="U71" i="2"/>
  <c r="U150" i="2"/>
  <c r="G244" i="2"/>
  <c r="U236" i="2"/>
  <c r="N156" i="2"/>
  <c r="U49" i="2"/>
  <c r="G239" i="2"/>
  <c r="U126" i="2"/>
  <c r="U249" i="2"/>
  <c r="N100" i="2"/>
  <c r="U258" i="2"/>
  <c r="AB55" i="2"/>
  <c r="AI148" i="2"/>
  <c r="N72" i="2"/>
  <c r="G237" i="2"/>
  <c r="G156" i="2"/>
  <c r="U177" i="2"/>
  <c r="N225" i="2"/>
  <c r="G172" i="2"/>
  <c r="G213" i="2"/>
  <c r="G179" i="2"/>
  <c r="U48" i="2"/>
  <c r="G258" i="2"/>
  <c r="G108" i="2"/>
  <c r="AB218" i="2"/>
  <c r="U257" i="2"/>
  <c r="G204" i="2"/>
  <c r="G125" i="2"/>
  <c r="G116" i="2"/>
  <c r="G192" i="2"/>
  <c r="G32" i="2"/>
  <c r="N160" i="2"/>
  <c r="U52" i="2"/>
  <c r="U86" i="2"/>
  <c r="N85" i="2"/>
  <c r="N239" i="2"/>
  <c r="U139" i="2"/>
  <c r="G191" i="2"/>
  <c r="AB238" i="2"/>
  <c r="AB78" i="2"/>
  <c r="AB30" i="2"/>
  <c r="N73" i="2"/>
  <c r="N101" i="2"/>
  <c r="G278" i="2"/>
  <c r="U199" i="2"/>
  <c r="G208" i="2"/>
  <c r="G133" i="2"/>
  <c r="AB130" i="2"/>
  <c r="N48" i="2"/>
  <c r="AB255" i="2"/>
  <c r="N238" i="2"/>
  <c r="AB71" i="2"/>
  <c r="AB194" i="2"/>
  <c r="G205" i="2"/>
  <c r="G263" i="2"/>
  <c r="G144" i="2"/>
  <c r="U62" i="2"/>
  <c r="N213" i="2"/>
  <c r="G196" i="2"/>
  <c r="N253" i="2"/>
  <c r="G245" i="2"/>
  <c r="N210" i="2"/>
  <c r="G17" i="2"/>
  <c r="AB247" i="2"/>
  <c r="AB83" i="2"/>
  <c r="G210" i="2"/>
  <c r="G276" i="2"/>
  <c r="G140" i="2"/>
  <c r="N271" i="2"/>
  <c r="U155" i="2"/>
  <c r="G101" i="2"/>
  <c r="AB183" i="2"/>
  <c r="AB214" i="2"/>
  <c r="N179" i="2"/>
  <c r="AB206" i="2"/>
  <c r="AB249" i="2"/>
  <c r="U171" i="2"/>
  <c r="AB34" i="2"/>
  <c r="U274" i="2"/>
  <c r="N186" i="2"/>
  <c r="N251" i="2"/>
  <c r="U203" i="2"/>
  <c r="AB179" i="2"/>
  <c r="AB227" i="2"/>
  <c r="AB202" i="2"/>
  <c r="AB210" i="2"/>
  <c r="U213" i="2"/>
  <c r="AB143" i="2"/>
  <c r="AB18" i="2"/>
  <c r="AB59" i="2"/>
  <c r="AB74" i="2"/>
  <c r="N249" i="2"/>
  <c r="G264" i="2"/>
  <c r="G84" i="2"/>
  <c r="N115" i="2"/>
  <c r="U112" i="2"/>
  <c r="U21" i="2"/>
  <c r="U17" i="2"/>
  <c r="AB219" i="2"/>
  <c r="AB271" i="2"/>
  <c r="AB182" i="2"/>
  <c r="N144" i="2"/>
  <c r="U54" i="2"/>
  <c r="AB126" i="2"/>
  <c r="G54" i="2"/>
  <c r="AB235" i="2"/>
  <c r="AB192" i="2"/>
  <c r="AI191" i="2"/>
  <c r="AB36" i="2"/>
  <c r="AI35" i="2"/>
  <c r="AB161" i="2"/>
  <c r="AI160" i="2"/>
  <c r="AB256" i="2"/>
  <c r="AI255" i="2"/>
  <c r="AB257" i="2"/>
  <c r="AI256" i="2"/>
  <c r="AB132" i="2"/>
  <c r="AI131" i="2"/>
  <c r="AB225" i="2"/>
  <c r="AI224" i="2"/>
  <c r="AB160" i="2"/>
  <c r="AI159" i="2"/>
  <c r="AB188" i="2"/>
  <c r="AI187" i="2"/>
  <c r="AB140" i="2"/>
  <c r="AI139" i="2"/>
  <c r="AB133" i="2"/>
  <c r="AI132" i="2"/>
  <c r="AB237" i="2"/>
  <c r="AI236" i="2"/>
  <c r="U218" i="2"/>
  <c r="N227" i="2"/>
  <c r="N26" i="2"/>
  <c r="G126" i="2"/>
  <c r="N122" i="2"/>
  <c r="N65" i="2"/>
  <c r="AB205" i="2"/>
  <c r="AI204" i="2"/>
  <c r="AB94" i="2"/>
  <c r="AB193" i="2"/>
  <c r="AI192" i="2"/>
  <c r="AB220" i="2"/>
  <c r="AI219" i="2"/>
  <c r="AB136" i="2"/>
  <c r="AI135" i="2"/>
  <c r="AB108" i="2"/>
  <c r="AI107" i="2"/>
  <c r="AB97" i="2"/>
  <c r="AI96" i="2"/>
  <c r="AB87" i="2"/>
  <c r="AB50" i="2"/>
  <c r="AB72" i="2"/>
  <c r="AI71" i="2"/>
  <c r="AB129" i="2"/>
  <c r="AI128" i="2"/>
  <c r="AB245" i="2"/>
  <c r="AI244" i="2"/>
  <c r="AB37" i="2"/>
  <c r="AI36" i="2"/>
  <c r="AB120" i="2"/>
  <c r="AI119" i="2"/>
  <c r="AB90" i="2"/>
  <c r="AB32" i="2"/>
  <c r="AI31" i="2"/>
  <c r="AB61" i="2"/>
  <c r="AI60" i="2"/>
  <c r="AB144" i="2"/>
  <c r="AI143" i="2"/>
  <c r="AB259" i="2"/>
  <c r="AB109" i="2"/>
  <c r="AI108" i="2"/>
  <c r="AB21" i="2"/>
  <c r="AI20" i="2"/>
  <c r="AB57" i="2"/>
  <c r="AI56" i="2"/>
  <c r="AB200" i="2"/>
  <c r="AI199" i="2"/>
  <c r="N267" i="2"/>
  <c r="N259" i="2"/>
  <c r="U204" i="2"/>
  <c r="G166" i="2"/>
  <c r="U237" i="2"/>
  <c r="U161" i="2"/>
  <c r="G160" i="2"/>
  <c r="U50" i="2"/>
  <c r="N86" i="2"/>
  <c r="G26" i="2"/>
  <c r="U208" i="2"/>
  <c r="N50" i="2"/>
  <c r="N21" i="2"/>
  <c r="G200" i="2"/>
  <c r="G59" i="2"/>
  <c r="U245" i="2"/>
  <c r="U225" i="2"/>
  <c r="G55" i="2"/>
  <c r="G132" i="2"/>
  <c r="U59" i="2"/>
  <c r="U251" i="2"/>
  <c r="N134" i="2"/>
  <c r="N236" i="2"/>
  <c r="AB128" i="2"/>
  <c r="AI127" i="2"/>
  <c r="AB276" i="2"/>
  <c r="AI275" i="2"/>
  <c r="AB104" i="2"/>
  <c r="AI103" i="2"/>
  <c r="AB148" i="2"/>
  <c r="AI147" i="2"/>
  <c r="AB181" i="2"/>
  <c r="AI180" i="2"/>
  <c r="AB177" i="2"/>
  <c r="AI176" i="2"/>
  <c r="AB39" i="2"/>
  <c r="AB152" i="2"/>
  <c r="AI151" i="2"/>
  <c r="AB115" i="2"/>
  <c r="AB158" i="2"/>
  <c r="AB244" i="2"/>
  <c r="AI243" i="2"/>
  <c r="AB48" i="2"/>
  <c r="AI47" i="2"/>
  <c r="AB208" i="2"/>
  <c r="AI207" i="2"/>
  <c r="AB141" i="2"/>
  <c r="AI140" i="2"/>
  <c r="AB269" i="2"/>
  <c r="AI268" i="2"/>
  <c r="AB253" i="2"/>
  <c r="AI252" i="2"/>
  <c r="AB44" i="2"/>
  <c r="AI43" i="2"/>
  <c r="AB134" i="2"/>
  <c r="AB66" i="2"/>
  <c r="AB38" i="2"/>
  <c r="AB29" i="2"/>
  <c r="AI28" i="2"/>
  <c r="AB196" i="2"/>
  <c r="AI195" i="2"/>
  <c r="AB77" i="2"/>
  <c r="AI76" i="2"/>
  <c r="AB69" i="2"/>
  <c r="AI68" i="2"/>
  <c r="AB85" i="2"/>
  <c r="AI84" i="2"/>
  <c r="AB221" i="2"/>
  <c r="AI220" i="2"/>
  <c r="AB204" i="2"/>
  <c r="AI203" i="2"/>
  <c r="AB101" i="2"/>
  <c r="AI100" i="2"/>
  <c r="AB52" i="2"/>
  <c r="AI51" i="2"/>
  <c r="AB213" i="2"/>
  <c r="AI212" i="2"/>
  <c r="AB231" i="2"/>
  <c r="AB216" i="2"/>
  <c r="AI215" i="2"/>
  <c r="AB65" i="2"/>
  <c r="AI64" i="2"/>
  <c r="AB163" i="2"/>
  <c r="AB246" i="2"/>
  <c r="AB45" i="2"/>
  <c r="AI44" i="2"/>
  <c r="AB157" i="2"/>
  <c r="AI156" i="2"/>
  <c r="AB119" i="2"/>
  <c r="AB150" i="2"/>
  <c r="AB251" i="2"/>
  <c r="AB198" i="2"/>
  <c r="N174" i="2"/>
  <c r="G85" i="2"/>
  <c r="G274" i="2"/>
  <c r="U134" i="2"/>
  <c r="U72" i="2"/>
  <c r="AB267" i="2"/>
  <c r="AB264" i="2"/>
  <c r="AI263" i="2"/>
  <c r="AB33" i="2"/>
  <c r="AI32" i="2"/>
  <c r="AB102" i="2"/>
  <c r="AB117" i="2"/>
  <c r="AI116" i="2"/>
  <c r="AB23" i="2"/>
  <c r="AB73" i="2"/>
  <c r="AI72" i="2"/>
  <c r="AB155" i="2"/>
  <c r="AB68" i="2"/>
  <c r="AI67" i="2"/>
  <c r="N27" i="2"/>
  <c r="N132" i="2"/>
  <c r="G141" i="2"/>
  <c r="N265" i="2"/>
  <c r="N36" i="2"/>
  <c r="U253" i="2"/>
  <c r="N140" i="2"/>
  <c r="G80" i="2"/>
  <c r="U210" i="2"/>
  <c r="G38" i="2"/>
  <c r="U256" i="2"/>
  <c r="N109" i="2"/>
  <c r="U169" i="2"/>
  <c r="N217" i="2"/>
  <c r="G75" i="2"/>
  <c r="U26" i="2"/>
  <c r="G52" i="2"/>
  <c r="U84" i="2"/>
  <c r="U93" i="2"/>
  <c r="N203" i="2"/>
  <c r="U174" i="2"/>
  <c r="U18" i="2"/>
  <c r="G269" i="2"/>
  <c r="N52" i="2"/>
  <c r="N112" i="2"/>
  <c r="AB153" i="2"/>
  <c r="AB17" i="2"/>
  <c r="AI16" i="2"/>
  <c r="AB127" i="2"/>
  <c r="AB241" i="2"/>
  <c r="AI240" i="2"/>
  <c r="AB40" i="2"/>
  <c r="AI39" i="2"/>
  <c r="AB217" i="2"/>
  <c r="AB272" i="2"/>
  <c r="AI271" i="2"/>
  <c r="AB114" i="2"/>
  <c r="AB113" i="2"/>
  <c r="AI112" i="2"/>
  <c r="AB197" i="2"/>
  <c r="AI196" i="2"/>
  <c r="AB49" i="2"/>
  <c r="AI48" i="2"/>
  <c r="AB228" i="2"/>
  <c r="AI227" i="2"/>
  <c r="AB96" i="2"/>
  <c r="AI95" i="2"/>
  <c r="AB230" i="2"/>
  <c r="AB47" i="2"/>
  <c r="AB99" i="2"/>
  <c r="AB171" i="2"/>
  <c r="AB277" i="2"/>
  <c r="AI276" i="2"/>
  <c r="AB112" i="2"/>
  <c r="AI111" i="2"/>
  <c r="AB91" i="2"/>
  <c r="AB43" i="2"/>
  <c r="AB265" i="2"/>
  <c r="AB75" i="2"/>
  <c r="AB166" i="2"/>
  <c r="AB124" i="2"/>
  <c r="AI123" i="2"/>
  <c r="AB26" i="2"/>
  <c r="AB240" i="2"/>
  <c r="AI239" i="2"/>
  <c r="AB93" i="2"/>
  <c r="AI92" i="2"/>
  <c r="AB203" i="2"/>
  <c r="AB41" i="2"/>
  <c r="AI40" i="2"/>
  <c r="AB122" i="2"/>
  <c r="AB145" i="2"/>
  <c r="AI144" i="2"/>
  <c r="AB139" i="2"/>
  <c r="AB80" i="2"/>
  <c r="AI79" i="2"/>
  <c r="AB236" i="2"/>
  <c r="AI235" i="2"/>
  <c r="AB167" i="2"/>
  <c r="AB169" i="2"/>
  <c r="AB54" i="2"/>
  <c r="G21" i="2"/>
  <c r="AB84" i="2"/>
  <c r="AI83" i="2"/>
  <c r="AB190" i="2"/>
  <c r="AB164" i="2"/>
  <c r="AI163" i="2"/>
  <c r="U181" i="2"/>
  <c r="U57" i="2"/>
  <c r="N255" i="2"/>
  <c r="N33" i="2"/>
  <c r="U272" i="2"/>
  <c r="U216" i="2"/>
  <c r="N161" i="2"/>
  <c r="G265" i="2"/>
  <c r="N68" i="2"/>
  <c r="U127" i="2"/>
  <c r="N220" i="2"/>
  <c r="N40" i="2"/>
  <c r="G157" i="2"/>
  <c r="N90" i="2"/>
  <c r="G127" i="2"/>
  <c r="U65" i="2"/>
  <c r="N45" i="2"/>
  <c r="G93" i="2"/>
  <c r="G27" i="2"/>
  <c r="G148" i="2"/>
  <c r="N177" i="2"/>
  <c r="U202" i="2"/>
  <c r="N23" i="2"/>
  <c r="U235" i="2"/>
  <c r="U193" i="2"/>
  <c r="U99" i="2"/>
  <c r="U47" i="2"/>
  <c r="G65" i="2"/>
  <c r="N129" i="2"/>
  <c r="G83" i="2"/>
  <c r="G119" i="2"/>
  <c r="U77" i="2"/>
  <c r="G99" i="2"/>
  <c r="N190" i="2"/>
  <c r="N163" i="2"/>
  <c r="N200" i="2"/>
  <c r="N181" i="2"/>
  <c r="G186" i="2"/>
  <c r="G255" i="2"/>
  <c r="U33" i="2"/>
  <c r="G218" i="2"/>
  <c r="N136" i="2"/>
  <c r="N143" i="2"/>
  <c r="G36" i="2"/>
  <c r="U267" i="2"/>
  <c r="U196" i="2"/>
  <c r="U68" i="2"/>
  <c r="U277" i="2"/>
  <c r="G153" i="2"/>
  <c r="G43" i="2"/>
  <c r="G29" i="2"/>
  <c r="U40" i="2"/>
  <c r="N157" i="2"/>
  <c r="U90" i="2"/>
  <c r="N188" i="2"/>
  <c r="G182" i="2"/>
  <c r="N153" i="2"/>
  <c r="N218" i="2"/>
  <c r="U103" i="2"/>
  <c r="U240" i="2"/>
  <c r="G136" i="2"/>
  <c r="U263" i="2"/>
  <c r="G57" i="2"/>
  <c r="N196" i="2"/>
  <c r="G169" i="2"/>
  <c r="N230" i="2"/>
  <c r="U188" i="2"/>
  <c r="G124" i="2"/>
  <c r="N151" i="2"/>
  <c r="N272" i="2"/>
  <c r="N127" i="2"/>
  <c r="G115" i="2"/>
  <c r="G129" i="2"/>
  <c r="N83" i="2"/>
  <c r="G151" i="2"/>
  <c r="N130" i="2"/>
  <c r="G259" i="2"/>
  <c r="G163" i="2"/>
  <c r="N246" i="2"/>
  <c r="N43" i="2"/>
  <c r="N96" i="2"/>
  <c r="G267" i="2"/>
  <c r="U255" i="2"/>
  <c r="U38" i="2"/>
  <c r="N216" i="2"/>
  <c r="U141" i="2"/>
  <c r="G143" i="2"/>
  <c r="N277" i="2"/>
  <c r="U45" i="2"/>
  <c r="N124" i="2"/>
  <c r="G220" i="2"/>
  <c r="N29" i="2"/>
  <c r="G40" i="2"/>
  <c r="G90" i="2"/>
  <c r="U75" i="2"/>
  <c r="U153" i="2"/>
  <c r="U182" i="2"/>
  <c r="U91" i="2"/>
  <c r="N202" i="2"/>
  <c r="U36" i="2"/>
  <c r="U186" i="2"/>
  <c r="N193" i="2"/>
  <c r="U230" i="2"/>
  <c r="N34" i="2"/>
  <c r="G122" i="2"/>
  <c r="G47" i="2"/>
  <c r="U259" i="2"/>
  <c r="U129" i="2"/>
  <c r="G235" i="2"/>
  <c r="N119" i="2"/>
  <c r="N77" i="2"/>
  <c r="N278" i="2"/>
  <c r="G190" i="2"/>
  <c r="G112" i="2"/>
  <c r="G246" i="2"/>
  <c r="N80" i="2"/>
  <c r="U96" i="2"/>
  <c r="N57" i="2"/>
  <c r="U148" i="2"/>
  <c r="G181" i="2"/>
  <c r="N235" i="2"/>
  <c r="G33" i="2"/>
  <c r="N99" i="2"/>
  <c r="G216" i="2"/>
  <c r="N148" i="2"/>
  <c r="G177" i="2"/>
  <c r="U143" i="2"/>
  <c r="G68" i="2"/>
  <c r="G277" i="2"/>
  <c r="U34" i="2"/>
  <c r="G272" i="2"/>
  <c r="U87" i="2"/>
  <c r="U220" i="2"/>
  <c r="U29" i="2"/>
  <c r="U157" i="2"/>
  <c r="N169" i="2"/>
  <c r="G45" i="2"/>
  <c r="U124" i="2"/>
  <c r="U43" i="2"/>
  <c r="N93" i="2"/>
  <c r="N182" i="2"/>
  <c r="G41" i="2"/>
  <c r="U144" i="2"/>
  <c r="U227" i="2"/>
  <c r="N256" i="2"/>
  <c r="N141" i="2"/>
  <c r="U265" i="2"/>
  <c r="G202" i="2"/>
  <c r="G253" i="2"/>
  <c r="N62" i="2"/>
  <c r="N69" i="2"/>
  <c r="G193" i="2"/>
  <c r="G230" i="2"/>
  <c r="N75" i="2"/>
  <c r="U200" i="2"/>
  <c r="N47" i="2"/>
  <c r="N87" i="2"/>
  <c r="G221" i="2"/>
  <c r="U83" i="2"/>
  <c r="U119" i="2"/>
  <c r="G77" i="2"/>
  <c r="U122" i="2"/>
  <c r="U190" i="2"/>
  <c r="U163" i="2"/>
  <c r="U246" i="2"/>
  <c r="G87" i="2"/>
  <c r="G96" i="2"/>
</calcChain>
</file>

<file path=xl/sharedStrings.xml><?xml version="1.0" encoding="utf-8"?>
<sst xmlns="http://schemas.openxmlformats.org/spreadsheetml/2006/main" count="641" uniqueCount="47">
  <si>
    <t>Country</t>
  </si>
  <si>
    <t>Year</t>
  </si>
  <si>
    <t>GDP</t>
  </si>
  <si>
    <t>Normalised Weights</t>
  </si>
  <si>
    <t>Canada</t>
  </si>
  <si>
    <t>France</t>
  </si>
  <si>
    <t xml:space="preserve">Germany </t>
  </si>
  <si>
    <t xml:space="preserve">Italy </t>
  </si>
  <si>
    <t>Japan</t>
  </si>
  <si>
    <t>United Kingdom</t>
  </si>
  <si>
    <t>United States</t>
  </si>
  <si>
    <t>group GDP =</t>
  </si>
  <si>
    <t>G7</t>
  </si>
  <si>
    <t>Denmark</t>
  </si>
  <si>
    <t>Finland</t>
  </si>
  <si>
    <t>Iceland</t>
  </si>
  <si>
    <t>Norway</t>
  </si>
  <si>
    <t>Sweden</t>
  </si>
  <si>
    <t>Chile</t>
  </si>
  <si>
    <t>Colombia</t>
  </si>
  <si>
    <t>Mexico</t>
  </si>
  <si>
    <t>Costa Rica</t>
  </si>
  <si>
    <t>Turkey</t>
  </si>
  <si>
    <t>Nordic Block</t>
  </si>
  <si>
    <t>Group GDP =</t>
  </si>
  <si>
    <t>Emerging Block</t>
  </si>
  <si>
    <t xml:space="preserve">Canada </t>
  </si>
  <si>
    <t>stock indice</t>
  </si>
  <si>
    <t>Normalised Weight</t>
  </si>
  <si>
    <t>Weighted Indice</t>
  </si>
  <si>
    <t xml:space="preserve">returns </t>
  </si>
  <si>
    <t>Germany</t>
  </si>
  <si>
    <t>Italy</t>
  </si>
  <si>
    <t>UK</t>
  </si>
  <si>
    <t>US</t>
  </si>
  <si>
    <t xml:space="preserve">G7 </t>
  </si>
  <si>
    <t>STOCK INDICE</t>
  </si>
  <si>
    <t>Returns</t>
  </si>
  <si>
    <t>risk transfer</t>
  </si>
  <si>
    <t>montly delta risk</t>
  </si>
  <si>
    <t>denmark</t>
  </si>
  <si>
    <t>FINLAND</t>
  </si>
  <si>
    <t>iceland</t>
  </si>
  <si>
    <t>norway</t>
  </si>
  <si>
    <t>sweden</t>
  </si>
  <si>
    <t>NORDIC INDEX</t>
  </si>
  <si>
    <t>Emerging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</si>
</sst>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B203-FAB0-4355-8F45-58478FEF3D56}">
  <dimension ref="A1:O204"/>
  <sheetViews>
    <sheetView topLeftCell="A136" zoomScaleNormal="100" workbookViewId="0">
      <selection activeCell="O153" sqref="O153"/>
    </sheetView>
  </sheetViews>
  <sheetFormatPr defaultRowHeight="14.5" x14ac:dyDescent="0.35"/>
  <cols>
    <col min="3" max="3" width="11.81640625" bestFit="1" customWidth="1"/>
    <col min="4" max="4" width="17.81640625" bestFit="1" customWidth="1"/>
    <col min="8" max="8" width="11.81640625" bestFit="1" customWidth="1"/>
    <col min="14" max="14" width="11.81640625" bestFit="1" customWidth="1"/>
  </cols>
  <sheetData>
    <row r="1" spans="1:15" x14ac:dyDescent="0.35">
      <c r="A1" s="1" t="s">
        <v>12</v>
      </c>
      <c r="F1" s="1" t="s">
        <v>23</v>
      </c>
      <c r="L1" s="1" t="s">
        <v>25</v>
      </c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F2" s="1" t="s">
        <v>0</v>
      </c>
      <c r="G2" s="1" t="s">
        <v>1</v>
      </c>
      <c r="H2" s="1" t="s">
        <v>2</v>
      </c>
      <c r="I2" s="1" t="s">
        <v>3</v>
      </c>
      <c r="L2" s="1" t="s">
        <v>0</v>
      </c>
      <c r="M2" s="1" t="s">
        <v>1</v>
      </c>
      <c r="N2" s="1" t="s">
        <v>2</v>
      </c>
      <c r="O2" s="1" t="s">
        <v>3</v>
      </c>
    </row>
    <row r="3" spans="1:15" x14ac:dyDescent="0.35">
      <c r="A3" t="s">
        <v>4</v>
      </c>
      <c r="B3">
        <v>2000</v>
      </c>
      <c r="C3">
        <v>1267558508211</v>
      </c>
      <c r="D3">
        <f t="shared" ref="D3:D9" si="0">C3/$C$10</f>
        <v>4.1278033136215593E-2</v>
      </c>
      <c r="F3" t="s">
        <v>13</v>
      </c>
      <c r="G3">
        <v>2000</v>
      </c>
      <c r="H3">
        <v>261144660594</v>
      </c>
      <c r="I3">
        <f>H3/$H$8</f>
        <v>0.23786553307981059</v>
      </c>
      <c r="L3" t="s">
        <v>18</v>
      </c>
      <c r="M3">
        <v>2000</v>
      </c>
      <c r="N3">
        <v>236659561222</v>
      </c>
      <c r="O3">
        <f>N3/$N$8</f>
        <v>6.7223330052316413E-2</v>
      </c>
    </row>
    <row r="4" spans="1:15" x14ac:dyDescent="0.35">
      <c r="A4" t="s">
        <v>5</v>
      </c>
      <c r="B4">
        <v>2000</v>
      </c>
      <c r="C4">
        <v>2420192654831</v>
      </c>
      <c r="D4">
        <f t="shared" si="0"/>
        <v>7.8813555315199652E-2</v>
      </c>
      <c r="F4" t="s">
        <v>14</v>
      </c>
      <c r="G4">
        <v>2000</v>
      </c>
      <c r="H4">
        <v>206500688395</v>
      </c>
      <c r="I4">
        <f>H4/$H$8</f>
        <v>0.18809266946028108</v>
      </c>
      <c r="L4" t="s">
        <v>19</v>
      </c>
      <c r="M4">
        <v>2000</v>
      </c>
      <c r="N4">
        <v>358360409926</v>
      </c>
      <c r="O4">
        <f>N4/$N$8</f>
        <v>0.10179254955831242</v>
      </c>
    </row>
    <row r="5" spans="1:15" x14ac:dyDescent="0.35">
      <c r="A5" t="s">
        <v>6</v>
      </c>
      <c r="B5">
        <v>2000</v>
      </c>
      <c r="C5">
        <v>3529190523385</v>
      </c>
      <c r="D5">
        <f t="shared" si="0"/>
        <v>0.11492806243232936</v>
      </c>
      <c r="F5" t="s">
        <v>15</v>
      </c>
      <c r="G5">
        <v>2000</v>
      </c>
      <c r="H5">
        <v>11678589124</v>
      </c>
      <c r="I5">
        <f>H5/$H$8</f>
        <v>1.063752872175003E-2</v>
      </c>
      <c r="L5" t="s">
        <v>20</v>
      </c>
      <c r="M5">
        <v>2000</v>
      </c>
      <c r="N5">
        <v>1899433166667</v>
      </c>
      <c r="O5">
        <f>N5/$N$8</f>
        <v>0.53953544921599605</v>
      </c>
    </row>
    <row r="6" spans="1:15" x14ac:dyDescent="0.35">
      <c r="A6" t="s">
        <v>7</v>
      </c>
      <c r="B6">
        <v>2000</v>
      </c>
      <c r="C6">
        <v>2451581706371</v>
      </c>
      <c r="D6">
        <f t="shared" si="0"/>
        <v>7.9835739538799064E-2</v>
      </c>
      <c r="F6" t="s">
        <v>16</v>
      </c>
      <c r="G6">
        <v>2000</v>
      </c>
      <c r="H6">
        <v>258110175190</v>
      </c>
      <c r="I6">
        <f>H6/$H$8</f>
        <v>0.23510154975116984</v>
      </c>
      <c r="L6" t="s">
        <v>21</v>
      </c>
      <c r="M6">
        <v>2000</v>
      </c>
      <c r="N6">
        <v>50021225874</v>
      </c>
      <c r="O6">
        <f>N6/$N$8</f>
        <v>1.4208567611578852E-2</v>
      </c>
    </row>
    <row r="7" spans="1:15" x14ac:dyDescent="0.35">
      <c r="A7" t="s">
        <v>8</v>
      </c>
      <c r="B7">
        <v>2000</v>
      </c>
      <c r="C7">
        <v>4607330376800</v>
      </c>
      <c r="D7">
        <f t="shared" si="0"/>
        <v>0.15003767852220129</v>
      </c>
      <c r="F7" t="s">
        <v>17</v>
      </c>
      <c r="G7">
        <v>2000</v>
      </c>
      <c r="H7">
        <v>360432640290</v>
      </c>
      <c r="I7">
        <f>H7/$H$8</f>
        <v>0.32830271898698848</v>
      </c>
      <c r="L7" t="s">
        <v>22</v>
      </c>
      <c r="M7">
        <v>2000</v>
      </c>
      <c r="N7">
        <v>976023074296</v>
      </c>
      <c r="O7">
        <f>N7/$N$8</f>
        <v>0.27724010356179629</v>
      </c>
    </row>
    <row r="8" spans="1:15" x14ac:dyDescent="0.35">
      <c r="A8" t="s">
        <v>9</v>
      </c>
      <c r="B8">
        <v>2000</v>
      </c>
      <c r="C8">
        <v>2275920942597</v>
      </c>
      <c r="D8">
        <f t="shared" si="0"/>
        <v>7.4115348108481666E-2</v>
      </c>
      <c r="G8" t="s">
        <v>11</v>
      </c>
      <c r="H8">
        <f>SUM(H1:H7)</f>
        <v>1097866753593</v>
      </c>
      <c r="I8">
        <f>SUM(I3:I7)</f>
        <v>1</v>
      </c>
      <c r="M8" t="s">
        <v>24</v>
      </c>
      <c r="N8">
        <f>SUM(N1:N7)</f>
        <v>3520497437985</v>
      </c>
      <c r="O8">
        <f>SUM(O3:O7)</f>
        <v>1</v>
      </c>
    </row>
    <row r="9" spans="1:15" x14ac:dyDescent="0.35">
      <c r="A9" t="s">
        <v>10</v>
      </c>
      <c r="B9">
        <v>2000</v>
      </c>
      <c r="C9">
        <v>14156047630699</v>
      </c>
      <c r="D9">
        <f t="shared" si="0"/>
        <v>0.46099158294677339</v>
      </c>
      <c r="F9" t="s">
        <v>13</v>
      </c>
      <c r="G9">
        <v>2001</v>
      </c>
      <c r="H9">
        <v>263294280697</v>
      </c>
      <c r="I9">
        <f t="shared" ref="I9:I14" si="1">H9/$H$14</f>
        <v>0.10226076436619386</v>
      </c>
      <c r="L9" t="s">
        <v>18</v>
      </c>
      <c r="M9">
        <v>2001</v>
      </c>
      <c r="N9">
        <v>244123886435</v>
      </c>
      <c r="O9">
        <f>N9/$N$14</f>
        <v>7.0331704476063212E-2</v>
      </c>
    </row>
    <row r="10" spans="1:15" x14ac:dyDescent="0.35">
      <c r="B10" t="s">
        <v>11</v>
      </c>
      <c r="C10">
        <f>SUM(C3:C9)</f>
        <v>30707822342894</v>
      </c>
      <c r="D10">
        <f>SUM(D3:D9)</f>
        <v>1</v>
      </c>
      <c r="F10" t="s">
        <v>14</v>
      </c>
      <c r="G10">
        <v>2001</v>
      </c>
      <c r="H10">
        <v>211890395854</v>
      </c>
      <c r="I10">
        <f t="shared" si="1"/>
        <v>8.22960293118601E-2</v>
      </c>
      <c r="L10" t="s">
        <v>19</v>
      </c>
      <c r="M10">
        <v>2001</v>
      </c>
      <c r="N10">
        <v>364373333181</v>
      </c>
      <c r="O10">
        <f>N10/$N$14</f>
        <v>0.10497537935546349</v>
      </c>
    </row>
    <row r="11" spans="1:15" x14ac:dyDescent="0.35">
      <c r="A11" t="s">
        <v>4</v>
      </c>
      <c r="B11">
        <v>2001</v>
      </c>
      <c r="C11">
        <v>1291326474123</v>
      </c>
      <c r="D11">
        <f>C11/$C$18</f>
        <v>4.1523944342587146E-2</v>
      </c>
      <c r="F11" t="s">
        <v>15</v>
      </c>
      <c r="G11">
        <v>2001</v>
      </c>
      <c r="H11">
        <v>12147309012</v>
      </c>
      <c r="I11">
        <f t="shared" si="1"/>
        <v>4.7178886729749951E-3</v>
      </c>
      <c r="L11" t="s">
        <v>20</v>
      </c>
      <c r="M11">
        <v>2001</v>
      </c>
      <c r="N11">
        <v>1890869662397</v>
      </c>
      <c r="O11">
        <f>N11/$N$14</f>
        <v>0.54475655062073747</v>
      </c>
    </row>
    <row r="12" spans="1:15" x14ac:dyDescent="0.35">
      <c r="A12" t="s">
        <v>5</v>
      </c>
      <c r="B12">
        <v>2001</v>
      </c>
      <c r="C12">
        <v>2468202534897</v>
      </c>
      <c r="D12">
        <f t="shared" ref="D12:D17" si="2">C12/$C$18</f>
        <v>7.9367616740685917E-2</v>
      </c>
      <c r="F12" t="s">
        <v>16</v>
      </c>
      <c r="G12">
        <v>2001</v>
      </c>
      <c r="H12">
        <v>263445649243</v>
      </c>
      <c r="I12">
        <f t="shared" si="1"/>
        <v>0.10231955433752929</v>
      </c>
      <c r="L12" t="s">
        <v>21</v>
      </c>
      <c r="M12">
        <v>2001</v>
      </c>
      <c r="N12">
        <v>51767551841</v>
      </c>
      <c r="O12">
        <f>N12/$N$14</f>
        <v>1.4914149576673703E-2</v>
      </c>
    </row>
    <row r="13" spans="1:15" x14ac:dyDescent="0.35">
      <c r="A13" t="s">
        <v>6</v>
      </c>
      <c r="B13">
        <v>2001</v>
      </c>
      <c r="C13">
        <v>3588532749669</v>
      </c>
      <c r="D13">
        <f t="shared" si="2"/>
        <v>0.11539299871475681</v>
      </c>
      <c r="F13" t="s">
        <v>17</v>
      </c>
      <c r="G13">
        <v>2001</v>
      </c>
      <c r="H13">
        <v>365657106430</v>
      </c>
      <c r="I13">
        <f t="shared" si="1"/>
        <v>0.14201742286416688</v>
      </c>
      <c r="L13" t="s">
        <v>22</v>
      </c>
      <c r="M13">
        <v>2001</v>
      </c>
      <c r="N13">
        <v>919901683550</v>
      </c>
      <c r="O13">
        <f>N13/$N$14</f>
        <v>0.26502221597106218</v>
      </c>
    </row>
    <row r="14" spans="1:15" x14ac:dyDescent="0.35">
      <c r="A14" t="s">
        <v>7</v>
      </c>
      <c r="B14">
        <v>2001</v>
      </c>
      <c r="C14">
        <v>2499421174463</v>
      </c>
      <c r="D14">
        <f t="shared" si="2"/>
        <v>8.0371484529170825E-2</v>
      </c>
      <c r="G14" t="s">
        <v>11</v>
      </c>
      <c r="H14">
        <f>SUM(H7:H13)</f>
        <v>2574734135119</v>
      </c>
      <c r="I14">
        <f t="shared" si="1"/>
        <v>1</v>
      </c>
      <c r="M14" t="s">
        <v>24</v>
      </c>
      <c r="N14">
        <f>SUM(N9:N13)</f>
        <v>3471036117404</v>
      </c>
      <c r="O14">
        <f>SUM(O9:O13)</f>
        <v>1</v>
      </c>
    </row>
    <row r="15" spans="1:15" x14ac:dyDescent="0.35">
      <c r="A15" t="s">
        <v>8</v>
      </c>
      <c r="B15">
        <v>2001</v>
      </c>
      <c r="C15">
        <v>4625119437239</v>
      </c>
      <c r="D15">
        <f t="shared" si="2"/>
        <v>0.14872552056997243</v>
      </c>
      <c r="F15" t="s">
        <v>13</v>
      </c>
      <c r="G15">
        <v>2002</v>
      </c>
      <c r="H15">
        <v>264522141915</v>
      </c>
      <c r="I15">
        <f>H15/$H$20</f>
        <v>0.2334684629838969</v>
      </c>
      <c r="L15" t="s">
        <v>18</v>
      </c>
      <c r="M15">
        <v>2002</v>
      </c>
      <c r="N15">
        <v>251942684170</v>
      </c>
      <c r="O15">
        <f>N15/$N$20</f>
        <v>7.107815499701102E-2</v>
      </c>
    </row>
    <row r="16" spans="1:15" x14ac:dyDescent="0.35">
      <c r="A16" t="s">
        <v>9</v>
      </c>
      <c r="B16">
        <v>2001</v>
      </c>
      <c r="C16">
        <v>2334611050119</v>
      </c>
      <c r="D16">
        <f t="shared" si="2"/>
        <v>7.5071843758619056E-2</v>
      </c>
      <c r="F16" t="s">
        <v>14</v>
      </c>
      <c r="G16">
        <v>2002</v>
      </c>
      <c r="H16">
        <v>215507680547</v>
      </c>
      <c r="I16">
        <f>H16/$H$20</f>
        <v>0.19020807322322542</v>
      </c>
      <c r="L16" t="s">
        <v>19</v>
      </c>
      <c r="M16">
        <v>2002</v>
      </c>
      <c r="N16">
        <v>373497170269</v>
      </c>
      <c r="O16">
        <f>N16/$N$20</f>
        <v>0.10537114759566467</v>
      </c>
    </row>
    <row r="17" spans="1:15" x14ac:dyDescent="0.35">
      <c r="A17" t="s">
        <v>10</v>
      </c>
      <c r="B17">
        <v>2001</v>
      </c>
      <c r="C17">
        <v>14291144275693</v>
      </c>
      <c r="D17">
        <f t="shared" si="2"/>
        <v>0.45954659134420783</v>
      </c>
      <c r="F17" t="s">
        <v>15</v>
      </c>
      <c r="G17">
        <v>2002</v>
      </c>
      <c r="H17">
        <v>12215275524</v>
      </c>
      <c r="I17">
        <f>H17/$H$20</f>
        <v>1.0781258539897589E-2</v>
      </c>
      <c r="L17" t="s">
        <v>20</v>
      </c>
      <c r="M17">
        <v>2002</v>
      </c>
      <c r="N17">
        <v>1886396091644</v>
      </c>
      <c r="O17">
        <f>N17/$N$20</f>
        <v>0.53219070134680169</v>
      </c>
    </row>
    <row r="18" spans="1:15" x14ac:dyDescent="0.35">
      <c r="B18" t="s">
        <v>11</v>
      </c>
      <c r="C18">
        <f>SUM(C11:C17)</f>
        <v>31098357696203</v>
      </c>
      <c r="D18">
        <f>SUM(D11:D17)</f>
        <v>1</v>
      </c>
      <c r="F18" t="s">
        <v>16</v>
      </c>
      <c r="G18">
        <v>2002</v>
      </c>
      <c r="H18">
        <v>267074763229</v>
      </c>
      <c r="I18">
        <f>H18/$H$20</f>
        <v>0.23572141833366497</v>
      </c>
      <c r="L18" t="s">
        <v>21</v>
      </c>
      <c r="M18">
        <v>2002</v>
      </c>
      <c r="N18">
        <v>53536385097</v>
      </c>
      <c r="O18">
        <f>N18/$N$20</f>
        <v>1.5103703012613009E-2</v>
      </c>
    </row>
    <row r="19" spans="1:15" x14ac:dyDescent="0.35">
      <c r="A19" t="s">
        <v>4</v>
      </c>
      <c r="B19">
        <v>2002</v>
      </c>
      <c r="C19">
        <v>1330056652478</v>
      </c>
      <c r="D19">
        <f>C19/$C$26</f>
        <v>4.2290471529553272E-2</v>
      </c>
      <c r="F19" t="s">
        <v>17</v>
      </c>
      <c r="G19">
        <v>2002</v>
      </c>
      <c r="H19">
        <v>373690304416</v>
      </c>
      <c r="I19">
        <f>H19/$H$20</f>
        <v>0.32982078691931516</v>
      </c>
      <c r="L19" t="s">
        <v>22</v>
      </c>
      <c r="M19">
        <v>2002</v>
      </c>
      <c r="N19">
        <v>979214387209</v>
      </c>
      <c r="O19">
        <f>N19/$N$20</f>
        <v>0.27625629304790966</v>
      </c>
    </row>
    <row r="20" spans="1:15" x14ac:dyDescent="0.35">
      <c r="A20" t="s">
        <v>5</v>
      </c>
      <c r="B20">
        <v>2002</v>
      </c>
      <c r="C20">
        <v>2496229751724</v>
      </c>
      <c r="D20">
        <f t="shared" ref="D20:D25" si="3">C20/$C$26</f>
        <v>7.9370102807146264E-2</v>
      </c>
      <c r="G20" t="s">
        <v>11</v>
      </c>
      <c r="H20">
        <f>SUM(H15:H19)</f>
        <v>1133010165631</v>
      </c>
      <c r="I20">
        <f>SUM(I15:I19)</f>
        <v>1</v>
      </c>
      <c r="M20" t="s">
        <v>24</v>
      </c>
      <c r="N20">
        <f>SUM(N15:N19)</f>
        <v>3544586718389</v>
      </c>
      <c r="O20">
        <f>SUM(O15:O19)</f>
        <v>1</v>
      </c>
    </row>
    <row r="21" spans="1:15" x14ac:dyDescent="0.35">
      <c r="A21" t="s">
        <v>6</v>
      </c>
      <c r="B21">
        <v>2002</v>
      </c>
      <c r="C21">
        <v>3581428393772</v>
      </c>
      <c r="D21">
        <f t="shared" si="3"/>
        <v>0.11387507083985186</v>
      </c>
      <c r="F21" t="s">
        <v>13</v>
      </c>
      <c r="G21">
        <v>2003</v>
      </c>
      <c r="H21">
        <v>265553933164</v>
      </c>
      <c r="I21">
        <f>H21/$H$26</f>
        <v>0.23096121913066661</v>
      </c>
      <c r="L21" t="s">
        <v>18</v>
      </c>
      <c r="M21">
        <v>2003</v>
      </c>
      <c r="N21">
        <v>263842555075</v>
      </c>
      <c r="O21">
        <f>N21/$N$26</f>
        <v>7.2241481078705067E-2</v>
      </c>
    </row>
    <row r="22" spans="1:15" x14ac:dyDescent="0.35">
      <c r="A22" t="s">
        <v>7</v>
      </c>
      <c r="B22">
        <v>2002</v>
      </c>
      <c r="C22">
        <v>2505768279550</v>
      </c>
      <c r="D22">
        <f t="shared" si="3"/>
        <v>7.9673389767673658E-2</v>
      </c>
      <c r="F22" t="s">
        <v>14</v>
      </c>
      <c r="G22">
        <v>2003</v>
      </c>
      <c r="H22">
        <v>219825989406</v>
      </c>
      <c r="I22">
        <f>H22/$H$26</f>
        <v>0.19119008295184839</v>
      </c>
      <c r="L22" t="s">
        <v>19</v>
      </c>
      <c r="M22">
        <v>2003</v>
      </c>
      <c r="N22">
        <v>388131804951</v>
      </c>
      <c r="O22">
        <f>N22/$N$26</f>
        <v>0.10627253225106494</v>
      </c>
    </row>
    <row r="23" spans="1:15" x14ac:dyDescent="0.35">
      <c r="A23" t="s">
        <v>8</v>
      </c>
      <c r="B23">
        <v>2002</v>
      </c>
      <c r="C23">
        <v>4627060252951</v>
      </c>
      <c r="D23">
        <f t="shared" si="3"/>
        <v>0.14712197373576802</v>
      </c>
      <c r="F23" t="s">
        <v>15</v>
      </c>
      <c r="G23">
        <v>2003</v>
      </c>
      <c r="H23">
        <v>12477010813</v>
      </c>
      <c r="I23">
        <f>H23/$H$26</f>
        <v>1.0851677450762194E-2</v>
      </c>
      <c r="L23" t="s">
        <v>20</v>
      </c>
      <c r="M23">
        <v>2003</v>
      </c>
      <c r="N23">
        <v>1908760163574</v>
      </c>
      <c r="O23">
        <f>N23/$N$26</f>
        <v>0.52262858507195686</v>
      </c>
    </row>
    <row r="24" spans="1:15" x14ac:dyDescent="0.35">
      <c r="A24" t="s">
        <v>9</v>
      </c>
      <c r="B24">
        <v>2002</v>
      </c>
      <c r="C24">
        <v>2376446944329</v>
      </c>
      <c r="D24">
        <f t="shared" si="3"/>
        <v>7.5561489545124316E-2</v>
      </c>
      <c r="F24" t="s">
        <v>16</v>
      </c>
      <c r="G24">
        <v>2003</v>
      </c>
      <c r="H24">
        <v>269598377748</v>
      </c>
      <c r="I24">
        <f>H24/$H$26</f>
        <v>0.23447880910079963</v>
      </c>
      <c r="L24" t="s">
        <v>21</v>
      </c>
      <c r="M24">
        <v>2003</v>
      </c>
      <c r="N24">
        <v>55847647135</v>
      </c>
      <c r="O24">
        <f>N24/$N$26</f>
        <v>1.5291379901344748E-2</v>
      </c>
    </row>
    <row r="25" spans="1:15" x14ac:dyDescent="0.35">
      <c r="A25" t="s">
        <v>10</v>
      </c>
      <c r="B25">
        <v>2002</v>
      </c>
      <c r="C25">
        <v>14533513925617</v>
      </c>
      <c r="D25">
        <f t="shared" si="3"/>
        <v>0.46210750177488258</v>
      </c>
      <c r="F25" t="s">
        <v>17</v>
      </c>
      <c r="G25">
        <v>2003</v>
      </c>
      <c r="H25">
        <v>382321842642</v>
      </c>
      <c r="I25">
        <f>H25/$H$26</f>
        <v>0.33251821136592319</v>
      </c>
      <c r="L25" t="s">
        <v>22</v>
      </c>
      <c r="M25">
        <v>2003</v>
      </c>
      <c r="N25">
        <v>1035648530177</v>
      </c>
      <c r="O25">
        <f>N25/$N$26</f>
        <v>0.28356602169692835</v>
      </c>
    </row>
    <row r="26" spans="1:15" x14ac:dyDescent="0.35">
      <c r="B26" t="s">
        <v>11</v>
      </c>
      <c r="C26">
        <f>SUM(C19:C25)</f>
        <v>31450504200421</v>
      </c>
      <c r="D26">
        <f>SUM(D19:D25)</f>
        <v>1</v>
      </c>
      <c r="G26" t="s">
        <v>11</v>
      </c>
      <c r="H26">
        <f>SUM(H21:H25)</f>
        <v>1149777153773</v>
      </c>
      <c r="I26">
        <f>SUM(I21:I25)</f>
        <v>1</v>
      </c>
      <c r="M26" t="s">
        <v>24</v>
      </c>
      <c r="N26">
        <f>SUM(N21:N25)</f>
        <v>3652230700912</v>
      </c>
      <c r="O26">
        <f>SUM(O21:O25)</f>
        <v>1</v>
      </c>
    </row>
    <row r="27" spans="1:15" x14ac:dyDescent="0.35">
      <c r="A27" t="s">
        <v>4</v>
      </c>
      <c r="B27">
        <v>2003</v>
      </c>
      <c r="C27">
        <v>1354082598134</v>
      </c>
      <c r="D27">
        <f>C27/$C$34</f>
        <v>4.2281159983943051E-2</v>
      </c>
      <c r="F27" t="s">
        <v>13</v>
      </c>
      <c r="G27">
        <v>2004</v>
      </c>
      <c r="H27">
        <v>272639494374</v>
      </c>
      <c r="I27">
        <f>H27/$H$32</f>
        <v>0.22833824669550409</v>
      </c>
      <c r="L27" t="s">
        <v>18</v>
      </c>
      <c r="M27">
        <v>2004</v>
      </c>
      <c r="N27">
        <v>281452077803</v>
      </c>
      <c r="O27">
        <f>N27/$N$32</f>
        <v>7.2867519780049905E-2</v>
      </c>
    </row>
    <row r="28" spans="1:15" x14ac:dyDescent="0.35">
      <c r="A28" t="s">
        <v>5</v>
      </c>
      <c r="B28">
        <v>2003</v>
      </c>
      <c r="C28">
        <v>2516777735437</v>
      </c>
      <c r="D28">
        <f t="shared" ref="D28:D33" si="4">C28/$C$34</f>
        <v>7.8586256276153066E-2</v>
      </c>
      <c r="F28" t="s">
        <v>14</v>
      </c>
      <c r="G28">
        <v>2004</v>
      </c>
      <c r="H28">
        <v>228601643583</v>
      </c>
      <c r="I28">
        <f>H28/$H$32</f>
        <v>0.19145611536327223</v>
      </c>
      <c r="L28" t="s">
        <v>19</v>
      </c>
      <c r="M28">
        <v>2004</v>
      </c>
      <c r="N28">
        <v>408830959761</v>
      </c>
      <c r="O28">
        <f>N28/$N$32</f>
        <v>0.1058457208048507</v>
      </c>
    </row>
    <row r="29" spans="1:15" x14ac:dyDescent="0.35">
      <c r="A29" t="s">
        <v>6</v>
      </c>
      <c r="B29">
        <v>2003</v>
      </c>
      <c r="C29">
        <v>3556354215986</v>
      </c>
      <c r="D29">
        <f t="shared" si="4"/>
        <v>0.11104697879796115</v>
      </c>
      <c r="F29" t="s">
        <v>15</v>
      </c>
      <c r="G29">
        <v>2004</v>
      </c>
      <c r="H29">
        <v>13450517044</v>
      </c>
      <c r="I29">
        <f>H29/$H$32</f>
        <v>1.1264939755066693E-2</v>
      </c>
      <c r="L29" t="s">
        <v>20</v>
      </c>
      <c r="M29">
        <v>2004</v>
      </c>
      <c r="N29">
        <v>1976815881649</v>
      </c>
      <c r="O29">
        <f>N29/$N$32</f>
        <v>0.51179465961661463</v>
      </c>
    </row>
    <row r="30" spans="1:15" x14ac:dyDescent="0.35">
      <c r="A30" t="s">
        <v>7</v>
      </c>
      <c r="B30">
        <v>2003</v>
      </c>
      <c r="C30">
        <v>2509241948206</v>
      </c>
      <c r="D30">
        <f t="shared" si="4"/>
        <v>7.8350951704660929E-2</v>
      </c>
      <c r="F30" t="s">
        <v>16</v>
      </c>
      <c r="G30">
        <v>2004</v>
      </c>
      <c r="H30">
        <v>280421641915</v>
      </c>
      <c r="I30">
        <f>H30/$H$32</f>
        <v>0.23485587147733442</v>
      </c>
      <c r="L30" t="s">
        <v>21</v>
      </c>
      <c r="M30">
        <v>2004</v>
      </c>
      <c r="N30">
        <v>58318681906</v>
      </c>
      <c r="O30">
        <f>N30/$N$32</f>
        <v>1.5098619063335967E-2</v>
      </c>
    </row>
    <row r="31" spans="1:15" x14ac:dyDescent="0.35">
      <c r="A31" t="s">
        <v>8</v>
      </c>
      <c r="B31">
        <v>2003</v>
      </c>
      <c r="C31">
        <v>4698091434761</v>
      </c>
      <c r="D31">
        <f t="shared" si="4"/>
        <v>0.14669766515429727</v>
      </c>
      <c r="F31" t="s">
        <v>17</v>
      </c>
      <c r="G31">
        <v>2004</v>
      </c>
      <c r="H31">
        <v>398902591003</v>
      </c>
      <c r="I31">
        <f>H31/$H$32</f>
        <v>0.33408482670882256</v>
      </c>
      <c r="L31" t="s">
        <v>22</v>
      </c>
      <c r="M31">
        <v>2004</v>
      </c>
      <c r="N31">
        <v>1137100001409</v>
      </c>
      <c r="O31">
        <f>N31/$N$32</f>
        <v>0.29439348073514882</v>
      </c>
    </row>
    <row r="32" spans="1:15" x14ac:dyDescent="0.35">
      <c r="A32" t="s">
        <v>9</v>
      </c>
      <c r="B32">
        <v>2003</v>
      </c>
      <c r="C32">
        <v>2451223571029</v>
      </c>
      <c r="D32">
        <f t="shared" si="4"/>
        <v>7.6539330839870287E-2</v>
      </c>
      <c r="G32" t="s">
        <v>11</v>
      </c>
      <c r="H32">
        <f>SUM(H27:H31)</f>
        <v>1194015887919</v>
      </c>
      <c r="I32">
        <f>SUM(I27:I31)</f>
        <v>1</v>
      </c>
      <c r="M32" t="s">
        <v>11</v>
      </c>
      <c r="N32">
        <f>SUM(N27:N31)</f>
        <v>3862517602528</v>
      </c>
      <c r="O32">
        <f>SUM(O27:O31)</f>
        <v>1</v>
      </c>
    </row>
    <row r="33" spans="1:15" x14ac:dyDescent="0.35">
      <c r="A33" t="s">
        <v>10</v>
      </c>
      <c r="B33">
        <v>2003</v>
      </c>
      <c r="C33">
        <v>14939901364652</v>
      </c>
      <c r="D33">
        <f t="shared" si="4"/>
        <v>0.46649765724311426</v>
      </c>
      <c r="F33" t="s">
        <v>13</v>
      </c>
      <c r="G33">
        <v>2005</v>
      </c>
      <c r="H33">
        <v>279010101422</v>
      </c>
      <c r="I33">
        <f>H33/$H$38</f>
        <v>0.22748506355522324</v>
      </c>
      <c r="L33" t="s">
        <v>18</v>
      </c>
      <c r="M33">
        <v>2005</v>
      </c>
      <c r="N33">
        <v>297880564251</v>
      </c>
      <c r="O33">
        <f>N33/$N$38</f>
        <v>7.3641067775890051E-2</v>
      </c>
    </row>
    <row r="34" spans="1:15" x14ac:dyDescent="0.35">
      <c r="B34" t="s">
        <v>11</v>
      </c>
      <c r="C34">
        <f>SUM(C27:C33)</f>
        <v>32025672868205</v>
      </c>
      <c r="D34">
        <f>SUM(D27:D33)</f>
        <v>1</v>
      </c>
      <c r="F34" t="s">
        <v>14</v>
      </c>
      <c r="G34">
        <v>2005</v>
      </c>
      <c r="H34">
        <v>234956427642</v>
      </c>
      <c r="I34">
        <f>H34/$H$38</f>
        <v>0.19156681999124966</v>
      </c>
      <c r="L34" t="s">
        <v>19</v>
      </c>
      <c r="M34">
        <v>2005</v>
      </c>
      <c r="N34">
        <v>428572430142</v>
      </c>
      <c r="O34">
        <f>N34/$N$38</f>
        <v>0.10595028733855695</v>
      </c>
    </row>
    <row r="35" spans="1:15" x14ac:dyDescent="0.35">
      <c r="A35" t="s">
        <v>4</v>
      </c>
      <c r="B35">
        <v>2004</v>
      </c>
      <c r="C35">
        <v>1395955758688</v>
      </c>
      <c r="D35">
        <f>C35/$C$42</f>
        <v>4.2360701366170504E-2</v>
      </c>
      <c r="F35" t="s">
        <v>15</v>
      </c>
      <c r="G35">
        <v>2005</v>
      </c>
      <c r="H35">
        <v>14274285751</v>
      </c>
      <c r="I35">
        <f>H35/$H$38</f>
        <v>1.1638240998164847E-2</v>
      </c>
      <c r="L35" t="s">
        <v>20</v>
      </c>
      <c r="M35">
        <v>2005</v>
      </c>
      <c r="N35">
        <v>2018590886232</v>
      </c>
      <c r="O35">
        <f>N35/$N$38</f>
        <v>0.49902949740469899</v>
      </c>
    </row>
    <row r="36" spans="1:15" x14ac:dyDescent="0.35">
      <c r="A36" t="s">
        <v>5</v>
      </c>
      <c r="B36">
        <v>2004</v>
      </c>
      <c r="C36">
        <v>2587996327114</v>
      </c>
      <c r="D36">
        <f t="shared" ref="D36:D41" si="5">C36/$C$42</f>
        <v>7.8533534366918803E-2</v>
      </c>
      <c r="F36" t="s">
        <v>16</v>
      </c>
      <c r="G36">
        <v>2005</v>
      </c>
      <c r="H36">
        <v>287951307613</v>
      </c>
      <c r="I36">
        <f>H36/$H$38</f>
        <v>0.2347750894297474</v>
      </c>
      <c r="L36" t="s">
        <v>21</v>
      </c>
      <c r="M36">
        <v>2005</v>
      </c>
      <c r="N36">
        <v>60637821316</v>
      </c>
      <c r="O36">
        <f>N36/$N$38</f>
        <v>1.4990685681497517E-2</v>
      </c>
    </row>
    <row r="37" spans="1:15" x14ac:dyDescent="0.35">
      <c r="A37" t="s">
        <v>6</v>
      </c>
      <c r="B37">
        <v>2004</v>
      </c>
      <c r="C37">
        <v>3598144512296</v>
      </c>
      <c r="D37">
        <f t="shared" si="5"/>
        <v>0.10918678776822349</v>
      </c>
      <c r="F37" t="s">
        <v>17</v>
      </c>
      <c r="G37">
        <v>2005</v>
      </c>
      <c r="H37">
        <v>410306431198</v>
      </c>
      <c r="I37">
        <f>H37/$H$38</f>
        <v>0.33453478602561482</v>
      </c>
      <c r="L37" t="s">
        <v>22</v>
      </c>
      <c r="M37">
        <v>2005</v>
      </c>
      <c r="N37">
        <v>1239351500966</v>
      </c>
      <c r="O37">
        <f>N37/$N$38</f>
        <v>0.30638846179935647</v>
      </c>
    </row>
    <row r="38" spans="1:15" x14ac:dyDescent="0.35">
      <c r="A38" t="s">
        <v>7</v>
      </c>
      <c r="B38">
        <v>2004</v>
      </c>
      <c r="C38">
        <v>2544963369995</v>
      </c>
      <c r="D38">
        <f t="shared" si="5"/>
        <v>7.7227686216591721E-2</v>
      </c>
      <c r="G38" t="s">
        <v>11</v>
      </c>
      <c r="H38">
        <f>SUM(H33:H37)</f>
        <v>1226498553626</v>
      </c>
      <c r="I38">
        <f>SUM(I33:I37)</f>
        <v>1</v>
      </c>
      <c r="M38" t="s">
        <v>11</v>
      </c>
      <c r="N38">
        <f>SUM(N33:N37)</f>
        <v>4045033202907</v>
      </c>
      <c r="O38">
        <f>SUM(O33:O37)</f>
        <v>1</v>
      </c>
    </row>
    <row r="39" spans="1:15" x14ac:dyDescent="0.35">
      <c r="A39" t="s">
        <v>8</v>
      </c>
      <c r="B39">
        <v>2004</v>
      </c>
      <c r="C39">
        <v>4800797148955</v>
      </c>
      <c r="D39">
        <f t="shared" si="5"/>
        <v>0.1456816472017565</v>
      </c>
      <c r="F39" t="s">
        <v>13</v>
      </c>
      <c r="G39">
        <v>2006</v>
      </c>
      <c r="H39">
        <v>289927788951</v>
      </c>
      <c r="I39">
        <f>H39/$H$44</f>
        <v>0.22757281339252797</v>
      </c>
      <c r="L39" t="s">
        <v>18</v>
      </c>
      <c r="M39">
        <v>2006</v>
      </c>
      <c r="N39">
        <v>315902311070</v>
      </c>
      <c r="O39">
        <f>N39/$N$44</f>
        <v>7.3819508318003033E-2</v>
      </c>
    </row>
    <row r="40" spans="1:15" x14ac:dyDescent="0.35">
      <c r="A40" t="s">
        <v>9</v>
      </c>
      <c r="B40">
        <v>2004</v>
      </c>
      <c r="C40">
        <v>2510702426391</v>
      </c>
      <c r="D40">
        <f t="shared" si="5"/>
        <v>7.6188027479916362E-2</v>
      </c>
      <c r="F40" t="s">
        <v>14</v>
      </c>
      <c r="G40">
        <v>2006</v>
      </c>
      <c r="H40">
        <v>244419085501</v>
      </c>
      <c r="I40">
        <f>H40/$H$44</f>
        <v>0.19185169912668198</v>
      </c>
      <c r="L40" t="s">
        <v>19</v>
      </c>
      <c r="M40">
        <v>2006</v>
      </c>
      <c r="N40">
        <v>457359077552</v>
      </c>
      <c r="O40">
        <f>N40/$N$44</f>
        <v>0.10687488203333471</v>
      </c>
    </row>
    <row r="41" spans="1:15" x14ac:dyDescent="0.35">
      <c r="A41" t="s">
        <v>10</v>
      </c>
      <c r="B41">
        <v>2004</v>
      </c>
      <c r="C41">
        <v>15515468923210</v>
      </c>
      <c r="D41">
        <f t="shared" si="5"/>
        <v>0.47082161560042263</v>
      </c>
      <c r="F41" t="s">
        <v>15</v>
      </c>
      <c r="G41">
        <v>2006</v>
      </c>
      <c r="H41">
        <v>15175991395</v>
      </c>
      <c r="I41">
        <f>H41/$H$44</f>
        <v>1.1912080143392661E-2</v>
      </c>
      <c r="L41" t="s">
        <v>20</v>
      </c>
      <c r="M41">
        <v>2006</v>
      </c>
      <c r="N41">
        <v>2115584451268</v>
      </c>
      <c r="O41">
        <f>N41/$N$44</f>
        <v>0.4943661332164499</v>
      </c>
    </row>
    <row r="42" spans="1:15" x14ac:dyDescent="0.35">
      <c r="B42" t="s">
        <v>11</v>
      </c>
      <c r="C42">
        <f>SUM(C35:C41)</f>
        <v>32954028466649</v>
      </c>
      <c r="D42">
        <f>SUM(D35:D41)</f>
        <v>1</v>
      </c>
      <c r="F42" t="s">
        <v>16</v>
      </c>
      <c r="G42">
        <v>2006</v>
      </c>
      <c r="H42">
        <v>295039151688</v>
      </c>
      <c r="I42">
        <f>H42/$H$44</f>
        <v>0.23158487171414477</v>
      </c>
      <c r="L42" t="s">
        <v>21</v>
      </c>
      <c r="M42">
        <v>2006</v>
      </c>
      <c r="N42">
        <v>65080569800</v>
      </c>
      <c r="O42">
        <f>N42/$N$44</f>
        <v>1.5207915533821222E-2</v>
      </c>
    </row>
    <row r="43" spans="1:15" x14ac:dyDescent="0.35">
      <c r="A43" t="s">
        <v>4</v>
      </c>
      <c r="B43">
        <v>2005</v>
      </c>
      <c r="C43">
        <v>1440772281158</v>
      </c>
      <c r="D43">
        <f>C43/$C$50</f>
        <v>4.2645532980783794E-2</v>
      </c>
      <c r="F43" t="s">
        <v>17</v>
      </c>
      <c r="G43">
        <v>2006</v>
      </c>
      <c r="H43">
        <v>429438090953</v>
      </c>
      <c r="I43">
        <f>H43/$H$44</f>
        <v>0.33707853562325263</v>
      </c>
      <c r="L43" t="s">
        <v>22</v>
      </c>
      <c r="M43">
        <v>2006</v>
      </c>
      <c r="N43">
        <v>1325461495593</v>
      </c>
      <c r="O43">
        <f>N43/$N$44</f>
        <v>0.30973156089839116</v>
      </c>
    </row>
    <row r="44" spans="1:15" x14ac:dyDescent="0.35">
      <c r="A44" t="s">
        <v>5</v>
      </c>
      <c r="B44">
        <v>2005</v>
      </c>
      <c r="C44">
        <v>2631040399116</v>
      </c>
      <c r="D44">
        <f t="shared" ref="D44:D49" si="6">C44/$C$50</f>
        <v>7.7876373373934632E-2</v>
      </c>
      <c r="G44" t="s">
        <v>11</v>
      </c>
      <c r="H44">
        <f>SUM(H39:H43)</f>
        <v>1274000108488</v>
      </c>
      <c r="I44">
        <f>SUM(I39:I43)</f>
        <v>1</v>
      </c>
      <c r="M44" t="s">
        <v>11</v>
      </c>
      <c r="N44">
        <f>SUM(N39:N43)</f>
        <v>4279387905283</v>
      </c>
      <c r="O44">
        <f>SUM(O39:O43)</f>
        <v>1</v>
      </c>
    </row>
    <row r="45" spans="1:15" x14ac:dyDescent="0.35">
      <c r="A45" t="s">
        <v>6</v>
      </c>
      <c r="B45">
        <v>2005</v>
      </c>
      <c r="C45">
        <v>3624472393448</v>
      </c>
      <c r="D45">
        <f t="shared" si="6"/>
        <v>0.1072810457378425</v>
      </c>
      <c r="F45" t="s">
        <v>13</v>
      </c>
      <c r="G45">
        <v>2007</v>
      </c>
      <c r="H45">
        <v>292563925272</v>
      </c>
      <c r="I45">
        <f>H45/$H$50</f>
        <v>0.22261092766708579</v>
      </c>
      <c r="L45" t="s">
        <v>18</v>
      </c>
      <c r="M45">
        <v>2007</v>
      </c>
      <c r="N45">
        <v>332228872200</v>
      </c>
      <c r="O45">
        <f>N45/$N$50</f>
        <v>7.4781060012524062E-2</v>
      </c>
    </row>
    <row r="46" spans="1:15" x14ac:dyDescent="0.35">
      <c r="A46" t="s">
        <v>7</v>
      </c>
      <c r="B46">
        <v>2005</v>
      </c>
      <c r="C46">
        <v>2565777326796</v>
      </c>
      <c r="D46">
        <f t="shared" si="6"/>
        <v>7.5944646521990414E-2</v>
      </c>
      <c r="F46" t="s">
        <v>14</v>
      </c>
      <c r="G46">
        <v>2007</v>
      </c>
      <c r="H46">
        <v>257371675330</v>
      </c>
      <c r="I46">
        <f>H46/$H$50</f>
        <v>0.19583326053332334</v>
      </c>
      <c r="L46" t="s">
        <v>19</v>
      </c>
      <c r="M46">
        <v>2007</v>
      </c>
      <c r="N46">
        <v>488176822634</v>
      </c>
      <c r="O46">
        <f>N46/$N$50</f>
        <v>0.10988322606754003</v>
      </c>
    </row>
    <row r="47" spans="1:15" x14ac:dyDescent="0.35">
      <c r="A47" t="s">
        <v>8</v>
      </c>
      <c r="B47">
        <v>2005</v>
      </c>
      <c r="C47">
        <v>4887398770601</v>
      </c>
      <c r="D47">
        <f t="shared" si="6"/>
        <v>0.14466250370557376</v>
      </c>
      <c r="F47" t="s">
        <v>15</v>
      </c>
      <c r="G47">
        <v>2007</v>
      </c>
      <c r="H47">
        <v>16459100235</v>
      </c>
      <c r="I47">
        <f>H47/$H$50</f>
        <v>1.252367518815746E-2</v>
      </c>
      <c r="L47" t="s">
        <v>20</v>
      </c>
      <c r="M47">
        <v>2007</v>
      </c>
      <c r="N47">
        <v>2159543417689</v>
      </c>
      <c r="O47">
        <f>N47/$N$50</f>
        <v>0.48608943842976576</v>
      </c>
    </row>
    <row r="48" spans="1:15" x14ac:dyDescent="0.35">
      <c r="A48" t="s">
        <v>9</v>
      </c>
      <c r="B48">
        <v>2005</v>
      </c>
      <c r="C48">
        <v>2579466609078</v>
      </c>
      <c r="D48">
        <f t="shared" si="6"/>
        <v>7.6349836673602081E-2</v>
      </c>
      <c r="F48" t="s">
        <v>16</v>
      </c>
      <c r="G48">
        <v>2007</v>
      </c>
      <c r="H48">
        <v>303636710543</v>
      </c>
      <c r="I48">
        <f>H48/$H$50</f>
        <v>0.23103617352999964</v>
      </c>
      <c r="L48" t="s">
        <v>21</v>
      </c>
      <c r="M48">
        <v>2007</v>
      </c>
      <c r="N48">
        <v>70427024506</v>
      </c>
      <c r="O48">
        <f>N48/$N$50</f>
        <v>1.5852347543461601E-2</v>
      </c>
    </row>
    <row r="49" spans="1:15" x14ac:dyDescent="0.35">
      <c r="A49" t="s">
        <v>10</v>
      </c>
      <c r="B49">
        <v>2005</v>
      </c>
      <c r="C49">
        <v>16055906889526</v>
      </c>
      <c r="D49">
        <f t="shared" si="6"/>
        <v>0.47524006100627281</v>
      </c>
      <c r="F49" t="s">
        <v>17</v>
      </c>
      <c r="G49">
        <v>2007</v>
      </c>
      <c r="H49">
        <v>444207419292</v>
      </c>
      <c r="I49">
        <f>H49/$H$50</f>
        <v>0.33799596308143376</v>
      </c>
      <c r="L49" t="s">
        <v>22</v>
      </c>
      <c r="M49">
        <v>2007</v>
      </c>
      <c r="N49">
        <v>1392311251253</v>
      </c>
      <c r="O49">
        <f>N49/$N$50</f>
        <v>0.31339392794670856</v>
      </c>
    </row>
    <row r="50" spans="1:15" x14ac:dyDescent="0.35">
      <c r="B50" t="s">
        <v>11</v>
      </c>
      <c r="C50">
        <f>SUM(C43:C49)</f>
        <v>33784834669723</v>
      </c>
      <c r="D50">
        <f>SUM(D43:D49)</f>
        <v>1</v>
      </c>
      <c r="G50" t="s">
        <v>11</v>
      </c>
      <c r="H50">
        <f>SUM(H45:H49)</f>
        <v>1314238830672</v>
      </c>
      <c r="I50">
        <f>SUM(I45:I49)</f>
        <v>1</v>
      </c>
      <c r="M50" t="s">
        <v>11</v>
      </c>
      <c r="N50">
        <f>SUM(N45:N49)</f>
        <v>4442687388282</v>
      </c>
      <c r="O50">
        <f>SUM(O45:O49)</f>
        <v>1</v>
      </c>
    </row>
    <row r="51" spans="1:15" x14ac:dyDescent="0.35">
      <c r="A51" t="s">
        <v>4</v>
      </c>
      <c r="B51">
        <v>2006</v>
      </c>
      <c r="C51">
        <v>1478779044227</v>
      </c>
      <c r="D51">
        <f>C51/$C$58</f>
        <v>4.2681320068901615E-2</v>
      </c>
      <c r="F51" t="s">
        <v>13</v>
      </c>
      <c r="G51">
        <v>2008</v>
      </c>
      <c r="H51">
        <v>291065948985</v>
      </c>
      <c r="I51">
        <f>H51/$H$56</f>
        <v>0.22141294300493997</v>
      </c>
      <c r="L51" t="s">
        <v>18</v>
      </c>
      <c r="M51">
        <v>2008</v>
      </c>
      <c r="N51">
        <v>344818329170</v>
      </c>
      <c r="O51">
        <f>N51/$N$56</f>
        <v>7.6518112975137345E-2</v>
      </c>
    </row>
    <row r="52" spans="1:15" x14ac:dyDescent="0.35">
      <c r="A52" t="s">
        <v>5</v>
      </c>
      <c r="B52">
        <v>2006</v>
      </c>
      <c r="C52">
        <v>2695483092567</v>
      </c>
      <c r="D52">
        <f t="shared" ref="D52:D57" si="7">C52/$C$58</f>
        <v>7.7798489952434449E-2</v>
      </c>
      <c r="F52" t="s">
        <v>14</v>
      </c>
      <c r="G52">
        <v>2008</v>
      </c>
      <c r="H52">
        <v>259389456552</v>
      </c>
      <c r="I52">
        <f>H52/$H$56</f>
        <v>0.19731673581161527</v>
      </c>
      <c r="L52" t="s">
        <v>19</v>
      </c>
      <c r="M52">
        <v>2008</v>
      </c>
      <c r="N52">
        <v>504205845899</v>
      </c>
      <c r="O52">
        <f>N52/$N$56</f>
        <v>0.11188755531671141</v>
      </c>
    </row>
    <row r="53" spans="1:15" x14ac:dyDescent="0.35">
      <c r="A53" t="s">
        <v>6</v>
      </c>
      <c r="B53">
        <v>2006</v>
      </c>
      <c r="C53">
        <v>3762798276996</v>
      </c>
      <c r="D53">
        <f t="shared" si="7"/>
        <v>0.10860391769963755</v>
      </c>
      <c r="F53" t="s">
        <v>15</v>
      </c>
      <c r="G53">
        <v>2008</v>
      </c>
      <c r="H53">
        <v>16822763466</v>
      </c>
      <c r="I53">
        <f>H53/$H$56</f>
        <v>1.2797022741657079E-2</v>
      </c>
      <c r="L53" t="s">
        <v>20</v>
      </c>
      <c r="M53">
        <v>2008</v>
      </c>
      <c r="N53">
        <v>2179915078736</v>
      </c>
      <c r="O53">
        <f>N53/$N$56</f>
        <v>0.48374165222722426</v>
      </c>
    </row>
    <row r="54" spans="1:15" x14ac:dyDescent="0.35">
      <c r="A54" t="s">
        <v>7</v>
      </c>
      <c r="B54">
        <v>2006</v>
      </c>
      <c r="C54">
        <v>2611721153731</v>
      </c>
      <c r="D54">
        <f t="shared" si="7"/>
        <v>7.5380907599609137E-2</v>
      </c>
      <c r="F54" t="s">
        <v>16</v>
      </c>
      <c r="G54">
        <v>2008</v>
      </c>
      <c r="H54">
        <v>305099995186</v>
      </c>
      <c r="I54">
        <f>H54/$H$56</f>
        <v>0.23208859737971826</v>
      </c>
      <c r="L54" t="s">
        <v>21</v>
      </c>
      <c r="M54">
        <v>2008</v>
      </c>
      <c r="N54">
        <v>73763980087</v>
      </c>
      <c r="O54">
        <f>N54/$N$56</f>
        <v>1.6368853057721715E-2</v>
      </c>
    </row>
    <row r="55" spans="1:15" x14ac:dyDescent="0.35">
      <c r="A55" t="s">
        <v>8</v>
      </c>
      <c r="B55">
        <v>2006</v>
      </c>
      <c r="C55">
        <v>4954470993866</v>
      </c>
      <c r="D55">
        <f t="shared" si="7"/>
        <v>0.14299861976460571</v>
      </c>
      <c r="F55" t="s">
        <v>17</v>
      </c>
      <c r="G55">
        <v>2008</v>
      </c>
      <c r="H55">
        <v>442206001645</v>
      </c>
      <c r="I55">
        <f>H55/$H$56</f>
        <v>0.33638470106206941</v>
      </c>
      <c r="L55" t="s">
        <v>22</v>
      </c>
      <c r="M55">
        <v>2008</v>
      </c>
      <c r="N55">
        <v>1403658930084</v>
      </c>
      <c r="O55">
        <f>N55/$N$56</f>
        <v>0.31148382642320527</v>
      </c>
    </row>
    <row r="56" spans="1:15" x14ac:dyDescent="0.35">
      <c r="A56" t="s">
        <v>9</v>
      </c>
      <c r="B56">
        <v>2006</v>
      </c>
      <c r="C56">
        <v>2641019785395</v>
      </c>
      <c r="D56">
        <f t="shared" si="7"/>
        <v>7.62265405428902E-2</v>
      </c>
      <c r="G56" t="s">
        <v>11</v>
      </c>
      <c r="H56">
        <f>SUM(H51:H55)</f>
        <v>1314584165834</v>
      </c>
      <c r="I56">
        <f>SUM(I51:I55)</f>
        <v>0.99999999999999989</v>
      </c>
      <c r="M56" t="s">
        <v>11</v>
      </c>
      <c r="N56">
        <f>SUM(N51:N55)</f>
        <v>4506362163976</v>
      </c>
      <c r="O56">
        <f>SUM(O51:O55)</f>
        <v>1</v>
      </c>
    </row>
    <row r="57" spans="1:15" x14ac:dyDescent="0.35">
      <c r="A57" t="s">
        <v>10</v>
      </c>
      <c r="B57">
        <v>2006</v>
      </c>
      <c r="C57">
        <v>16502712372523</v>
      </c>
      <c r="D57">
        <f t="shared" si="7"/>
        <v>0.47631020437192134</v>
      </c>
      <c r="F57" t="s">
        <v>13</v>
      </c>
      <c r="G57">
        <v>2009</v>
      </c>
      <c r="H57">
        <v>276784659273</v>
      </c>
      <c r="I57">
        <f>H57/$H$62</f>
        <v>0.22090489337811872</v>
      </c>
      <c r="L57" t="s">
        <v>18</v>
      </c>
      <c r="M57">
        <v>2009</v>
      </c>
      <c r="N57">
        <v>340963131865</v>
      </c>
      <c r="O57">
        <f>N57/$N$62</f>
        <v>7.9244415522085332E-2</v>
      </c>
    </row>
    <row r="58" spans="1:15" x14ac:dyDescent="0.35">
      <c r="B58" t="s">
        <v>11</v>
      </c>
      <c r="C58">
        <f>SUM(C51:C57)</f>
        <v>34646984719305</v>
      </c>
      <c r="D58">
        <f>SUM(D51:D57)</f>
        <v>1</v>
      </c>
      <c r="F58" t="s">
        <v>14</v>
      </c>
      <c r="G58">
        <v>2009</v>
      </c>
      <c r="H58">
        <v>238445191238</v>
      </c>
      <c r="I58">
        <f>H58/$H$62</f>
        <v>0.1903057405179456</v>
      </c>
      <c r="L58" t="s">
        <v>19</v>
      </c>
      <c r="M58">
        <v>2009</v>
      </c>
      <c r="N58">
        <v>509952020992</v>
      </c>
      <c r="O58">
        <f>N58/$N$62</f>
        <v>0.11851970512699711</v>
      </c>
    </row>
    <row r="59" spans="1:15" x14ac:dyDescent="0.35">
      <c r="A59" t="s">
        <v>4</v>
      </c>
      <c r="B59">
        <v>2007</v>
      </c>
      <c r="C59">
        <v>16834500650997</v>
      </c>
      <c r="D59">
        <f>C59/$C$66</f>
        <v>0.3320845616248066</v>
      </c>
      <c r="F59" t="s">
        <v>15</v>
      </c>
      <c r="G59">
        <v>2009</v>
      </c>
      <c r="H59">
        <v>15533498911</v>
      </c>
      <c r="I59">
        <f>H59/$H$62</f>
        <v>1.2397457032974768E-2</v>
      </c>
      <c r="L59" t="s">
        <v>20</v>
      </c>
      <c r="M59">
        <v>2009</v>
      </c>
      <c r="N59">
        <v>2042683962689</v>
      </c>
      <c r="O59">
        <f>N59/$N$62</f>
        <v>0.47474721338410819</v>
      </c>
    </row>
    <row r="60" spans="1:15" x14ac:dyDescent="0.35">
      <c r="A60" t="s">
        <v>5</v>
      </c>
      <c r="B60">
        <v>2007</v>
      </c>
      <c r="C60">
        <v>2760841448046</v>
      </c>
      <c r="D60">
        <f t="shared" ref="D60:D65" si="8">C60/$C$66</f>
        <v>5.446153948948014E-2</v>
      </c>
      <c r="F60" t="s">
        <v>16</v>
      </c>
      <c r="G60">
        <v>2009</v>
      </c>
      <c r="H60">
        <v>299179942594</v>
      </c>
      <c r="I60">
        <f>H60/$H$62</f>
        <v>0.23877881633032499</v>
      </c>
      <c r="L60" t="s">
        <v>21</v>
      </c>
      <c r="M60">
        <v>2009</v>
      </c>
      <c r="N60">
        <v>73119684221</v>
      </c>
      <c r="O60">
        <f>N60/$N$62</f>
        <v>1.6993997584310024E-2</v>
      </c>
    </row>
    <row r="61" spans="1:15" x14ac:dyDescent="0.35">
      <c r="A61" t="s">
        <v>6</v>
      </c>
      <c r="B61">
        <v>2007</v>
      </c>
      <c r="C61">
        <v>3874796279393</v>
      </c>
      <c r="D61">
        <f t="shared" si="8"/>
        <v>7.6435889041439997E-2</v>
      </c>
      <c r="F61" t="s">
        <v>17</v>
      </c>
      <c r="G61">
        <v>2009</v>
      </c>
      <c r="H61">
        <v>423015187266</v>
      </c>
      <c r="I61">
        <f>H61/$H$62</f>
        <v>0.33761309274063589</v>
      </c>
      <c r="L61" t="s">
        <v>22</v>
      </c>
      <c r="M61">
        <v>2009</v>
      </c>
      <c r="N61">
        <v>1335958298911</v>
      </c>
      <c r="O61">
        <f>N61/$N$62</f>
        <v>0.31049466838249934</v>
      </c>
    </row>
    <row r="62" spans="1:15" x14ac:dyDescent="0.35">
      <c r="A62" t="s">
        <v>7</v>
      </c>
      <c r="B62">
        <v>2007</v>
      </c>
      <c r="C62">
        <v>2650559353331</v>
      </c>
      <c r="D62">
        <f t="shared" si="8"/>
        <v>5.2286067710557653E-2</v>
      </c>
      <c r="G62" t="s">
        <v>11</v>
      </c>
      <c r="H62">
        <f>SUM(H57:H61)</f>
        <v>1252958479282</v>
      </c>
      <c r="I62">
        <f>SUM(I57:I61)</f>
        <v>1</v>
      </c>
      <c r="M62" t="s">
        <v>11</v>
      </c>
      <c r="N62">
        <f>SUM(N57:N61)</f>
        <v>4302677098678</v>
      </c>
      <c r="O62">
        <f>SUM(O57:O61)</f>
        <v>1</v>
      </c>
    </row>
    <row r="63" spans="1:15" x14ac:dyDescent="0.35">
      <c r="A63" t="s">
        <v>8</v>
      </c>
      <c r="B63">
        <v>2007</v>
      </c>
      <c r="C63">
        <v>5027993827924</v>
      </c>
      <c r="D63">
        <f t="shared" si="8"/>
        <v>9.9184357220568231E-2</v>
      </c>
      <c r="F63" t="s">
        <v>13</v>
      </c>
      <c r="G63">
        <v>2010</v>
      </c>
      <c r="H63">
        <v>281963275745</v>
      </c>
      <c r="I63">
        <f>H63/$H$68</f>
        <v>0.21809825174708375</v>
      </c>
      <c r="L63" t="s">
        <v>18</v>
      </c>
      <c r="M63">
        <v>2010</v>
      </c>
      <c r="N63">
        <v>360915104439</v>
      </c>
      <c r="O63">
        <f>N63/$N$68</f>
        <v>7.9085606361323751E-2</v>
      </c>
    </row>
    <row r="64" spans="1:15" x14ac:dyDescent="0.35">
      <c r="A64" t="s">
        <v>9</v>
      </c>
      <c r="B64">
        <v>2007</v>
      </c>
      <c r="C64">
        <v>2710223251416</v>
      </c>
      <c r="D64">
        <f t="shared" si="8"/>
        <v>5.3463023288340766E-2</v>
      </c>
      <c r="F64" t="s">
        <v>14</v>
      </c>
      <c r="G64">
        <v>2010</v>
      </c>
      <c r="H64">
        <v>246041956444</v>
      </c>
      <c r="I64">
        <f>H64/$H$68</f>
        <v>0.19031315484289657</v>
      </c>
      <c r="L64" t="s">
        <v>19</v>
      </c>
      <c r="M64">
        <v>2010</v>
      </c>
      <c r="N64">
        <v>532872625250</v>
      </c>
      <c r="O64">
        <f>N64/$N$68</f>
        <v>0.11676583817890449</v>
      </c>
    </row>
    <row r="65" spans="1:15" x14ac:dyDescent="0.35">
      <c r="A65" t="s">
        <v>10</v>
      </c>
      <c r="B65">
        <v>2007</v>
      </c>
      <c r="C65">
        <v>16834500650997</v>
      </c>
      <c r="D65">
        <f t="shared" si="8"/>
        <v>0.3320845616248066</v>
      </c>
      <c r="F65" t="s">
        <v>15</v>
      </c>
      <c r="G65">
        <v>2010</v>
      </c>
      <c r="H65">
        <v>15093469850</v>
      </c>
      <c r="I65">
        <f>H65/$H$68</f>
        <v>1.1674780619513683E-2</v>
      </c>
      <c r="L65" t="s">
        <v>20</v>
      </c>
      <c r="M65">
        <v>2010</v>
      </c>
      <c r="N65">
        <v>2144232616520</v>
      </c>
      <c r="O65">
        <f>N65/$N$68</f>
        <v>0.46985547174813003</v>
      </c>
    </row>
    <row r="66" spans="1:15" x14ac:dyDescent="0.35">
      <c r="B66" t="s">
        <v>11</v>
      </c>
      <c r="C66">
        <f>SUM(C59:C65)</f>
        <v>50693415462104</v>
      </c>
      <c r="D66">
        <f>SUM(D59:D65)</f>
        <v>1</v>
      </c>
      <c r="F66" t="s">
        <v>16</v>
      </c>
      <c r="G66">
        <v>2010</v>
      </c>
      <c r="H66">
        <v>301534643854</v>
      </c>
      <c r="I66">
        <f>H66/$H$68</f>
        <v>0.23323668123792224</v>
      </c>
      <c r="L66" t="s">
        <v>21</v>
      </c>
      <c r="M66">
        <v>2010</v>
      </c>
      <c r="N66">
        <v>77039150445</v>
      </c>
      <c r="O66">
        <f>N66/$N$68</f>
        <v>1.6881221793070795E-2</v>
      </c>
    </row>
    <row r="67" spans="1:15" x14ac:dyDescent="0.35">
      <c r="A67" t="s">
        <v>4</v>
      </c>
      <c r="B67">
        <v>2008</v>
      </c>
      <c r="C67">
        <v>1524114207047</v>
      </c>
      <c r="D67">
        <f>C67/$C$74</f>
        <v>4.3109290990094459E-2</v>
      </c>
      <c r="F67" t="s">
        <v>17</v>
      </c>
      <c r="G67">
        <v>2010</v>
      </c>
      <c r="H67">
        <v>448193503870</v>
      </c>
      <c r="I67">
        <f>H67/$H$68</f>
        <v>0.34667713155258378</v>
      </c>
      <c r="L67" t="s">
        <v>22</v>
      </c>
      <c r="M67">
        <v>2010</v>
      </c>
      <c r="N67">
        <v>1448540898468</v>
      </c>
      <c r="O67">
        <f>N67/$N$68</f>
        <v>0.3174118619185709</v>
      </c>
    </row>
    <row r="68" spans="1:15" x14ac:dyDescent="0.35">
      <c r="A68" t="s">
        <v>5</v>
      </c>
      <c r="B68">
        <v>2008</v>
      </c>
      <c r="C68">
        <v>2767880101784</v>
      </c>
      <c r="D68">
        <f t="shared" ref="D68:D73" si="9">C68/$C$74</f>
        <v>7.8288981351788647E-2</v>
      </c>
      <c r="G68" t="s">
        <v>11</v>
      </c>
      <c r="H68">
        <f>SUM(H63:H67)</f>
        <v>1292826849763</v>
      </c>
      <c r="I68">
        <f>SUM(I63:I67)</f>
        <v>1</v>
      </c>
      <c r="M68" t="s">
        <v>11</v>
      </c>
      <c r="N68">
        <f>SUM(N63:N67)</f>
        <v>4563600395122</v>
      </c>
      <c r="O68">
        <f>SUM(O63:O67)</f>
        <v>1</v>
      </c>
    </row>
    <row r="69" spans="1:15" x14ac:dyDescent="0.35">
      <c r="A69" t="s">
        <v>6</v>
      </c>
      <c r="B69">
        <v>2008</v>
      </c>
      <c r="C69">
        <v>3911989640347</v>
      </c>
      <c r="D69">
        <f t="shared" si="9"/>
        <v>0.11064990994520219</v>
      </c>
      <c r="F69" t="s">
        <v>13</v>
      </c>
      <c r="G69">
        <v>2011</v>
      </c>
      <c r="H69">
        <v>285732498126</v>
      </c>
      <c r="I69">
        <f>H69/$H$74</f>
        <v>0.21633319760002631</v>
      </c>
      <c r="L69" t="s">
        <v>18</v>
      </c>
      <c r="M69">
        <v>2011</v>
      </c>
      <c r="N69">
        <v>383378088028</v>
      </c>
      <c r="O69">
        <f>N69/$N$74</f>
        <v>7.8842761171392328E-2</v>
      </c>
    </row>
    <row r="70" spans="1:15" x14ac:dyDescent="0.35">
      <c r="A70" t="s">
        <v>7</v>
      </c>
      <c r="B70">
        <v>2008</v>
      </c>
      <c r="C70">
        <v>2625060632005</v>
      </c>
      <c r="D70">
        <f t="shared" si="9"/>
        <v>7.424935882659553E-2</v>
      </c>
      <c r="F70" t="s">
        <v>14</v>
      </c>
      <c r="G70">
        <v>2011</v>
      </c>
      <c r="H70">
        <v>252310280856</v>
      </c>
      <c r="I70">
        <f>H70/$H$74</f>
        <v>0.19102863763459479</v>
      </c>
      <c r="L70" t="s">
        <v>19</v>
      </c>
      <c r="M70">
        <v>2011</v>
      </c>
      <c r="N70">
        <v>569896039653</v>
      </c>
      <c r="O70">
        <f>N70/$N$74</f>
        <v>0.11720069234526045</v>
      </c>
    </row>
    <row r="71" spans="1:15" x14ac:dyDescent="0.35">
      <c r="A71" t="s">
        <v>8</v>
      </c>
      <c r="B71">
        <v>2008</v>
      </c>
      <c r="C71">
        <v>4966436652531</v>
      </c>
      <c r="D71">
        <f t="shared" si="9"/>
        <v>0.14047475041430882</v>
      </c>
      <c r="F71" t="s">
        <v>15</v>
      </c>
      <c r="G71">
        <v>2011</v>
      </c>
      <c r="H71">
        <v>15372061971</v>
      </c>
      <c r="I71">
        <f>H71/$H$74</f>
        <v>1.1638463743895686E-2</v>
      </c>
      <c r="L71" t="s">
        <v>20</v>
      </c>
      <c r="M71">
        <v>2011</v>
      </c>
      <c r="N71">
        <v>2218080954418</v>
      </c>
      <c r="O71">
        <f>N71/$N$74</f>
        <v>0.45615446581083685</v>
      </c>
    </row>
    <row r="72" spans="1:15" x14ac:dyDescent="0.35">
      <c r="A72" t="s">
        <v>9</v>
      </c>
      <c r="B72">
        <v>2008</v>
      </c>
      <c r="C72">
        <v>2704105546461</v>
      </c>
      <c r="D72">
        <f t="shared" si="9"/>
        <v>7.6485129743771779E-2</v>
      </c>
      <c r="F72" t="s">
        <v>16</v>
      </c>
      <c r="G72">
        <v>2011</v>
      </c>
      <c r="H72">
        <v>304868579818</v>
      </c>
      <c r="I72">
        <f>H72/$H$74</f>
        <v>0.23082146816468627</v>
      </c>
      <c r="L72" t="s">
        <v>21</v>
      </c>
      <c r="M72">
        <v>2011</v>
      </c>
      <c r="N72">
        <v>80431306915</v>
      </c>
      <c r="O72">
        <f>N72/$N$74</f>
        <v>1.6540920099061988E-2</v>
      </c>
    </row>
    <row r="73" spans="1:15" x14ac:dyDescent="0.35">
      <c r="A73" t="s">
        <v>10</v>
      </c>
      <c r="B73">
        <v>2008</v>
      </c>
      <c r="C73">
        <v>16855070465225</v>
      </c>
      <c r="D73">
        <f t="shared" si="9"/>
        <v>0.47674257872823855</v>
      </c>
      <c r="F73" t="s">
        <v>17</v>
      </c>
      <c r="G73">
        <v>2011</v>
      </c>
      <c r="H73">
        <v>462514779856</v>
      </c>
      <c r="I73">
        <f>H73/$H$74</f>
        <v>0.35017823285679694</v>
      </c>
      <c r="L73" t="s">
        <v>22</v>
      </c>
      <c r="M73">
        <v>2011</v>
      </c>
      <c r="N73">
        <v>1610779080942</v>
      </c>
      <c r="O73">
        <f>N73/$N$74</f>
        <v>0.3312611605734484</v>
      </c>
    </row>
    <row r="74" spans="1:15" x14ac:dyDescent="0.35">
      <c r="B74" t="s">
        <v>11</v>
      </c>
      <c r="C74">
        <f>SUM(C67:C73)</f>
        <v>35354657245400</v>
      </c>
      <c r="D74">
        <f>SUM(D67:D73)</f>
        <v>0.99999999999999989</v>
      </c>
      <c r="G74" t="s">
        <v>11</v>
      </c>
      <c r="H74">
        <f>SUM(H69:H73)</f>
        <v>1320798200627</v>
      </c>
      <c r="I74">
        <f>SUM(I69:I73)</f>
        <v>1</v>
      </c>
      <c r="M74" t="s">
        <v>11</v>
      </c>
      <c r="N74">
        <f>SUM(N69:N73)</f>
        <v>4862565469956</v>
      </c>
      <c r="O74">
        <f>SUM(O69:O73)</f>
        <v>1</v>
      </c>
    </row>
    <row r="75" spans="1:15" x14ac:dyDescent="0.35">
      <c r="A75" t="s">
        <v>4</v>
      </c>
      <c r="B75">
        <v>2009</v>
      </c>
      <c r="C75">
        <v>1479684963523</v>
      </c>
      <c r="D75">
        <f>C75/$C$82</f>
        <v>4.3489996265982343E-2</v>
      </c>
      <c r="F75" t="s">
        <v>13</v>
      </c>
      <c r="G75">
        <v>2012</v>
      </c>
      <c r="H75">
        <v>286379681639</v>
      </c>
      <c r="I75">
        <f>H75/$H$80</f>
        <v>0.21635638313180544</v>
      </c>
      <c r="L75" t="s">
        <v>18</v>
      </c>
      <c r="M75">
        <v>2012</v>
      </c>
      <c r="N75">
        <v>406976312912</v>
      </c>
      <c r="O75">
        <f>N75/$N$80</f>
        <v>8.0297849319447126E-2</v>
      </c>
    </row>
    <row r="76" spans="1:15" x14ac:dyDescent="0.35">
      <c r="A76" t="s">
        <v>5</v>
      </c>
      <c r="B76">
        <v>2009</v>
      </c>
      <c r="C76">
        <v>2688350220063</v>
      </c>
      <c r="D76">
        <f t="shared" ref="D76:D81" si="10">C76/$C$82</f>
        <v>7.9014346914646705E-2</v>
      </c>
      <c r="F76" t="s">
        <v>14</v>
      </c>
      <c r="G76">
        <v>2012</v>
      </c>
      <c r="H76">
        <v>248784129304</v>
      </c>
      <c r="I76">
        <f>H76/$H$80</f>
        <v>0.18795339840017011</v>
      </c>
      <c r="L76" t="s">
        <v>19</v>
      </c>
      <c r="M76">
        <v>2012</v>
      </c>
      <c r="N76">
        <v>592193995936</v>
      </c>
      <c r="O76">
        <f>N76/$N$80</f>
        <v>0.11684194569778882</v>
      </c>
    </row>
    <row r="77" spans="1:15" x14ac:dyDescent="0.35">
      <c r="A77" t="s">
        <v>6</v>
      </c>
      <c r="B77">
        <v>2009</v>
      </c>
      <c r="C77">
        <v>3689247352728</v>
      </c>
      <c r="D77">
        <f t="shared" si="10"/>
        <v>0.10843210382595202</v>
      </c>
      <c r="F77" t="s">
        <v>15</v>
      </c>
      <c r="G77">
        <v>2012</v>
      </c>
      <c r="H77">
        <v>15535564849</v>
      </c>
      <c r="I77">
        <f>H77/$H$80</f>
        <v>1.1736931200574088E-2</v>
      </c>
      <c r="L77" t="s">
        <v>20</v>
      </c>
      <c r="M77">
        <v>2012</v>
      </c>
      <c r="N77">
        <v>2296894045338</v>
      </c>
      <c r="O77">
        <f>N77/$N$80</f>
        <v>0.45318522504568071</v>
      </c>
    </row>
    <row r="78" spans="1:15" x14ac:dyDescent="0.35">
      <c r="A78" t="s">
        <v>7</v>
      </c>
      <c r="B78">
        <v>2009</v>
      </c>
      <c r="C78">
        <v>2486432828349</v>
      </c>
      <c r="D78">
        <f t="shared" si="10"/>
        <v>7.3079714321793263E-2</v>
      </c>
      <c r="F78" t="s">
        <v>16</v>
      </c>
      <c r="G78">
        <v>2012</v>
      </c>
      <c r="H78">
        <v>313154783635</v>
      </c>
      <c r="I78">
        <f>H78/$H$80</f>
        <v>0.23658464860331382</v>
      </c>
      <c r="L78" t="s">
        <v>21</v>
      </c>
      <c r="M78">
        <v>2012</v>
      </c>
      <c r="N78">
        <v>84358439802</v>
      </c>
      <c r="O78">
        <f>N78/$N$80</f>
        <v>1.6644215088531058E-2</v>
      </c>
    </row>
    <row r="79" spans="1:15" x14ac:dyDescent="0.35">
      <c r="A79" t="s">
        <v>8</v>
      </c>
      <c r="B79">
        <v>2009</v>
      </c>
      <c r="C79">
        <v>4683685675291</v>
      </c>
      <c r="D79">
        <f t="shared" si="10"/>
        <v>0.13766002733748425</v>
      </c>
      <c r="F79" t="s">
        <v>17</v>
      </c>
      <c r="G79">
        <v>2012</v>
      </c>
      <c r="H79">
        <v>459793784274</v>
      </c>
      <c r="I79">
        <f>H79/$H$80</f>
        <v>0.34736863866413653</v>
      </c>
      <c r="L79" t="s">
        <v>22</v>
      </c>
      <c r="M79">
        <v>2012</v>
      </c>
      <c r="N79">
        <v>1687911119825</v>
      </c>
      <c r="O79">
        <f>N79/$N$80</f>
        <v>0.33303076484855232</v>
      </c>
    </row>
    <row r="80" spans="1:15" x14ac:dyDescent="0.35">
      <c r="A80" t="s">
        <v>9</v>
      </c>
      <c r="B80">
        <v>2009</v>
      </c>
      <c r="C80">
        <v>2579312227375</v>
      </c>
      <c r="D80">
        <f t="shared" si="10"/>
        <v>7.5809568862728882E-2</v>
      </c>
      <c r="G80" t="s">
        <v>11</v>
      </c>
      <c r="H80">
        <f>SUM(H75:H79)</f>
        <v>1323647943701</v>
      </c>
      <c r="I80">
        <f>SUM(I75:I79)</f>
        <v>1</v>
      </c>
      <c r="M80" t="s">
        <v>11</v>
      </c>
      <c r="N80">
        <f>SUM(N75:N79)</f>
        <v>5068333913813</v>
      </c>
      <c r="O80">
        <f>SUM(O75:O79)</f>
        <v>1</v>
      </c>
    </row>
    <row r="81" spans="1:15" x14ac:dyDescent="0.35">
      <c r="A81" t="s">
        <v>10</v>
      </c>
      <c r="B81">
        <v>2009</v>
      </c>
      <c r="C81">
        <v>16416857451632</v>
      </c>
      <c r="D81">
        <f t="shared" si="10"/>
        <v>0.48251424247141256</v>
      </c>
      <c r="F81" t="s">
        <v>13</v>
      </c>
      <c r="G81">
        <v>2013</v>
      </c>
      <c r="H81">
        <v>289052580545</v>
      </c>
      <c r="I81">
        <f t="shared" ref="I81:I86" si="11">H81/$H$86</f>
        <v>0.21677398189636482</v>
      </c>
      <c r="L81" t="s">
        <v>18</v>
      </c>
      <c r="M81">
        <v>2013</v>
      </c>
      <c r="N81">
        <v>420441157779</v>
      </c>
      <c r="O81">
        <f>N81/$N$86</f>
        <v>7.9672594332318963E-2</v>
      </c>
    </row>
    <row r="82" spans="1:15" x14ac:dyDescent="0.35">
      <c r="B82" t="s">
        <v>11</v>
      </c>
      <c r="C82">
        <f>SUM(C75:C81)</f>
        <v>34023570718961</v>
      </c>
      <c r="D82">
        <f>SUM(D75:D81)</f>
        <v>1</v>
      </c>
      <c r="F82" t="s">
        <v>14</v>
      </c>
      <c r="G82">
        <v>2013</v>
      </c>
      <c r="H82">
        <v>246540851975</v>
      </c>
      <c r="I82">
        <f t="shared" si="11"/>
        <v>0.1848924582578596</v>
      </c>
      <c r="L82" t="s">
        <v>19</v>
      </c>
      <c r="M82">
        <v>2013</v>
      </c>
      <c r="N82">
        <v>622597197313</v>
      </c>
      <c r="O82">
        <f>N82/$N$86</f>
        <v>0.117980680568935</v>
      </c>
    </row>
    <row r="83" spans="1:15" x14ac:dyDescent="0.35">
      <c r="A83" t="s">
        <v>4</v>
      </c>
      <c r="B83">
        <v>2010</v>
      </c>
      <c r="C83">
        <v>1525419160691</v>
      </c>
      <c r="D83">
        <f>C83/$C$90</f>
        <v>4.3567341576629046E-2</v>
      </c>
      <c r="F83" t="s">
        <v>15</v>
      </c>
      <c r="G83">
        <v>2013</v>
      </c>
      <c r="H83">
        <v>16242815274</v>
      </c>
      <c r="I83">
        <f t="shared" si="11"/>
        <v>1.2181243071808238E-2</v>
      </c>
      <c r="L83" t="s">
        <v>20</v>
      </c>
      <c r="M83">
        <v>2013</v>
      </c>
      <c r="N83">
        <v>2316465915423</v>
      </c>
      <c r="O83">
        <f>N83/$N$86</f>
        <v>0.43896475344869018</v>
      </c>
    </row>
    <row r="84" spans="1:15" x14ac:dyDescent="0.35">
      <c r="A84" t="s">
        <v>5</v>
      </c>
      <c r="B84">
        <v>2010</v>
      </c>
      <c r="C84">
        <v>2740757930694</v>
      </c>
      <c r="D84">
        <f t="shared" ref="D84:D89" si="12">C84/$C$90</f>
        <v>7.8278508637134231E-2</v>
      </c>
      <c r="F84" t="s">
        <v>16</v>
      </c>
      <c r="G84">
        <v>2013</v>
      </c>
      <c r="H84">
        <v>316337033812</v>
      </c>
      <c r="I84">
        <f t="shared" si="11"/>
        <v>0.23723586314786982</v>
      </c>
      <c r="L84" t="s">
        <v>21</v>
      </c>
      <c r="M84">
        <v>2013</v>
      </c>
      <c r="N84">
        <v>86462985573</v>
      </c>
      <c r="O84">
        <f>N84/$N$86</f>
        <v>1.6384529075861212E-2</v>
      </c>
    </row>
    <row r="85" spans="1:15" x14ac:dyDescent="0.35">
      <c r="A85" t="s">
        <v>6</v>
      </c>
      <c r="B85">
        <v>2010</v>
      </c>
      <c r="C85">
        <v>3843453557160</v>
      </c>
      <c r="D85">
        <f t="shared" si="12"/>
        <v>0.10977248632621533</v>
      </c>
      <c r="F85" t="s">
        <v>17</v>
      </c>
      <c r="G85">
        <v>2013</v>
      </c>
      <c r="H85">
        <v>465255103186</v>
      </c>
      <c r="I85">
        <f t="shared" si="11"/>
        <v>0.34891645362609752</v>
      </c>
      <c r="L85" t="s">
        <v>22</v>
      </c>
      <c r="M85">
        <v>2013</v>
      </c>
      <c r="N85">
        <v>1831144168517</v>
      </c>
      <c r="O85">
        <f>N85/$N$86</f>
        <v>0.34699744257419463</v>
      </c>
    </row>
    <row r="86" spans="1:15" x14ac:dyDescent="0.35">
      <c r="A86" t="s">
        <v>7</v>
      </c>
      <c r="B86">
        <v>2010</v>
      </c>
      <c r="C86">
        <v>2529032778541</v>
      </c>
      <c r="D86">
        <f t="shared" si="12"/>
        <v>7.2231448090159731E-2</v>
      </c>
      <c r="G86" t="s">
        <v>11</v>
      </c>
      <c r="H86">
        <f>SUM(H81:H85)</f>
        <v>1333428384792</v>
      </c>
      <c r="I86">
        <f t="shared" si="11"/>
        <v>1</v>
      </c>
      <c r="M86" t="s">
        <v>11</v>
      </c>
      <c r="N86">
        <f>SUM(N81:N85)</f>
        <v>5277111424605</v>
      </c>
      <c r="O86">
        <f>SUM(O81:O85)</f>
        <v>0.99999999999999989</v>
      </c>
    </row>
    <row r="87" spans="1:15" x14ac:dyDescent="0.35">
      <c r="A87" t="s">
        <v>8</v>
      </c>
      <c r="B87">
        <v>2010</v>
      </c>
      <c r="C87">
        <v>4875619269863</v>
      </c>
      <c r="D87">
        <f t="shared" si="12"/>
        <v>0.13925206631827861</v>
      </c>
      <c r="F87" t="s">
        <v>13</v>
      </c>
      <c r="G87">
        <v>2014</v>
      </c>
      <c r="H87">
        <v>293733480145</v>
      </c>
      <c r="I87">
        <f>H87/$H$92</f>
        <v>0.21656518948479164</v>
      </c>
      <c r="L87" t="s">
        <v>18</v>
      </c>
      <c r="M87">
        <v>2014</v>
      </c>
      <c r="N87">
        <v>427978193980</v>
      </c>
      <c r="O87">
        <f>N87/$N$92</f>
        <v>7.8324407413799757E-2</v>
      </c>
    </row>
    <row r="88" spans="1:15" x14ac:dyDescent="0.35">
      <c r="A88" t="s">
        <v>9</v>
      </c>
      <c r="B88">
        <v>2010</v>
      </c>
      <c r="C88">
        <v>2637054997040</v>
      </c>
      <c r="D88">
        <f t="shared" si="12"/>
        <v>7.5316659691329932E-2</v>
      </c>
      <c r="F88" t="s">
        <v>14</v>
      </c>
      <c r="G88">
        <v>2014</v>
      </c>
      <c r="H88">
        <v>245641204296</v>
      </c>
      <c r="I88">
        <f>H88/$H$92</f>
        <v>0.18110749216389996</v>
      </c>
      <c r="L88" t="s">
        <v>19</v>
      </c>
      <c r="M88">
        <v>2014</v>
      </c>
      <c r="N88">
        <v>650608032006</v>
      </c>
      <c r="O88">
        <f>N88/$N$92</f>
        <v>0.11906795552277548</v>
      </c>
    </row>
    <row r="89" spans="1:15" x14ac:dyDescent="0.35">
      <c r="A89" t="s">
        <v>10</v>
      </c>
      <c r="B89">
        <v>2010</v>
      </c>
      <c r="C89">
        <v>16861566593687</v>
      </c>
      <c r="D89">
        <f t="shared" si="12"/>
        <v>0.48158148936025313</v>
      </c>
      <c r="F89" t="s">
        <v>15</v>
      </c>
      <c r="G89">
        <v>2014</v>
      </c>
      <c r="H89">
        <v>16516866493</v>
      </c>
      <c r="I89">
        <f>H89/$H$92</f>
        <v>1.2177632321605947E-2</v>
      </c>
      <c r="L89" t="s">
        <v>20</v>
      </c>
      <c r="M89">
        <v>2014</v>
      </c>
      <c r="N89">
        <v>2374464743571</v>
      </c>
      <c r="O89">
        <f>N89/$N$92</f>
        <v>0.43455144813721419</v>
      </c>
    </row>
    <row r="90" spans="1:15" x14ac:dyDescent="0.35">
      <c r="B90" t="s">
        <v>11</v>
      </c>
      <c r="C90">
        <f>SUM(C83:C89)</f>
        <v>35012904287676</v>
      </c>
      <c r="D90">
        <f>SUM(D83:D89)</f>
        <v>1</v>
      </c>
      <c r="F90" t="s">
        <v>16</v>
      </c>
      <c r="G90">
        <v>2014</v>
      </c>
      <c r="H90">
        <v>322816033824</v>
      </c>
      <c r="I90">
        <f>H90/$H$92</f>
        <v>0.23800731023005073</v>
      </c>
      <c r="L90" t="s">
        <v>21</v>
      </c>
      <c r="M90">
        <v>2014</v>
      </c>
      <c r="N90">
        <v>89525599524</v>
      </c>
      <c r="O90">
        <f>N90/$N$92</f>
        <v>1.6384104680366347E-2</v>
      </c>
    </row>
    <row r="91" spans="1:15" x14ac:dyDescent="0.35">
      <c r="A91" t="s">
        <v>4</v>
      </c>
      <c r="B91">
        <v>2011</v>
      </c>
      <c r="C91">
        <v>1573274525020</v>
      </c>
      <c r="D91">
        <f>C91/$C$98</f>
        <v>4.4215085112220463E-2</v>
      </c>
      <c r="F91" t="s">
        <v>17</v>
      </c>
      <c r="G91">
        <v>2014</v>
      </c>
      <c r="H91">
        <v>477620645295</v>
      </c>
      <c r="I91">
        <f>H91/$H$92</f>
        <v>0.35214237579965174</v>
      </c>
      <c r="L91" t="s">
        <v>22</v>
      </c>
      <c r="M91">
        <v>2014</v>
      </c>
      <c r="N91">
        <v>1921597474636</v>
      </c>
      <c r="O91">
        <f>N91/$N$92</f>
        <v>0.35167208424584417</v>
      </c>
    </row>
    <row r="92" spans="1:15" x14ac:dyDescent="0.35">
      <c r="A92" t="s">
        <v>5</v>
      </c>
      <c r="B92">
        <v>2011</v>
      </c>
      <c r="C92">
        <v>2800854547180</v>
      </c>
      <c r="D92">
        <f t="shared" ref="D92:D97" si="13">C92/$C$98</f>
        <v>7.8714820726496604E-2</v>
      </c>
      <c r="G92" t="s">
        <v>11</v>
      </c>
      <c r="H92">
        <f>SUM(H87:H91)</f>
        <v>1356328230053</v>
      </c>
      <c r="I92">
        <f>SUM(I87:I91)</f>
        <v>1</v>
      </c>
      <c r="M92" t="s">
        <v>11</v>
      </c>
      <c r="N92">
        <f>SUM(N87:N91)</f>
        <v>5464174043717</v>
      </c>
      <c r="O92">
        <f>SUM(O87:O91)</f>
        <v>0.99999999999999989</v>
      </c>
    </row>
    <row r="93" spans="1:15" x14ac:dyDescent="0.35">
      <c r="A93" t="s">
        <v>6</v>
      </c>
      <c r="B93">
        <v>2011</v>
      </c>
      <c r="C93">
        <v>3994316515792</v>
      </c>
      <c r="D93">
        <f t="shared" si="13"/>
        <v>0.11225570738116798</v>
      </c>
      <c r="F93" t="s">
        <v>13</v>
      </c>
      <c r="G93">
        <v>2015</v>
      </c>
      <c r="H93">
        <v>300614454530</v>
      </c>
      <c r="I93">
        <f>H93/$H$98</f>
        <v>0.2158477929591254</v>
      </c>
      <c r="L93" t="s">
        <v>18</v>
      </c>
      <c r="M93">
        <v>2015</v>
      </c>
      <c r="N93">
        <v>437188038621</v>
      </c>
      <c r="O93">
        <f>N93/$N$98</f>
        <v>7.7010808868158628E-2</v>
      </c>
    </row>
    <row r="94" spans="1:15" x14ac:dyDescent="0.35">
      <c r="A94" t="s">
        <v>7</v>
      </c>
      <c r="B94">
        <v>2011</v>
      </c>
      <c r="C94">
        <v>2546921470741</v>
      </c>
      <c r="D94">
        <f t="shared" si="13"/>
        <v>7.1578321400407513E-2</v>
      </c>
      <c r="F94" t="s">
        <v>14</v>
      </c>
      <c r="G94">
        <v>2015</v>
      </c>
      <c r="H94">
        <v>246976655331</v>
      </c>
      <c r="I94">
        <f>H94/$H$98</f>
        <v>0.17733467290842772</v>
      </c>
      <c r="L94" t="s">
        <v>19</v>
      </c>
      <c r="M94">
        <v>2015</v>
      </c>
      <c r="N94">
        <v>669839363772</v>
      </c>
      <c r="O94">
        <f>N94/$N$98</f>
        <v>0.11799241209463555</v>
      </c>
    </row>
    <row r="95" spans="1:15" x14ac:dyDescent="0.35">
      <c r="A95" t="s">
        <v>8</v>
      </c>
      <c r="B95">
        <v>2011</v>
      </c>
      <c r="C95">
        <v>4876780131592</v>
      </c>
      <c r="D95">
        <f t="shared" si="13"/>
        <v>0.13705634023991131</v>
      </c>
      <c r="F95" t="s">
        <v>15</v>
      </c>
      <c r="G95">
        <v>2015</v>
      </c>
      <c r="H95">
        <v>17249664316</v>
      </c>
      <c r="I95">
        <f>H95/$H$98</f>
        <v>1.2385638533967475E-2</v>
      </c>
      <c r="L95" t="s">
        <v>20</v>
      </c>
      <c r="M95">
        <v>2015</v>
      </c>
      <c r="N95">
        <v>2438630460567</v>
      </c>
      <c r="O95">
        <f>N95/$N$98</f>
        <v>0.42956551348286137</v>
      </c>
    </row>
    <row r="96" spans="1:15" x14ac:dyDescent="0.35">
      <c r="A96" t="s">
        <v>9</v>
      </c>
      <c r="B96">
        <v>2011</v>
      </c>
      <c r="C96">
        <v>2667251954448</v>
      </c>
      <c r="D96">
        <f t="shared" si="13"/>
        <v>7.4960072324412361E-2</v>
      </c>
      <c r="F96" t="s">
        <v>16</v>
      </c>
      <c r="G96">
        <v>2015</v>
      </c>
      <c r="H96">
        <v>328811824264</v>
      </c>
      <c r="I96">
        <f>H96/$H$98</f>
        <v>0.23609412487237993</v>
      </c>
      <c r="L96" t="s">
        <v>21</v>
      </c>
      <c r="M96">
        <v>2015</v>
      </c>
      <c r="N96">
        <v>92795146906</v>
      </c>
      <c r="O96">
        <f>N96/$N$98</f>
        <v>1.6345893965469996E-2</v>
      </c>
    </row>
    <row r="97" spans="1:15" x14ac:dyDescent="0.35">
      <c r="A97" t="s">
        <v>10</v>
      </c>
      <c r="B97">
        <v>2011</v>
      </c>
      <c r="C97">
        <v>17122903162843</v>
      </c>
      <c r="D97">
        <f t="shared" si="13"/>
        <v>0.48121965281538376</v>
      </c>
      <c r="F97" t="s">
        <v>17</v>
      </c>
      <c r="G97">
        <v>2015</v>
      </c>
      <c r="H97">
        <v>499062380984</v>
      </c>
      <c r="I97">
        <f>H97/$H$98</f>
        <v>0.35833777072609946</v>
      </c>
      <c r="L97" t="s">
        <v>22</v>
      </c>
      <c r="M97">
        <v>2015</v>
      </c>
      <c r="N97">
        <v>2038516821336</v>
      </c>
      <c r="O97">
        <f>N97/$N$98</f>
        <v>0.35908537158887444</v>
      </c>
    </row>
    <row r="98" spans="1:15" x14ac:dyDescent="0.35">
      <c r="B98" t="s">
        <v>11</v>
      </c>
      <c r="C98">
        <f>SUM(C91:C97)</f>
        <v>35582302307616</v>
      </c>
      <c r="D98">
        <f>SUM(D91:D97)</f>
        <v>1</v>
      </c>
      <c r="G98" t="s">
        <v>11</v>
      </c>
      <c r="H98">
        <f>SUM(H93:H97)</f>
        <v>1392714979425</v>
      </c>
      <c r="I98">
        <f>SUM(I93:I97)</f>
        <v>1</v>
      </c>
      <c r="M98" t="s">
        <v>11</v>
      </c>
      <c r="N98">
        <f>SUM(N93:N97)</f>
        <v>5676969831202</v>
      </c>
      <c r="O98">
        <f>SUM(O93:O97)</f>
        <v>1</v>
      </c>
    </row>
    <row r="99" spans="1:15" x14ac:dyDescent="0.35">
      <c r="A99" t="s">
        <v>4</v>
      </c>
      <c r="B99">
        <v>2012</v>
      </c>
      <c r="C99">
        <v>1600895897399</v>
      </c>
      <c r="D99">
        <f>C99/$C$106</f>
        <v>4.6461347369154152E-2</v>
      </c>
      <c r="F99" t="s">
        <v>13</v>
      </c>
      <c r="G99">
        <v>2016</v>
      </c>
      <c r="H99">
        <v>310372270416</v>
      </c>
      <c r="I99">
        <f>H99/$H$104</f>
        <v>0.21785599519149887</v>
      </c>
      <c r="L99" t="s">
        <v>18</v>
      </c>
      <c r="M99">
        <v>2016</v>
      </c>
      <c r="N99">
        <v>444852114329</v>
      </c>
      <c r="O99">
        <f>N99/$N$104</f>
        <v>7.6520747935071243E-2</v>
      </c>
    </row>
    <row r="100" spans="1:15" x14ac:dyDescent="0.35">
      <c r="A100" t="s">
        <v>5</v>
      </c>
      <c r="B100">
        <v>2012</v>
      </c>
      <c r="C100">
        <v>2809624996095</v>
      </c>
      <c r="D100">
        <f t="shared" ref="D100:D106" si="14">C100/$C$106</f>
        <v>8.1541193985640678E-2</v>
      </c>
      <c r="F100" t="s">
        <v>14</v>
      </c>
      <c r="G100">
        <v>2016</v>
      </c>
      <c r="H100">
        <v>253920299689</v>
      </c>
      <c r="I100">
        <f>H100/$H$104</f>
        <v>0.17823132045245699</v>
      </c>
      <c r="L100" t="s">
        <v>19</v>
      </c>
      <c r="M100">
        <v>2016</v>
      </c>
      <c r="N100">
        <v>683821473440</v>
      </c>
      <c r="O100">
        <f>N100/$N$104</f>
        <v>0.11762679982002297</v>
      </c>
    </row>
    <row r="101" spans="1:15" x14ac:dyDescent="0.35">
      <c r="A101" t="s">
        <v>6</v>
      </c>
      <c r="B101">
        <v>2012</v>
      </c>
      <c r="C101">
        <v>4011032634316</v>
      </c>
      <c r="D101">
        <f t="shared" si="14"/>
        <v>0.11640855650560901</v>
      </c>
      <c r="F101" t="s">
        <v>15</v>
      </c>
      <c r="G101">
        <v>2016</v>
      </c>
      <c r="H101">
        <v>18337029182</v>
      </c>
      <c r="I101">
        <f>H101/$H$104</f>
        <v>1.2871097459659621E-2</v>
      </c>
      <c r="L101" t="s">
        <v>20</v>
      </c>
      <c r="M101">
        <v>2016</v>
      </c>
      <c r="N101">
        <v>2481855020484</v>
      </c>
      <c r="O101">
        <f>N101/$N$104</f>
        <v>0.42691356591685808</v>
      </c>
    </row>
    <row r="102" spans="1:15" x14ac:dyDescent="0.35">
      <c r="A102" t="s">
        <v>7</v>
      </c>
      <c r="B102">
        <v>2012</v>
      </c>
      <c r="C102">
        <v>2471000141707</v>
      </c>
      <c r="D102">
        <f t="shared" si="14"/>
        <v>7.1713592445083477E-2</v>
      </c>
      <c r="F102" t="s">
        <v>16</v>
      </c>
      <c r="G102">
        <v>2016</v>
      </c>
      <c r="H102">
        <v>332641575269</v>
      </c>
      <c r="I102">
        <f>H102/$H$104</f>
        <v>0.23348722914313572</v>
      </c>
      <c r="L102" t="s">
        <v>21</v>
      </c>
      <c r="M102">
        <v>2016</v>
      </c>
      <c r="N102">
        <v>96696554846</v>
      </c>
      <c r="O102">
        <f>N102/$N$104</f>
        <v>1.6633151695190664E-2</v>
      </c>
    </row>
    <row r="103" spans="1:15" x14ac:dyDescent="0.35">
      <c r="A103" t="s">
        <v>8</v>
      </c>
      <c r="B103">
        <v>2012</v>
      </c>
      <c r="C103">
        <v>4943823715180</v>
      </c>
      <c r="D103">
        <f t="shared" si="14"/>
        <v>0.14348010469389794</v>
      </c>
      <c r="F103" t="s">
        <v>17</v>
      </c>
      <c r="G103">
        <v>2016</v>
      </c>
      <c r="H103">
        <v>509395932462</v>
      </c>
      <c r="I103">
        <f>H103/$H$104</f>
        <v>0.35755435775324884</v>
      </c>
      <c r="L103" t="s">
        <v>22</v>
      </c>
      <c r="M103">
        <v>2016</v>
      </c>
      <c r="N103">
        <v>2106258451913</v>
      </c>
      <c r="O103">
        <f>N103/$N$104</f>
        <v>0.36230573463285703</v>
      </c>
    </row>
    <row r="104" spans="1:15" x14ac:dyDescent="0.35">
      <c r="A104" t="s">
        <v>9</v>
      </c>
      <c r="B104">
        <v>2012</v>
      </c>
      <c r="C104">
        <v>2707605789463</v>
      </c>
      <c r="D104">
        <f t="shared" si="14"/>
        <v>7.8580383226267786E-2</v>
      </c>
      <c r="G104" t="s">
        <v>11</v>
      </c>
      <c r="H104">
        <f>SUM(H99:H103)</f>
        <v>1424667107018</v>
      </c>
      <c r="I104">
        <f>SUM(I99:I103)</f>
        <v>1</v>
      </c>
      <c r="M104" t="s">
        <v>11</v>
      </c>
      <c r="N104">
        <f>SUM(N99:N103)</f>
        <v>5813483615012</v>
      </c>
      <c r="O104">
        <f>SUM(O99:O103)</f>
        <v>1</v>
      </c>
    </row>
    <row r="105" spans="1:15" x14ac:dyDescent="0.35">
      <c r="A105" t="s">
        <v>10</v>
      </c>
      <c r="B105">
        <v>2012</v>
      </c>
      <c r="C105">
        <v>17513423092584</v>
      </c>
      <c r="D105">
        <f t="shared" si="14"/>
        <v>0.50827616914350116</v>
      </c>
      <c r="F105" t="s">
        <v>13</v>
      </c>
      <c r="G105">
        <v>2017</v>
      </c>
      <c r="H105">
        <v>319130157564</v>
      </c>
      <c r="I105">
        <f t="shared" ref="I105:I110" si="15">H105/$H$110</f>
        <v>0.21804811962485227</v>
      </c>
      <c r="L105" t="s">
        <v>18</v>
      </c>
      <c r="M105">
        <v>2017</v>
      </c>
      <c r="N105">
        <v>450891850924</v>
      </c>
      <c r="O105">
        <f>N105/$N$110</f>
        <v>7.4684300282921029E-2</v>
      </c>
    </row>
    <row r="106" spans="1:15" x14ac:dyDescent="0.35">
      <c r="B106" t="s">
        <v>11</v>
      </c>
      <c r="C106">
        <f>SUM(C100:C105)</f>
        <v>34456510369345</v>
      </c>
      <c r="D106">
        <f t="shared" si="14"/>
        <v>1</v>
      </c>
      <c r="F106" t="s">
        <v>14</v>
      </c>
      <c r="G106">
        <v>2017</v>
      </c>
      <c r="H106">
        <v>262026475788</v>
      </c>
      <c r="I106">
        <f t="shared" si="15"/>
        <v>0.17903159254399911</v>
      </c>
      <c r="L106" t="s">
        <v>19</v>
      </c>
      <c r="M106">
        <v>2017</v>
      </c>
      <c r="N106">
        <v>693117074956</v>
      </c>
      <c r="O106">
        <f>N106/$N$110</f>
        <v>0.11480572037652333</v>
      </c>
    </row>
    <row r="107" spans="1:15" x14ac:dyDescent="0.35">
      <c r="A107" t="s">
        <v>4</v>
      </c>
      <c r="B107">
        <v>2013</v>
      </c>
      <c r="C107">
        <v>1638129751485</v>
      </c>
      <c r="D107">
        <f t="shared" ref="D107:D113" si="16">C107/$C$114</f>
        <v>4.4815039784415492E-2</v>
      </c>
      <c r="F107" t="s">
        <v>15</v>
      </c>
      <c r="G107">
        <v>2017</v>
      </c>
      <c r="H107">
        <v>19106258173</v>
      </c>
      <c r="I107">
        <f t="shared" si="15"/>
        <v>1.3054496947234226E-2</v>
      </c>
      <c r="L107" t="s">
        <v>20</v>
      </c>
      <c r="M107">
        <v>2017</v>
      </c>
      <c r="N107">
        <v>2528308608846</v>
      </c>
      <c r="O107">
        <f>N107/$N$110</f>
        <v>0.41878104242512987</v>
      </c>
    </row>
    <row r="108" spans="1:15" x14ac:dyDescent="0.35">
      <c r="A108" t="s">
        <v>5</v>
      </c>
      <c r="B108">
        <v>2013</v>
      </c>
      <c r="C108">
        <v>2825817614408</v>
      </c>
      <c r="D108">
        <f t="shared" si="16"/>
        <v>7.7307141695214007E-2</v>
      </c>
      <c r="F108" t="s">
        <v>16</v>
      </c>
      <c r="G108">
        <v>2017</v>
      </c>
      <c r="H108">
        <v>340837019722</v>
      </c>
      <c r="I108">
        <f t="shared" si="15"/>
        <v>0.23287949912416692</v>
      </c>
      <c r="L108" t="s">
        <v>21</v>
      </c>
      <c r="M108">
        <v>2017</v>
      </c>
      <c r="N108">
        <v>100716906503</v>
      </c>
      <c r="O108">
        <f>N108/$N$110</f>
        <v>1.6682429885176164E-2</v>
      </c>
    </row>
    <row r="109" spans="1:15" x14ac:dyDescent="0.35">
      <c r="A109" t="s">
        <v>6</v>
      </c>
      <c r="B109">
        <v>2013</v>
      </c>
      <c r="C109">
        <v>4028584564290</v>
      </c>
      <c r="D109">
        <f t="shared" si="16"/>
        <v>0.11021176885400807</v>
      </c>
      <c r="F109" t="s">
        <v>17</v>
      </c>
      <c r="G109">
        <v>2017</v>
      </c>
      <c r="H109">
        <v>522476835542</v>
      </c>
      <c r="I109">
        <f t="shared" si="15"/>
        <v>0.35698629175974744</v>
      </c>
      <c r="L109" t="s">
        <v>22</v>
      </c>
      <c r="M109">
        <v>2017</v>
      </c>
      <c r="N109">
        <v>2264269908091</v>
      </c>
      <c r="O109">
        <f>N109/$N$110</f>
        <v>0.37504650703024961</v>
      </c>
    </row>
    <row r="110" spans="1:15" x14ac:dyDescent="0.35">
      <c r="A110" t="s">
        <v>7</v>
      </c>
      <c r="B110">
        <v>2013</v>
      </c>
      <c r="C110">
        <v>2425507411807</v>
      </c>
      <c r="D110">
        <f t="shared" si="16"/>
        <v>6.6355678516300171E-2</v>
      </c>
      <c r="G110" t="s">
        <v>11</v>
      </c>
      <c r="H110">
        <f>SUM(H105:H109)</f>
        <v>1463576746789</v>
      </c>
      <c r="I110">
        <f t="shared" si="15"/>
        <v>1</v>
      </c>
      <c r="M110" t="s">
        <v>11</v>
      </c>
      <c r="N110">
        <f>SUM(N105:N109)</f>
        <v>6037304349320</v>
      </c>
      <c r="O110">
        <f>SUM(O105:O109)</f>
        <v>1</v>
      </c>
    </row>
    <row r="111" spans="1:15" x14ac:dyDescent="0.35">
      <c r="A111" t="s">
        <v>8</v>
      </c>
      <c r="B111">
        <v>2013</v>
      </c>
      <c r="C111">
        <v>5042952333233</v>
      </c>
      <c r="D111">
        <f t="shared" si="16"/>
        <v>0.13796227633365052</v>
      </c>
      <c r="F111" t="s">
        <v>13</v>
      </c>
      <c r="G111">
        <v>2018</v>
      </c>
      <c r="H111">
        <v>325479371132</v>
      </c>
      <c r="I111">
        <f>H111/$H$116</f>
        <v>0.21890383343048997</v>
      </c>
      <c r="L111" t="s">
        <v>18</v>
      </c>
      <c r="M111">
        <v>2018</v>
      </c>
      <c r="N111">
        <v>468882568677</v>
      </c>
      <c r="O111">
        <f>N111/$N$116</f>
        <v>7.5702040716139798E-2</v>
      </c>
    </row>
    <row r="112" spans="1:15" x14ac:dyDescent="0.35">
      <c r="A112" t="s">
        <v>9</v>
      </c>
      <c r="B112">
        <v>2013</v>
      </c>
      <c r="C112">
        <v>2756134809547</v>
      </c>
      <c r="D112">
        <f t="shared" si="16"/>
        <v>7.5400798397740498E-2</v>
      </c>
      <c r="F112" t="s">
        <v>14</v>
      </c>
      <c r="G112">
        <v>2018</v>
      </c>
      <c r="H112">
        <v>265012838732</v>
      </c>
      <c r="I112">
        <f>H112/$H$116</f>
        <v>0.17823656874156799</v>
      </c>
      <c r="L112" t="s">
        <v>19</v>
      </c>
      <c r="M112">
        <v>2018</v>
      </c>
      <c r="N112">
        <v>710890844417</v>
      </c>
      <c r="O112">
        <f>N112/$N$116</f>
        <v>0.11477476716746744</v>
      </c>
    </row>
    <row r="113" spans="1:15" x14ac:dyDescent="0.35">
      <c r="A113" t="s">
        <v>10</v>
      </c>
      <c r="B113">
        <v>2013</v>
      </c>
      <c r="C113">
        <v>17835998523381</v>
      </c>
      <c r="D113">
        <f t="shared" si="16"/>
        <v>0.48794729641867124</v>
      </c>
      <c r="F113" t="s">
        <v>15</v>
      </c>
      <c r="G113">
        <v>2018</v>
      </c>
      <c r="H113">
        <v>20040396188</v>
      </c>
      <c r="I113">
        <f>H113/$H$116</f>
        <v>1.3478333615311793E-2</v>
      </c>
      <c r="L113" t="s">
        <v>20</v>
      </c>
      <c r="M113">
        <v>2018</v>
      </c>
      <c r="N113">
        <v>2578168930636</v>
      </c>
      <c r="O113">
        <f>N113/$N$116</f>
        <v>0.4162505974807138</v>
      </c>
    </row>
    <row r="114" spans="1:15" x14ac:dyDescent="0.35">
      <c r="B114" t="s">
        <v>11</v>
      </c>
      <c r="C114">
        <f>SUM(C107:C113)</f>
        <v>36553125008151</v>
      </c>
      <c r="D114">
        <f>SUM(D107:D113)</f>
        <v>1</v>
      </c>
      <c r="F114" t="s">
        <v>16</v>
      </c>
      <c r="G114">
        <v>2018</v>
      </c>
      <c r="H114">
        <v>343662220042</v>
      </c>
      <c r="I114">
        <f>H114/$H$116</f>
        <v>0.23113285831536409</v>
      </c>
      <c r="L114" t="s">
        <v>21</v>
      </c>
      <c r="M114">
        <v>2018</v>
      </c>
      <c r="N114">
        <v>103351564495</v>
      </c>
      <c r="O114">
        <f>N114/$N$116</f>
        <v>1.6686319488381153E-2</v>
      </c>
    </row>
    <row r="115" spans="1:15" x14ac:dyDescent="0.35">
      <c r="A115" t="s">
        <v>4</v>
      </c>
      <c r="B115">
        <v>2014</v>
      </c>
      <c r="C115">
        <v>1685200865574</v>
      </c>
      <c r="D115">
        <f>C115/$C$122</f>
        <v>4.5268018332121081E-2</v>
      </c>
      <c r="F115" t="s">
        <v>17</v>
      </c>
      <c r="G115">
        <v>2018</v>
      </c>
      <c r="H115">
        <v>532665253199</v>
      </c>
      <c r="I115">
        <f>H115/$H$116</f>
        <v>0.35824840589726614</v>
      </c>
      <c r="L115" t="s">
        <v>22</v>
      </c>
      <c r="M115">
        <v>2018</v>
      </c>
      <c r="N115">
        <v>2332496434035</v>
      </c>
      <c r="O115">
        <f>N115/$N$116</f>
        <v>0.37658627514729776</v>
      </c>
    </row>
    <row r="116" spans="1:15" x14ac:dyDescent="0.35">
      <c r="A116" t="s">
        <v>5</v>
      </c>
      <c r="B116">
        <v>2014</v>
      </c>
      <c r="C116">
        <v>2852837603528</v>
      </c>
      <c r="D116">
        <f t="shared" ref="D116:D121" si="17">C116/$C$122</f>
        <v>7.6633182176228262E-2</v>
      </c>
      <c r="G116" t="s">
        <v>11</v>
      </c>
      <c r="H116">
        <f>SUM(H111:H115)</f>
        <v>1486860079293</v>
      </c>
      <c r="I116">
        <f>SUM(I111:I115)</f>
        <v>1</v>
      </c>
      <c r="M116" t="s">
        <v>11</v>
      </c>
      <c r="N116">
        <f>SUM(N111:N115)</f>
        <v>6193790342260</v>
      </c>
      <c r="O116">
        <f>SUM(O111:O115)</f>
        <v>1</v>
      </c>
    </row>
    <row r="117" spans="1:15" x14ac:dyDescent="0.35">
      <c r="A117" t="s">
        <v>6</v>
      </c>
      <c r="B117">
        <v>2014</v>
      </c>
      <c r="C117">
        <v>4117597889907</v>
      </c>
      <c r="D117">
        <f t="shared" si="17"/>
        <v>0.11060728757762926</v>
      </c>
      <c r="F117" t="s">
        <v>13</v>
      </c>
      <c r="G117">
        <v>2019</v>
      </c>
      <c r="H117">
        <v>330340363092</v>
      </c>
      <c r="I117">
        <f>H117/$H$122</f>
        <v>0.21880010219859222</v>
      </c>
      <c r="L117" t="s">
        <v>18</v>
      </c>
      <c r="M117">
        <v>2019</v>
      </c>
      <c r="N117">
        <v>472366975858</v>
      </c>
      <c r="O117">
        <f>N117/$N$122</f>
        <v>7.5768448919454945E-2</v>
      </c>
    </row>
    <row r="118" spans="1:15" x14ac:dyDescent="0.35">
      <c r="A118" t="s">
        <v>7</v>
      </c>
      <c r="B118">
        <v>2014</v>
      </c>
      <c r="C118">
        <v>2425397110830</v>
      </c>
      <c r="D118">
        <f t="shared" si="17"/>
        <v>6.5151236934790649E-2</v>
      </c>
      <c r="F118" t="s">
        <v>14</v>
      </c>
      <c r="G118">
        <v>2019</v>
      </c>
      <c r="H118">
        <v>268258580618</v>
      </c>
      <c r="I118">
        <f>H118/$H$122</f>
        <v>0.1776803909321886</v>
      </c>
      <c r="L118" t="s">
        <v>19</v>
      </c>
      <c r="M118">
        <v>2019</v>
      </c>
      <c r="N118">
        <v>733545907627</v>
      </c>
      <c r="O118">
        <f>N118/$N$122</f>
        <v>0.11766198416211798</v>
      </c>
    </row>
    <row r="119" spans="1:15" x14ac:dyDescent="0.35">
      <c r="A119" t="s">
        <v>8</v>
      </c>
      <c r="B119">
        <v>2014</v>
      </c>
      <c r="C119">
        <v>5057889836119</v>
      </c>
      <c r="D119">
        <f t="shared" si="17"/>
        <v>0.13586549502827189</v>
      </c>
      <c r="F119" t="s">
        <v>15</v>
      </c>
      <c r="G119">
        <v>2019</v>
      </c>
      <c r="H119">
        <v>20413383621</v>
      </c>
      <c r="I119">
        <f>H119/$H$122</f>
        <v>1.3520752900698239E-2</v>
      </c>
      <c r="L119" t="s">
        <v>20</v>
      </c>
      <c r="M119">
        <v>2019</v>
      </c>
      <c r="N119">
        <v>2570997785177</v>
      </c>
      <c r="O119">
        <f>N119/$N$122</f>
        <v>0.41239232273675086</v>
      </c>
    </row>
    <row r="120" spans="1:15" x14ac:dyDescent="0.35">
      <c r="A120" t="s">
        <v>9</v>
      </c>
      <c r="B120">
        <v>2014</v>
      </c>
      <c r="C120">
        <v>2844214882519</v>
      </c>
      <c r="D120">
        <f t="shared" si="17"/>
        <v>7.6401557863256392E-2</v>
      </c>
      <c r="F120" t="s">
        <v>16</v>
      </c>
      <c r="G120">
        <v>2019</v>
      </c>
      <c r="H120">
        <v>347524220033</v>
      </c>
      <c r="I120">
        <f>H120/$H$122</f>
        <v>0.23018178628849459</v>
      </c>
      <c r="L120" t="s">
        <v>21</v>
      </c>
      <c r="M120">
        <v>2019</v>
      </c>
      <c r="N120">
        <v>105850100780</v>
      </c>
      <c r="O120">
        <f>N120/$N$122</f>
        <v>1.6978532293670631E-2</v>
      </c>
    </row>
    <row r="121" spans="1:15" x14ac:dyDescent="0.35">
      <c r="A121" t="s">
        <v>10</v>
      </c>
      <c r="B121">
        <v>2014</v>
      </c>
      <c r="C121">
        <v>18244046204930</v>
      </c>
      <c r="D121">
        <f t="shared" si="17"/>
        <v>0.49007322208770249</v>
      </c>
      <c r="F121" t="s">
        <v>17</v>
      </c>
      <c r="G121">
        <v>2019</v>
      </c>
      <c r="H121">
        <v>543245028479</v>
      </c>
      <c r="I121">
        <f>H121/$H$122</f>
        <v>0.35981696768002636</v>
      </c>
      <c r="L121" t="s">
        <v>22</v>
      </c>
      <c r="M121">
        <v>2019</v>
      </c>
      <c r="N121">
        <v>2351588522308</v>
      </c>
      <c r="O121">
        <f>N121/$N$122</f>
        <v>0.37719871188800558</v>
      </c>
    </row>
    <row r="122" spans="1:15" x14ac:dyDescent="0.35">
      <c r="B122" t="s">
        <v>11</v>
      </c>
      <c r="C122">
        <f>SUM(C115:C121)</f>
        <v>37227184393407</v>
      </c>
      <c r="D122">
        <f>SUM(D115:D121)</f>
        <v>1</v>
      </c>
      <c r="G122" t="s">
        <v>11</v>
      </c>
      <c r="H122">
        <f>SUM(H117:H121)</f>
        <v>1509781575843</v>
      </c>
      <c r="I122">
        <f>SUM(I117:I121)</f>
        <v>1</v>
      </c>
      <c r="M122" t="s">
        <v>11</v>
      </c>
      <c r="N122">
        <f>SUM(N117:N121)</f>
        <v>6234349291750</v>
      </c>
      <c r="O122">
        <f>SUM(O117:O121)</f>
        <v>1</v>
      </c>
    </row>
    <row r="123" spans="1:15" x14ac:dyDescent="0.35">
      <c r="A123" t="s">
        <v>4</v>
      </c>
      <c r="B123">
        <v>2015</v>
      </c>
      <c r="C123">
        <v>1696154182386</v>
      </c>
      <c r="D123">
        <f>C123/$C$130</f>
        <v>4.4652050686295727E-2</v>
      </c>
      <c r="F123" t="s">
        <v>13</v>
      </c>
      <c r="G123">
        <v>2020</v>
      </c>
      <c r="H123">
        <v>322331219106</v>
      </c>
      <c r="I123">
        <f>H123/$H$128</f>
        <v>0.21812289019782607</v>
      </c>
      <c r="L123" t="s">
        <v>18</v>
      </c>
      <c r="M123">
        <v>2020</v>
      </c>
      <c r="N123">
        <v>443338859115</v>
      </c>
      <c r="O123">
        <f>N123/$N$128</f>
        <v>7.4274769132009991E-2</v>
      </c>
    </row>
    <row r="124" spans="1:15" x14ac:dyDescent="0.35">
      <c r="A124" t="s">
        <v>5</v>
      </c>
      <c r="B124">
        <v>2015</v>
      </c>
      <c r="C124">
        <v>2884587185274</v>
      </c>
      <c r="D124">
        <f t="shared" ref="D124:D129" si="18">C124/$C$130</f>
        <v>7.5938104297043008E-2</v>
      </c>
      <c r="F124" t="s">
        <v>14</v>
      </c>
      <c r="G124">
        <v>2020</v>
      </c>
      <c r="H124">
        <v>261941184514</v>
      </c>
      <c r="I124">
        <f>H124/$H$128</f>
        <v>0.17725670006927413</v>
      </c>
      <c r="L124" t="s">
        <v>19</v>
      </c>
      <c r="M124">
        <v>2020</v>
      </c>
      <c r="N124">
        <v>680346964554</v>
      </c>
      <c r="O124">
        <f>N124/$N$128</f>
        <v>0.11398191853244295</v>
      </c>
    </row>
    <row r="125" spans="1:15" x14ac:dyDescent="0.35">
      <c r="A125" t="s">
        <v>6</v>
      </c>
      <c r="B125">
        <v>2015</v>
      </c>
      <c r="C125">
        <v>4179029631006</v>
      </c>
      <c r="D125">
        <f t="shared" si="18"/>
        <v>0.11001490598025475</v>
      </c>
      <c r="F125" t="s">
        <v>15</v>
      </c>
      <c r="G125">
        <v>2020</v>
      </c>
      <c r="H125">
        <v>18940421106</v>
      </c>
      <c r="I125">
        <f>H125/$H$128</f>
        <v>1.2817062537916989E-2</v>
      </c>
      <c r="L125" t="s">
        <v>20</v>
      </c>
      <c r="M125">
        <v>2020</v>
      </c>
      <c r="N125">
        <v>2348565679676</v>
      </c>
      <c r="O125">
        <f>N125/$N$128</f>
        <v>0.39346691602336697</v>
      </c>
    </row>
    <row r="126" spans="1:15" x14ac:dyDescent="0.35">
      <c r="A126" t="s">
        <v>7</v>
      </c>
      <c r="B126">
        <v>2015</v>
      </c>
      <c r="C126">
        <v>2444274082066</v>
      </c>
      <c r="D126">
        <f t="shared" si="18"/>
        <v>6.4346656298709157E-2</v>
      </c>
      <c r="F126" t="s">
        <v>16</v>
      </c>
      <c r="G126">
        <v>2020</v>
      </c>
      <c r="H126">
        <v>343082263509</v>
      </c>
      <c r="I126">
        <f>H126/$H$128</f>
        <v>0.23216520912789937</v>
      </c>
      <c r="L126" t="s">
        <v>21</v>
      </c>
      <c r="M126">
        <v>2020</v>
      </c>
      <c r="N126">
        <v>101326750925</v>
      </c>
      <c r="O126">
        <f>N126/$N$128</f>
        <v>1.6975775700949419E-2</v>
      </c>
    </row>
    <row r="127" spans="1:15" x14ac:dyDescent="0.35">
      <c r="A127" t="s">
        <v>8</v>
      </c>
      <c r="B127">
        <v>2015</v>
      </c>
      <c r="C127">
        <v>5136824615194</v>
      </c>
      <c r="D127">
        <f t="shared" si="18"/>
        <v>0.13522930607735018</v>
      </c>
      <c r="F127" t="s">
        <v>17</v>
      </c>
      <c r="G127">
        <v>2020</v>
      </c>
      <c r="H127">
        <v>531455453277</v>
      </c>
      <c r="I127">
        <f>H127/$H$128</f>
        <v>0.35963813806708345</v>
      </c>
      <c r="L127" t="s">
        <v>22</v>
      </c>
      <c r="M127">
        <v>2020</v>
      </c>
      <c r="N127">
        <v>2395324298992</v>
      </c>
      <c r="O127">
        <f>N127/$N$128</f>
        <v>0.40130062061123067</v>
      </c>
    </row>
    <row r="128" spans="1:15" x14ac:dyDescent="0.35">
      <c r="A128" t="s">
        <v>9</v>
      </c>
      <c r="B128">
        <v>2015</v>
      </c>
      <c r="C128">
        <v>2907363800150</v>
      </c>
      <c r="D128">
        <f t="shared" si="18"/>
        <v>7.6537709316720368E-2</v>
      </c>
      <c r="G128" t="s">
        <v>11</v>
      </c>
      <c r="H128">
        <f>SUM(H123:H127)</f>
        <v>1477750541512</v>
      </c>
      <c r="I128">
        <f>SUM(I123:I127)</f>
        <v>1</v>
      </c>
      <c r="M128" t="s">
        <v>11</v>
      </c>
      <c r="N128">
        <f>SUM(N123:N127)</f>
        <v>5968902553262</v>
      </c>
      <c r="O128">
        <f>SUM(O123:O127)</f>
        <v>1</v>
      </c>
    </row>
    <row r="129" spans="1:15" x14ac:dyDescent="0.35">
      <c r="A129" t="s">
        <v>10</v>
      </c>
      <c r="B129">
        <v>2015</v>
      </c>
      <c r="C129">
        <v>18737797521903</v>
      </c>
      <c r="D129">
        <f t="shared" si="18"/>
        <v>0.49328126734362682</v>
      </c>
      <c r="F129" t="s">
        <v>13</v>
      </c>
      <c r="G129">
        <v>2021</v>
      </c>
      <c r="H129">
        <v>344393249995</v>
      </c>
      <c r="I129">
        <f>H129/$H$134</f>
        <v>0.22159169278434576</v>
      </c>
      <c r="L129" t="s">
        <v>18</v>
      </c>
      <c r="M129">
        <v>2021</v>
      </c>
      <c r="N129">
        <v>495375452094</v>
      </c>
      <c r="O129">
        <f>N129/$N$134</f>
        <v>7.6035624662550247E-2</v>
      </c>
    </row>
    <row r="130" spans="1:15" x14ac:dyDescent="0.35">
      <c r="B130" t="s">
        <v>11</v>
      </c>
      <c r="C130">
        <f>SUM(C123:C129)</f>
        <v>37986031017979</v>
      </c>
      <c r="D130">
        <f>SUM(D123:D129)</f>
        <v>1</v>
      </c>
      <c r="F130" t="s">
        <v>14</v>
      </c>
      <c r="G130">
        <v>2021</v>
      </c>
      <c r="H130">
        <v>269375545788</v>
      </c>
      <c r="I130">
        <f>H130/$H$134</f>
        <v>0.17332332496858338</v>
      </c>
      <c r="L130" t="s">
        <v>19</v>
      </c>
      <c r="M130">
        <v>2021</v>
      </c>
      <c r="N130">
        <v>755295301055</v>
      </c>
      <c r="O130">
        <f>N130/$N$134</f>
        <v>0.11593095656566438</v>
      </c>
    </row>
    <row r="131" spans="1:15" x14ac:dyDescent="0.35">
      <c r="A131" t="s">
        <v>4</v>
      </c>
      <c r="B131">
        <v>2016</v>
      </c>
      <c r="C131">
        <v>1713769607504</v>
      </c>
      <c r="D131">
        <f>C131/$C$138</f>
        <v>4.4436077341198817E-2</v>
      </c>
      <c r="F131" t="s">
        <v>15</v>
      </c>
      <c r="G131">
        <v>2021</v>
      </c>
      <c r="H131">
        <v>19794205101</v>
      </c>
      <c r="I131">
        <f>H131/$H$134</f>
        <v>1.2736113195350961E-2</v>
      </c>
      <c r="L131" t="s">
        <v>20</v>
      </c>
      <c r="M131">
        <v>2021</v>
      </c>
      <c r="N131">
        <v>2485670940292</v>
      </c>
      <c r="O131">
        <f>N131/$N$134</f>
        <v>0.38152787315506143</v>
      </c>
    </row>
    <row r="132" spans="1:15" x14ac:dyDescent="0.35">
      <c r="A132" t="s">
        <v>5</v>
      </c>
      <c r="B132">
        <v>2016</v>
      </c>
      <c r="C132">
        <v>2916186811083</v>
      </c>
      <c r="D132">
        <f t="shared" ref="D132:D137" si="19">C132/$C$138</f>
        <v>7.5613374231440086E-2</v>
      </c>
      <c r="F132" t="s">
        <v>16</v>
      </c>
      <c r="G132">
        <v>2021</v>
      </c>
      <c r="H132">
        <v>356492274576</v>
      </c>
      <c r="I132">
        <f>H132/$H$134</f>
        <v>0.22937652404332695</v>
      </c>
      <c r="L132" t="s">
        <v>21</v>
      </c>
      <c r="M132">
        <v>2021</v>
      </c>
      <c r="N132">
        <v>109367800971</v>
      </c>
      <c r="O132">
        <f>N132/$N$134</f>
        <v>1.6786962352792322E-2</v>
      </c>
    </row>
    <row r="133" spans="1:15" x14ac:dyDescent="0.35">
      <c r="A133" t="s">
        <v>6</v>
      </c>
      <c r="B133">
        <v>2016</v>
      </c>
      <c r="C133">
        <v>4272221986254</v>
      </c>
      <c r="D133">
        <f t="shared" si="19"/>
        <v>0.11077380866640774</v>
      </c>
      <c r="F133" t="s">
        <v>17</v>
      </c>
      <c r="G133">
        <v>2021</v>
      </c>
      <c r="H133">
        <v>564124150978</v>
      </c>
      <c r="I133">
        <f>H133/$H$134</f>
        <v>0.36297234500839293</v>
      </c>
      <c r="L133" t="s">
        <v>22</v>
      </c>
      <c r="M133">
        <v>2021</v>
      </c>
      <c r="N133">
        <v>2669334661436</v>
      </c>
      <c r="O133">
        <f>N133/$N$134</f>
        <v>0.40971858326393162</v>
      </c>
    </row>
    <row r="134" spans="1:15" x14ac:dyDescent="0.35">
      <c r="A134" t="s">
        <v>7</v>
      </c>
      <c r="B134">
        <v>2016</v>
      </c>
      <c r="C134">
        <v>2475889856374</v>
      </c>
      <c r="D134">
        <f t="shared" si="19"/>
        <v>6.419697995832728E-2</v>
      </c>
      <c r="G134" t="s">
        <v>11</v>
      </c>
      <c r="H134">
        <f>SUM(H129:H133)</f>
        <v>1554179426438</v>
      </c>
      <c r="I134">
        <f>SUM(I129:I133)</f>
        <v>1</v>
      </c>
      <c r="M134" t="s">
        <v>11</v>
      </c>
      <c r="N134">
        <f>SUM(N129:N133)</f>
        <v>6515044155848</v>
      </c>
      <c r="O134">
        <f>SUM(O129:O133)</f>
        <v>1</v>
      </c>
    </row>
    <row r="135" spans="1:15" x14ac:dyDescent="0.35">
      <c r="A135" t="s">
        <v>8</v>
      </c>
      <c r="B135">
        <v>2016</v>
      </c>
      <c r="C135">
        <v>5175547373033</v>
      </c>
      <c r="D135">
        <f t="shared" si="19"/>
        <v>0.13419599830929782</v>
      </c>
      <c r="F135" t="s">
        <v>13</v>
      </c>
      <c r="G135">
        <v>2022</v>
      </c>
      <c r="H135">
        <v>353799230461</v>
      </c>
      <c r="I135">
        <f>H135/$H$140</f>
        <v>0.22159568920570122</v>
      </c>
      <c r="L135" t="s">
        <v>18</v>
      </c>
      <c r="M135">
        <v>2022</v>
      </c>
      <c r="N135">
        <v>507464611471</v>
      </c>
      <c r="O135">
        <f>N135/$N$140</f>
        <v>7.4282785986744412E-2</v>
      </c>
    </row>
    <row r="136" spans="1:15" x14ac:dyDescent="0.35">
      <c r="A136" t="s">
        <v>9</v>
      </c>
      <c r="B136">
        <v>2016</v>
      </c>
      <c r="C136">
        <v>2963216102414</v>
      </c>
      <c r="D136">
        <f t="shared" si="19"/>
        <v>7.6832789733813092E-2</v>
      </c>
      <c r="F136" t="s">
        <v>14</v>
      </c>
      <c r="G136">
        <v>2022</v>
      </c>
      <c r="H136">
        <v>273777977547</v>
      </c>
      <c r="I136">
        <f>H136/$H$140</f>
        <v>0.1714758382736449</v>
      </c>
      <c r="L136" t="s">
        <v>19</v>
      </c>
      <c r="M136">
        <v>2022</v>
      </c>
      <c r="N136">
        <v>810103779460</v>
      </c>
      <c r="O136">
        <f>N136/$N$140</f>
        <v>0.11858317667165819</v>
      </c>
    </row>
    <row r="137" spans="1:15" x14ac:dyDescent="0.35">
      <c r="A137" t="s">
        <v>10</v>
      </c>
      <c r="B137">
        <v>2016</v>
      </c>
      <c r="C137">
        <v>19050245063231</v>
      </c>
      <c r="D137">
        <f t="shared" si="19"/>
        <v>0.49395097175951519</v>
      </c>
      <c r="F137" t="s">
        <v>15</v>
      </c>
      <c r="G137">
        <v>2022</v>
      </c>
      <c r="H137">
        <v>21226927351</v>
      </c>
      <c r="I137">
        <f>H137/$H$140</f>
        <v>1.3295098437424961E-2</v>
      </c>
      <c r="L137" t="s">
        <v>20</v>
      </c>
      <c r="M137">
        <v>2022</v>
      </c>
      <c r="N137">
        <v>2582568146909</v>
      </c>
      <c r="O137">
        <f>N137/$N$140</f>
        <v>0.37803691649932403</v>
      </c>
    </row>
    <row r="138" spans="1:15" x14ac:dyDescent="0.35">
      <c r="B138" t="s">
        <v>11</v>
      </c>
      <c r="C138">
        <f>SUM(C131:C137)</f>
        <v>38567076799893</v>
      </c>
      <c r="D138">
        <f>SUM(D131:D137)</f>
        <v>1</v>
      </c>
      <c r="F138" t="s">
        <v>16</v>
      </c>
      <c r="G138">
        <v>2022</v>
      </c>
      <c r="H138">
        <v>367243687581</v>
      </c>
      <c r="I138">
        <f>H138/$H$140</f>
        <v>0.2300163794870819</v>
      </c>
      <c r="L138" t="s">
        <v>21</v>
      </c>
      <c r="M138">
        <v>2022</v>
      </c>
      <c r="N138">
        <v>114345667442</v>
      </c>
      <c r="O138">
        <f>N138/$N$140</f>
        <v>1.6737944974101773E-2</v>
      </c>
    </row>
    <row r="139" spans="1:15" x14ac:dyDescent="0.35">
      <c r="A139" t="s">
        <v>4</v>
      </c>
      <c r="B139">
        <v>2017</v>
      </c>
      <c r="C139">
        <v>1765762548007</v>
      </c>
      <c r="D139">
        <f>C139/$C$146</f>
        <v>4.4777479056792829E-2</v>
      </c>
      <c r="F139" t="s">
        <v>17</v>
      </c>
      <c r="G139">
        <v>2022</v>
      </c>
      <c r="H139">
        <v>580550160212</v>
      </c>
      <c r="I139">
        <f>H139/$H$140</f>
        <v>0.36361699459614699</v>
      </c>
      <c r="L139" t="s">
        <v>22</v>
      </c>
      <c r="M139">
        <v>2022</v>
      </c>
      <c r="N139">
        <v>2817041474532</v>
      </c>
      <c r="O139">
        <f>N139/$N$140</f>
        <v>0.41235917586817161</v>
      </c>
    </row>
    <row r="140" spans="1:15" x14ac:dyDescent="0.35">
      <c r="A140" t="s">
        <v>5</v>
      </c>
      <c r="B140">
        <v>2017</v>
      </c>
      <c r="C140">
        <v>2983008898740</v>
      </c>
      <c r="D140">
        <f t="shared" ref="D140:D145" si="20">C140/$C$146</f>
        <v>7.5645289136026847E-2</v>
      </c>
      <c r="G140" t="s">
        <v>11</v>
      </c>
      <c r="H140">
        <f>SUM(H135:H139)</f>
        <v>1596597983152</v>
      </c>
      <c r="I140">
        <f>SUM(I135:I139)</f>
        <v>1</v>
      </c>
      <c r="M140" t="s">
        <v>11</v>
      </c>
      <c r="N140">
        <f>SUM(N135:N139)</f>
        <v>6831523679814</v>
      </c>
      <c r="O140">
        <f>SUM(O135:O139)</f>
        <v>1</v>
      </c>
    </row>
    <row r="141" spans="1:15" x14ac:dyDescent="0.35">
      <c r="A141" t="s">
        <v>6</v>
      </c>
      <c r="B141">
        <v>2017</v>
      </c>
      <c r="C141">
        <v>4386727409191</v>
      </c>
      <c r="D141">
        <f t="shared" si="20"/>
        <v>0.11124179460857518</v>
      </c>
    </row>
    <row r="142" spans="1:15" x14ac:dyDescent="0.35">
      <c r="A142" t="s">
        <v>7</v>
      </c>
      <c r="B142">
        <v>2017</v>
      </c>
      <c r="C142">
        <v>2517184209191</v>
      </c>
      <c r="D142">
        <f t="shared" si="20"/>
        <v>6.3832570996795651E-2</v>
      </c>
      <c r="F142" t="s">
        <v>13</v>
      </c>
      <c r="G142">
        <v>2023</v>
      </c>
      <c r="H142">
        <v>424936606051</v>
      </c>
      <c r="I142">
        <f>H142/H147</f>
        <v>0.22076335029974245</v>
      </c>
      <c r="L142" t="s">
        <v>18</v>
      </c>
      <c r="M142">
        <v>2023</v>
      </c>
      <c r="N142">
        <v>581187468274</v>
      </c>
      <c r="O142">
        <f>N142/N147</f>
        <v>7.8087106141526363E-2</v>
      </c>
    </row>
    <row r="143" spans="1:15" x14ac:dyDescent="0.35">
      <c r="A143" t="s">
        <v>8</v>
      </c>
      <c r="B143">
        <v>2017</v>
      </c>
      <c r="C143">
        <v>5262254961496</v>
      </c>
      <c r="D143">
        <f t="shared" si="20"/>
        <v>0.13344405316323268</v>
      </c>
      <c r="F143" t="s">
        <v>14</v>
      </c>
      <c r="G143">
        <v>2023</v>
      </c>
      <c r="H143">
        <v>314075132629</v>
      </c>
      <c r="I143">
        <f>H143/H147</f>
        <v>0.16316852334602683</v>
      </c>
      <c r="L143" t="s">
        <v>19</v>
      </c>
      <c r="M143">
        <v>2023</v>
      </c>
      <c r="N143">
        <v>961819615833</v>
      </c>
      <c r="O143">
        <f>N143/N147</f>
        <v>0.12922802801237465</v>
      </c>
    </row>
    <row r="144" spans="1:15" x14ac:dyDescent="0.35">
      <c r="A144" t="s">
        <v>9</v>
      </c>
      <c r="B144">
        <v>2017</v>
      </c>
      <c r="C144">
        <v>3041891554350</v>
      </c>
      <c r="D144">
        <f t="shared" si="20"/>
        <v>7.7138477946357573E-2</v>
      </c>
      <c r="F144" t="s">
        <v>15</v>
      </c>
      <c r="G144">
        <v>2023</v>
      </c>
      <c r="H144">
        <v>26424085476</v>
      </c>
      <c r="I144">
        <f>H144/H147</f>
        <v>1.3727858591661092E-2</v>
      </c>
      <c r="L144" t="s">
        <v>20</v>
      </c>
      <c r="M144">
        <v>2023</v>
      </c>
      <c r="N144">
        <v>2841972427276</v>
      </c>
      <c r="O144">
        <f>N144/N147</f>
        <v>0.38184134155378552</v>
      </c>
    </row>
    <row r="145" spans="1:15" x14ac:dyDescent="0.35">
      <c r="A145" t="s">
        <v>10</v>
      </c>
      <c r="B145">
        <v>2017</v>
      </c>
      <c r="C145">
        <v>19477336548999</v>
      </c>
      <c r="D145">
        <f t="shared" si="20"/>
        <v>0.49392033509221922</v>
      </c>
      <c r="F145" t="s">
        <v>16</v>
      </c>
      <c r="G145">
        <v>2023</v>
      </c>
      <c r="H145">
        <v>497235674807</v>
      </c>
      <c r="I145">
        <f>H145/H147</f>
        <v>0.25832421094306013</v>
      </c>
      <c r="L145" t="s">
        <v>21</v>
      </c>
      <c r="M145">
        <v>2023</v>
      </c>
      <c r="N145">
        <v>132639643385</v>
      </c>
      <c r="O145">
        <f>N145/N147</f>
        <v>1.7821179011891043E-2</v>
      </c>
    </row>
    <row r="146" spans="1:15" x14ac:dyDescent="0.35">
      <c r="B146" t="s">
        <v>11</v>
      </c>
      <c r="C146">
        <f>SUM(C139:C145)</f>
        <v>39434166129974</v>
      </c>
      <c r="D146">
        <f>SUM(D139:D145)</f>
        <v>1</v>
      </c>
      <c r="F146" t="s">
        <v>17</v>
      </c>
      <c r="G146">
        <v>2023</v>
      </c>
      <c r="H146">
        <v>662179729622</v>
      </c>
      <c r="I146">
        <f>H146/H147</f>
        <v>0.34401605681950947</v>
      </c>
      <c r="L146" t="s">
        <v>22</v>
      </c>
      <c r="M146">
        <v>2023</v>
      </c>
      <c r="N146">
        <v>2925190509873</v>
      </c>
      <c r="O146">
        <f>N146/N147</f>
        <v>0.3930223452804224</v>
      </c>
    </row>
    <row r="147" spans="1:15" x14ac:dyDescent="0.35">
      <c r="A147" t="s">
        <v>4</v>
      </c>
      <c r="B147">
        <v>2018</v>
      </c>
      <c r="C147">
        <v>1814196768980</v>
      </c>
      <c r="D147">
        <f>C147/$C$154</f>
        <v>4.5067809080039711E-2</v>
      </c>
      <c r="G147" t="s">
        <v>11</v>
      </c>
      <c r="H147">
        <f>SUM(H142:H146)</f>
        <v>1924851228585</v>
      </c>
      <c r="I147">
        <f>SUM(I142:I146)</f>
        <v>1</v>
      </c>
      <c r="M147" t="s">
        <v>11</v>
      </c>
      <c r="N147">
        <f>SUM(N142:N146)</f>
        <v>7442809664641</v>
      </c>
      <c r="O147">
        <f>SUM(O142:O146)</f>
        <v>1</v>
      </c>
    </row>
    <row r="148" spans="1:15" x14ac:dyDescent="0.35">
      <c r="A148" t="s">
        <v>5</v>
      </c>
      <c r="B148">
        <v>2018</v>
      </c>
      <c r="C148">
        <v>3038643985600</v>
      </c>
      <c r="D148">
        <f t="shared" ref="D148:D153" si="21">C148/$C$154</f>
        <v>7.5485211608124866E-2</v>
      </c>
    </row>
    <row r="149" spans="1:15" x14ac:dyDescent="0.35">
      <c r="A149" t="s">
        <v>6</v>
      </c>
      <c r="B149">
        <v>2018</v>
      </c>
      <c r="C149">
        <v>4429771408867</v>
      </c>
      <c r="D149">
        <f t="shared" si="21"/>
        <v>0.11004324091883406</v>
      </c>
      <c r="F149" t="s">
        <v>13</v>
      </c>
      <c r="G149">
        <v>2024</v>
      </c>
      <c r="H149">
        <v>440558114300</v>
      </c>
      <c r="I149">
        <f>H149/H154</f>
        <v>0.2251170838171099</v>
      </c>
      <c r="L149" t="s">
        <v>18</v>
      </c>
      <c r="M149">
        <v>2024</v>
      </c>
      <c r="N149">
        <v>596555875617</v>
      </c>
      <c r="O149">
        <f>N149/N154</f>
        <v>7.8338087113519569E-2</v>
      </c>
    </row>
    <row r="150" spans="1:15" x14ac:dyDescent="0.35">
      <c r="A150" t="s">
        <v>7</v>
      </c>
      <c r="B150">
        <v>2018</v>
      </c>
      <c r="C150">
        <v>2540488576005</v>
      </c>
      <c r="D150">
        <f t="shared" si="21"/>
        <v>6.3110163170331107E-2</v>
      </c>
      <c r="F150" t="s">
        <v>14</v>
      </c>
      <c r="G150">
        <v>2024</v>
      </c>
      <c r="H150">
        <v>313590782225</v>
      </c>
      <c r="I150">
        <f>H150/H154</f>
        <v>0.16023911514735295</v>
      </c>
      <c r="L150" t="s">
        <v>19</v>
      </c>
      <c r="M150">
        <v>2024</v>
      </c>
      <c r="N150">
        <v>978591840244</v>
      </c>
      <c r="O150">
        <f>N150/N154</f>
        <v>0.12850600582942157</v>
      </c>
    </row>
    <row r="151" spans="1:15" x14ac:dyDescent="0.35">
      <c r="A151" t="s">
        <v>8</v>
      </c>
      <c r="B151">
        <v>2018</v>
      </c>
      <c r="C151">
        <v>5296111837550</v>
      </c>
      <c r="D151">
        <f t="shared" si="21"/>
        <v>0.13156464681360755</v>
      </c>
      <c r="F151" t="s">
        <v>15</v>
      </c>
      <c r="G151">
        <v>2024</v>
      </c>
      <c r="H151">
        <v>26560661829</v>
      </c>
      <c r="I151">
        <f>H151/H154</f>
        <v>1.357200909736349E-2</v>
      </c>
      <c r="L151" t="s">
        <v>20</v>
      </c>
      <c r="M151">
        <v>2024</v>
      </c>
      <c r="N151">
        <v>2883296481990</v>
      </c>
      <c r="O151">
        <f>N151/N154</f>
        <v>0.37862661355338173</v>
      </c>
    </row>
    <row r="152" spans="1:15" x14ac:dyDescent="0.35">
      <c r="A152" t="s">
        <v>9</v>
      </c>
      <c r="B152">
        <v>2018</v>
      </c>
      <c r="C152">
        <v>3084593387251</v>
      </c>
      <c r="D152">
        <f t="shared" si="21"/>
        <v>7.662667481451875E-2</v>
      </c>
      <c r="F152" t="s">
        <v>16</v>
      </c>
      <c r="G152">
        <v>2024</v>
      </c>
      <c r="H152">
        <v>507679877839</v>
      </c>
      <c r="I152">
        <f>H152/H154</f>
        <v>0.2594150689820634</v>
      </c>
      <c r="L152" t="s">
        <v>21</v>
      </c>
      <c r="M152">
        <v>2024</v>
      </c>
      <c r="N152">
        <v>138371299881</v>
      </c>
      <c r="O152">
        <f>N152/N154</f>
        <v>1.8170540911825725E-2</v>
      </c>
    </row>
    <row r="153" spans="1:15" x14ac:dyDescent="0.35">
      <c r="A153" t="s">
        <v>10</v>
      </c>
      <c r="B153">
        <v>2018</v>
      </c>
      <c r="C153">
        <v>20051019065249</v>
      </c>
      <c r="D153">
        <f t="shared" si="21"/>
        <v>0.49810225359454396</v>
      </c>
      <c r="F153" t="s">
        <v>17</v>
      </c>
      <c r="G153">
        <v>2024</v>
      </c>
      <c r="H153">
        <v>668628249137</v>
      </c>
      <c r="I153">
        <f>H153/H154</f>
        <v>0.34165672295611027</v>
      </c>
      <c r="L153" t="s">
        <v>22</v>
      </c>
      <c r="M153">
        <v>2024</v>
      </c>
      <c r="N153">
        <v>3018329288131</v>
      </c>
      <c r="O153">
        <f>N153/N154</f>
        <v>0.39635875259185138</v>
      </c>
    </row>
    <row r="154" spans="1:15" x14ac:dyDescent="0.35">
      <c r="B154" t="s">
        <v>11</v>
      </c>
      <c r="C154">
        <f>SUM(C147:C153)</f>
        <v>40254825029502</v>
      </c>
      <c r="D154">
        <f>SUM(D147:D153)</f>
        <v>1</v>
      </c>
      <c r="G154" t="s">
        <v>11</v>
      </c>
      <c r="H154">
        <f>SUM(H149:H153)</f>
        <v>1957017685330</v>
      </c>
      <c r="I154">
        <f>SUM(I149:I153)</f>
        <v>1</v>
      </c>
      <c r="M154" t="s">
        <v>11</v>
      </c>
      <c r="N154">
        <f>SUM(N149:N153)</f>
        <v>7615144785863</v>
      </c>
      <c r="O154">
        <f>SUM(O149:O153)</f>
        <v>1</v>
      </c>
    </row>
    <row r="155" spans="1:15" x14ac:dyDescent="0.35">
      <c r="A155" t="s">
        <v>4</v>
      </c>
      <c r="B155">
        <v>2019</v>
      </c>
      <c r="C155">
        <v>1848819479308</v>
      </c>
      <c r="D155">
        <f>C155/$C$162</f>
        <v>4.5209200416971553E-2</v>
      </c>
    </row>
    <row r="156" spans="1:15" x14ac:dyDescent="0.35">
      <c r="A156" t="s">
        <v>5</v>
      </c>
      <c r="B156">
        <v>2019</v>
      </c>
      <c r="C156">
        <v>3094645337796</v>
      </c>
      <c r="D156">
        <f t="shared" ref="D156:D161" si="22">C156/$C$162</f>
        <v>7.5673392054605562E-2</v>
      </c>
    </row>
    <row r="157" spans="1:15" x14ac:dyDescent="0.35">
      <c r="A157" t="s">
        <v>6</v>
      </c>
      <c r="B157">
        <v>2019</v>
      </c>
      <c r="C157">
        <v>4477412343898</v>
      </c>
      <c r="D157">
        <f t="shared" si="22"/>
        <v>0.10948620688509378</v>
      </c>
    </row>
    <row r="158" spans="1:15" x14ac:dyDescent="0.35">
      <c r="A158" t="s">
        <v>7</v>
      </c>
      <c r="B158">
        <v>2019</v>
      </c>
      <c r="C158">
        <v>2552764174037</v>
      </c>
      <c r="D158">
        <f t="shared" si="22"/>
        <v>6.2422766772502927E-2</v>
      </c>
    </row>
    <row r="159" spans="1:15" x14ac:dyDescent="0.35">
      <c r="A159" t="s">
        <v>8</v>
      </c>
      <c r="B159">
        <v>2019</v>
      </c>
      <c r="C159">
        <v>5274812506894</v>
      </c>
      <c r="D159">
        <f t="shared" si="22"/>
        <v>0.12898504070033739</v>
      </c>
    </row>
    <row r="160" spans="1:15" x14ac:dyDescent="0.35">
      <c r="A160" t="s">
        <v>9</v>
      </c>
      <c r="B160">
        <v>2019</v>
      </c>
      <c r="C160">
        <v>3135230411487</v>
      </c>
      <c r="D160">
        <f t="shared" si="22"/>
        <v>7.6665819249888426E-2</v>
      </c>
    </row>
    <row r="161" spans="1:4" x14ac:dyDescent="0.35">
      <c r="A161" t="s">
        <v>10</v>
      </c>
      <c r="B161">
        <v>2019</v>
      </c>
      <c r="C161">
        <v>20511077482157</v>
      </c>
      <c r="D161">
        <f t="shared" si="22"/>
        <v>0.50155757392060041</v>
      </c>
    </row>
    <row r="162" spans="1:4" x14ac:dyDescent="0.35">
      <c r="B162" t="s">
        <v>11</v>
      </c>
      <c r="C162">
        <f>SUM(C155:C161)</f>
        <v>40894761735577</v>
      </c>
      <c r="D162">
        <f>SUM(D155:D161)</f>
        <v>1</v>
      </c>
    </row>
    <row r="163" spans="1:4" x14ac:dyDescent="0.35">
      <c r="A163" t="s">
        <v>4</v>
      </c>
      <c r="B163">
        <v>2020</v>
      </c>
      <c r="C163">
        <v>1755671638033</v>
      </c>
      <c r="D163">
        <f>C163/$C$170</f>
        <v>4.4952020743065008E-2</v>
      </c>
    </row>
    <row r="164" spans="1:4" x14ac:dyDescent="0.35">
      <c r="A164" t="s">
        <v>5</v>
      </c>
      <c r="B164">
        <v>2020</v>
      </c>
      <c r="C164">
        <v>2861294869876</v>
      </c>
      <c r="D164">
        <f t="shared" ref="D164:D169" si="23">C164/$C$170</f>
        <v>7.3260274618774615E-2</v>
      </c>
    </row>
    <row r="165" spans="1:4" x14ac:dyDescent="0.35">
      <c r="A165" t="s">
        <v>6</v>
      </c>
      <c r="B165">
        <v>2020</v>
      </c>
      <c r="C165">
        <v>4306072129027</v>
      </c>
      <c r="D165">
        <f t="shared" si="23"/>
        <v>0.11025219037087246</v>
      </c>
    </row>
    <row r="166" spans="1:4" x14ac:dyDescent="0.35">
      <c r="A166" t="s">
        <v>7</v>
      </c>
      <c r="B166">
        <v>2020</v>
      </c>
      <c r="C166">
        <v>2323674212673</v>
      </c>
      <c r="D166">
        <f t="shared" si="23"/>
        <v>5.9495095293120297E-2</v>
      </c>
    </row>
    <row r="167" spans="1:4" x14ac:dyDescent="0.35">
      <c r="A167" t="s">
        <v>8</v>
      </c>
      <c r="B167">
        <v>2020</v>
      </c>
      <c r="C167">
        <v>5056059760508</v>
      </c>
      <c r="D167">
        <f t="shared" si="23"/>
        <v>0.12945479001253871</v>
      </c>
    </row>
    <row r="168" spans="1:4" x14ac:dyDescent="0.35">
      <c r="A168" t="s">
        <v>9</v>
      </c>
      <c r="B168">
        <v>2020</v>
      </c>
      <c r="C168">
        <v>2810423650417</v>
      </c>
      <c r="D168">
        <f t="shared" si="23"/>
        <v>7.195777359135698E-2</v>
      </c>
    </row>
    <row r="169" spans="1:4" x14ac:dyDescent="0.35">
      <c r="A169" t="s">
        <v>10</v>
      </c>
      <c r="B169">
        <v>2020</v>
      </c>
      <c r="C169">
        <v>19943371364490</v>
      </c>
      <c r="D169">
        <f t="shared" si="23"/>
        <v>0.51062785537027189</v>
      </c>
    </row>
    <row r="170" spans="1:4" x14ac:dyDescent="0.35">
      <c r="B170" t="s">
        <v>11</v>
      </c>
      <c r="C170">
        <f>SUM(C163:C169)</f>
        <v>39056567625024</v>
      </c>
      <c r="D170">
        <f>SUM(D163:D169)</f>
        <v>1</v>
      </c>
    </row>
    <row r="171" spans="1:4" x14ac:dyDescent="0.35">
      <c r="A171" t="s">
        <v>4</v>
      </c>
      <c r="B171">
        <v>2021</v>
      </c>
      <c r="C171">
        <v>1848493240684</v>
      </c>
      <c r="D171">
        <f>C171/$C$178</f>
        <v>4.4842533928243368E-2</v>
      </c>
    </row>
    <row r="172" spans="1:4" x14ac:dyDescent="0.35">
      <c r="A172" t="s">
        <v>5</v>
      </c>
      <c r="B172">
        <v>2021</v>
      </c>
      <c r="C172">
        <v>3045425192628</v>
      </c>
      <c r="D172">
        <f t="shared" ref="D172:D177" si="24">C172/$C$178</f>
        <v>7.3878864969944419E-2</v>
      </c>
    </row>
    <row r="173" spans="1:4" x14ac:dyDescent="0.35">
      <c r="A173" t="s">
        <v>6</v>
      </c>
      <c r="B173">
        <v>2021</v>
      </c>
      <c r="C173">
        <v>4442308497760</v>
      </c>
      <c r="D173">
        <f t="shared" si="24"/>
        <v>0.10776580900929604</v>
      </c>
    </row>
    <row r="174" spans="1:4" x14ac:dyDescent="0.35">
      <c r="A174" t="s">
        <v>7</v>
      </c>
      <c r="B174">
        <v>2021</v>
      </c>
      <c r="C174">
        <v>2516858917286</v>
      </c>
      <c r="D174">
        <f t="shared" si="24"/>
        <v>6.1056393881774085E-2</v>
      </c>
    </row>
    <row r="175" spans="1:4" x14ac:dyDescent="0.35">
      <c r="A175" t="s">
        <v>8</v>
      </c>
      <c r="B175">
        <v>2021</v>
      </c>
      <c r="C175">
        <v>5185460521238</v>
      </c>
      <c r="D175">
        <f t="shared" si="24"/>
        <v>0.12579390837866333</v>
      </c>
    </row>
    <row r="176" spans="1:4" x14ac:dyDescent="0.35">
      <c r="A176" t="s">
        <v>9</v>
      </c>
      <c r="B176">
        <v>2021</v>
      </c>
      <c r="C176">
        <v>3054225207300</v>
      </c>
      <c r="D176">
        <f t="shared" si="24"/>
        <v>7.4092344223107481E-2</v>
      </c>
    </row>
    <row r="177" spans="1:4" x14ac:dyDescent="0.35">
      <c r="A177" t="s">
        <v>10</v>
      </c>
      <c r="B177">
        <v>2021</v>
      </c>
      <c r="C177">
        <v>21129101469840</v>
      </c>
      <c r="D177">
        <f t="shared" si="24"/>
        <v>0.51257014560897129</v>
      </c>
    </row>
    <row r="178" spans="1:4" x14ac:dyDescent="0.35">
      <c r="B178" t="s">
        <v>11</v>
      </c>
      <c r="C178">
        <f>SUM(C171:C177)</f>
        <v>41221873046736</v>
      </c>
      <c r="D178">
        <f>SUM(D171:D177)</f>
        <v>1</v>
      </c>
    </row>
    <row r="179" spans="1:4" x14ac:dyDescent="0.35">
      <c r="A179" t="s">
        <v>4</v>
      </c>
      <c r="B179">
        <v>2022</v>
      </c>
      <c r="C179">
        <v>1919103211766</v>
      </c>
      <c r="D179">
        <f>C179/$C$186</f>
        <v>4.5549276239784241E-2</v>
      </c>
    </row>
    <row r="180" spans="1:4" x14ac:dyDescent="0.35">
      <c r="A180" t="s">
        <v>5</v>
      </c>
      <c r="B180">
        <v>2022</v>
      </c>
      <c r="C180">
        <v>3120183016557</v>
      </c>
      <c r="D180">
        <f t="shared" ref="D180:D185" si="25">C180/$C$186</f>
        <v>7.4056505803590564E-2</v>
      </c>
    </row>
    <row r="181" spans="1:4" x14ac:dyDescent="0.35">
      <c r="A181" t="s">
        <v>6</v>
      </c>
      <c r="B181">
        <v>2022</v>
      </c>
      <c r="C181">
        <v>4522545872199</v>
      </c>
      <c r="D181">
        <f t="shared" si="25"/>
        <v>0.1073411216118615</v>
      </c>
    </row>
    <row r="182" spans="1:4" x14ac:dyDescent="0.35">
      <c r="A182" t="s">
        <v>7</v>
      </c>
      <c r="B182">
        <v>2022</v>
      </c>
      <c r="C182">
        <v>2610600572587</v>
      </c>
      <c r="D182">
        <f>C182/$C$186</f>
        <v>6.1961736035593282E-2</v>
      </c>
    </row>
    <row r="183" spans="1:4" x14ac:dyDescent="0.35">
      <c r="A183" t="s">
        <v>8</v>
      </c>
      <c r="B183">
        <v>2022</v>
      </c>
      <c r="C183">
        <v>5234968028228</v>
      </c>
      <c r="D183">
        <f t="shared" si="25"/>
        <v>0.12425022446018935</v>
      </c>
    </row>
    <row r="184" spans="1:4" x14ac:dyDescent="0.35">
      <c r="A184" t="s">
        <v>9</v>
      </c>
      <c r="B184">
        <v>2022</v>
      </c>
      <c r="C184">
        <v>3186978981257</v>
      </c>
      <c r="D184">
        <f t="shared" si="25"/>
        <v>7.5641885802524234E-2</v>
      </c>
    </row>
    <row r="185" spans="1:4" x14ac:dyDescent="0.35">
      <c r="A185" t="s">
        <v>10</v>
      </c>
      <c r="B185">
        <v>2022</v>
      </c>
      <c r="C185">
        <v>21538083666841</v>
      </c>
      <c r="D185">
        <f t="shared" si="25"/>
        <v>0.51119925004645683</v>
      </c>
    </row>
    <row r="186" spans="1:4" x14ac:dyDescent="0.35">
      <c r="B186" t="s">
        <v>11</v>
      </c>
      <c r="C186">
        <f>SUM(C179:C185)</f>
        <v>42132463349435</v>
      </c>
      <c r="D186">
        <f>SUM(D179:D185)</f>
        <v>1</v>
      </c>
    </row>
    <row r="188" spans="1:4" x14ac:dyDescent="0.35">
      <c r="A188" t="s">
        <v>4</v>
      </c>
      <c r="B188">
        <v>2023</v>
      </c>
      <c r="C188">
        <v>2305499512574</v>
      </c>
      <c r="D188">
        <f>C188/$C$195</f>
        <v>4.7391888893781979E-2</v>
      </c>
    </row>
    <row r="189" spans="1:4" x14ac:dyDescent="0.35">
      <c r="A189" t="s">
        <v>5</v>
      </c>
      <c r="B189">
        <v>2023</v>
      </c>
      <c r="C189">
        <v>3688744880326</v>
      </c>
      <c r="D189">
        <f t="shared" ref="D189:D194" si="26">C189/$C$195</f>
        <v>7.582590522031428E-2</v>
      </c>
    </row>
    <row r="190" spans="1:4" x14ac:dyDescent="0.35">
      <c r="A190" t="s">
        <v>6</v>
      </c>
      <c r="B190">
        <v>2023</v>
      </c>
      <c r="C190">
        <v>5259521323498</v>
      </c>
      <c r="D190">
        <f t="shared" si="26"/>
        <v>0.10811481366109978</v>
      </c>
    </row>
    <row r="191" spans="1:4" x14ac:dyDescent="0.35">
      <c r="A191" t="s">
        <v>7</v>
      </c>
      <c r="B191">
        <v>2023</v>
      </c>
      <c r="C191">
        <v>3110474990168</v>
      </c>
      <c r="D191">
        <f t="shared" si="26"/>
        <v>6.3938979096269916E-2</v>
      </c>
    </row>
    <row r="192" spans="1:4" x14ac:dyDescent="0.35">
      <c r="A192" t="s">
        <v>8</v>
      </c>
      <c r="B192">
        <v>2023</v>
      </c>
      <c r="C192">
        <v>5710166656067</v>
      </c>
      <c r="D192">
        <f t="shared" si="26"/>
        <v>0.11737828711452389</v>
      </c>
    </row>
    <row r="193" spans="1:4" x14ac:dyDescent="0.35">
      <c r="A193" t="s">
        <v>9</v>
      </c>
      <c r="B193">
        <v>2023</v>
      </c>
      <c r="C193">
        <v>3596029676628</v>
      </c>
      <c r="D193">
        <f t="shared" si="26"/>
        <v>7.3920049847777544E-2</v>
      </c>
    </row>
    <row r="194" spans="1:4" x14ac:dyDescent="0.35">
      <c r="A194" t="s">
        <v>10</v>
      </c>
      <c r="B194">
        <v>2023</v>
      </c>
      <c r="C194">
        <v>24977117772096</v>
      </c>
      <c r="D194">
        <f t="shared" si="26"/>
        <v>0.5134300761662326</v>
      </c>
    </row>
    <row r="195" spans="1:4" x14ac:dyDescent="0.35">
      <c r="B195" t="s">
        <v>11</v>
      </c>
      <c r="C195">
        <f>SUM(C188:C194)</f>
        <v>48647554811357</v>
      </c>
      <c r="D195">
        <f>SUM(D188:D194)</f>
        <v>1</v>
      </c>
    </row>
    <row r="197" spans="1:4" x14ac:dyDescent="0.35">
      <c r="A197" t="s">
        <v>4</v>
      </c>
      <c r="B197">
        <v>2024</v>
      </c>
      <c r="C197">
        <v>2340729415083</v>
      </c>
      <c r="D197">
        <f>C197/$C$204</f>
        <v>4.7387021608942731E-2</v>
      </c>
    </row>
    <row r="198" spans="1:4" x14ac:dyDescent="0.35">
      <c r="A198" t="s">
        <v>5</v>
      </c>
      <c r="B198">
        <v>2024</v>
      </c>
      <c r="C198">
        <v>3688744880326</v>
      </c>
      <c r="D198">
        <f t="shared" ref="D198:D203" si="27">C198/$C$204</f>
        <v>7.4676992662001826E-2</v>
      </c>
    </row>
    <row r="199" spans="1:4" x14ac:dyDescent="0.35">
      <c r="A199" t="s">
        <v>6</v>
      </c>
      <c r="B199">
        <v>2024</v>
      </c>
      <c r="C199">
        <v>5246975952526</v>
      </c>
      <c r="D199">
        <f t="shared" si="27"/>
        <v>0.10622268479295201</v>
      </c>
    </row>
    <row r="200" spans="1:4" x14ac:dyDescent="0.35">
      <c r="A200" t="s">
        <v>7</v>
      </c>
      <c r="B200">
        <v>2024</v>
      </c>
      <c r="C200">
        <v>3133050580636</v>
      </c>
      <c r="D200">
        <f t="shared" si="27"/>
        <v>6.3427209744892382E-2</v>
      </c>
    </row>
    <row r="201" spans="1:4" x14ac:dyDescent="0.35">
      <c r="A201" t="s">
        <v>8</v>
      </c>
      <c r="B201">
        <v>2024</v>
      </c>
      <c r="C201">
        <v>5714945983582</v>
      </c>
      <c r="D201">
        <f t="shared" si="27"/>
        <v>0.11569652907033591</v>
      </c>
    </row>
    <row r="202" spans="1:4" x14ac:dyDescent="0.35">
      <c r="A202" t="s">
        <v>9</v>
      </c>
      <c r="B202">
        <v>2024</v>
      </c>
      <c r="C202">
        <v>3596029676628</v>
      </c>
      <c r="D202">
        <f t="shared" si="27"/>
        <v>7.2800014770920449E-2</v>
      </c>
    </row>
    <row r="203" spans="1:4" x14ac:dyDescent="0.35">
      <c r="A203" t="s">
        <v>10</v>
      </c>
      <c r="B203">
        <v>2024</v>
      </c>
      <c r="C203">
        <v>25675525530499</v>
      </c>
      <c r="D203">
        <f t="shared" si="27"/>
        <v>0.51978954734995475</v>
      </c>
    </row>
    <row r="204" spans="1:4" x14ac:dyDescent="0.35">
      <c r="B204" t="s">
        <v>11</v>
      </c>
      <c r="C204">
        <f>SUM(C197:C203)</f>
        <v>49396002019280</v>
      </c>
      <c r="D204">
        <f>SUM(D197:D203)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99FF-C5F8-424B-B5D7-38D88BF12204}">
  <dimension ref="A1:AZ302"/>
  <sheetViews>
    <sheetView topLeftCell="AK1" workbookViewId="0">
      <selection activeCell="AV4" sqref="AV4:AW302"/>
    </sheetView>
  </sheetViews>
  <sheetFormatPr defaultRowHeight="14.5" x14ac:dyDescent="0.35"/>
  <cols>
    <col min="1" max="1" width="15.1796875" bestFit="1" customWidth="1"/>
    <col min="2" max="2" width="8.7265625" customWidth="1"/>
    <col min="51" max="51" width="27.7265625" bestFit="1" customWidth="1"/>
  </cols>
  <sheetData>
    <row r="1" spans="1:52" x14ac:dyDescent="0.35">
      <c r="B1" t="s">
        <v>26</v>
      </c>
      <c r="I1" t="s">
        <v>5</v>
      </c>
      <c r="P1" t="s">
        <v>31</v>
      </c>
      <c r="W1" t="s">
        <v>32</v>
      </c>
      <c r="AD1" t="s">
        <v>8</v>
      </c>
      <c r="AK1" t="s">
        <v>33</v>
      </c>
      <c r="AR1" t="s">
        <v>34</v>
      </c>
      <c r="AY1" t="s">
        <v>35</v>
      </c>
    </row>
    <row r="2" spans="1:52" x14ac:dyDescent="0.35">
      <c r="B2" t="s">
        <v>27</v>
      </c>
      <c r="C2" t="s">
        <v>28</v>
      </c>
      <c r="D2" t="s">
        <v>29</v>
      </c>
      <c r="E2" s="3" t="s">
        <v>30</v>
      </c>
      <c r="F2" t="s">
        <v>38</v>
      </c>
      <c r="G2" t="s">
        <v>39</v>
      </c>
      <c r="I2" t="s">
        <v>27</v>
      </c>
      <c r="J2" t="s">
        <v>28</v>
      </c>
      <c r="K2" t="s">
        <v>29</v>
      </c>
      <c r="L2" s="3" t="s">
        <v>30</v>
      </c>
      <c r="M2" t="s">
        <v>38</v>
      </c>
      <c r="N2" t="s">
        <v>39</v>
      </c>
      <c r="P2" t="s">
        <v>27</v>
      </c>
      <c r="Q2" t="s">
        <v>28</v>
      </c>
      <c r="R2" t="s">
        <v>29</v>
      </c>
      <c r="S2" s="3" t="s">
        <v>30</v>
      </c>
      <c r="T2" t="s">
        <v>38</v>
      </c>
      <c r="U2" t="s">
        <v>39</v>
      </c>
      <c r="W2" t="s">
        <v>27</v>
      </c>
      <c r="X2" t="s">
        <v>28</v>
      </c>
      <c r="Y2" t="s">
        <v>29</v>
      </c>
      <c r="Z2" s="3" t="s">
        <v>30</v>
      </c>
      <c r="AA2" t="s">
        <v>38</v>
      </c>
      <c r="AB2" t="s">
        <v>39</v>
      </c>
      <c r="AD2" t="s">
        <v>27</v>
      </c>
      <c r="AE2" t="s">
        <v>28</v>
      </c>
      <c r="AF2" t="s">
        <v>29</v>
      </c>
      <c r="AG2" s="3" t="s">
        <v>30</v>
      </c>
      <c r="AH2" t="s">
        <v>38</v>
      </c>
      <c r="AI2" t="s">
        <v>39</v>
      </c>
      <c r="AJ2" s="3"/>
      <c r="AK2" t="s">
        <v>27</v>
      </c>
      <c r="AL2" t="s">
        <v>28</v>
      </c>
      <c r="AM2" t="s">
        <v>29</v>
      </c>
      <c r="AN2" s="3" t="s">
        <v>30</v>
      </c>
      <c r="AO2" t="s">
        <v>38</v>
      </c>
      <c r="AP2" t="s">
        <v>39</v>
      </c>
      <c r="AR2" t="s">
        <v>27</v>
      </c>
      <c r="AS2" t="s">
        <v>28</v>
      </c>
      <c r="AT2" t="s">
        <v>29</v>
      </c>
      <c r="AU2" s="3" t="s">
        <v>30</v>
      </c>
      <c r="AV2" t="s">
        <v>38</v>
      </c>
      <c r="AW2" t="s">
        <v>39</v>
      </c>
      <c r="AY2" t="s">
        <v>36</v>
      </c>
      <c r="AZ2" t="s">
        <v>37</v>
      </c>
    </row>
    <row r="3" spans="1:52" x14ac:dyDescent="0.35">
      <c r="A3" s="2">
        <v>36526</v>
      </c>
      <c r="B3">
        <v>58.961620000000003</v>
      </c>
      <c r="C3">
        <v>4.1278033136215593E-2</v>
      </c>
      <c r="D3">
        <f t="shared" ref="D3:D14" si="0">B3*C3</f>
        <v>2.4338197041249523</v>
      </c>
      <c r="I3">
        <v>98.183589999999995</v>
      </c>
      <c r="J3">
        <v>7.8813555315199652E-2</v>
      </c>
      <c r="K3">
        <f>I3*J3</f>
        <v>7.7381978015098829</v>
      </c>
      <c r="P3">
        <v>86.165819999999997</v>
      </c>
      <c r="Q3">
        <v>0.11492806243232936</v>
      </c>
      <c r="R3">
        <f>P3*Q3</f>
        <v>9.9028707404928547</v>
      </c>
      <c r="W3">
        <v>144.1319</v>
      </c>
      <c r="X3">
        <v>7.9835739538799064E-2</v>
      </c>
      <c r="Y3">
        <f>W3*X3</f>
        <v>11.506876827632233</v>
      </c>
      <c r="AD3">
        <v>106.8891</v>
      </c>
      <c r="AE3">
        <v>0.15003767852220129</v>
      </c>
      <c r="AF3">
        <f>AD3*AE3</f>
        <v>16.037392423327425</v>
      </c>
      <c r="AK3">
        <v>98.463170000000005</v>
      </c>
      <c r="AL3">
        <v>7.4115348108481666E-2</v>
      </c>
      <c r="AM3">
        <f>AK3*AL3</f>
        <v>7.2976321204146091</v>
      </c>
      <c r="AR3">
        <v>62.866019999999999</v>
      </c>
      <c r="AS3">
        <v>0.46099158294677339</v>
      </c>
      <c r="AT3">
        <f>AR3*AS3</f>
        <v>28.980706073363514</v>
      </c>
      <c r="AY3" s="4">
        <f t="shared" ref="AY3:AY66" si="1">AT3+AM3+AF3+Y3+R3+K3+D3</f>
        <v>83.897495690865483</v>
      </c>
    </row>
    <row r="4" spans="1:52" x14ac:dyDescent="0.35">
      <c r="A4" s="2">
        <v>36557</v>
      </c>
      <c r="B4">
        <v>64.062290000000004</v>
      </c>
      <c r="C4">
        <v>4.1278033136215593E-2</v>
      </c>
      <c r="D4">
        <f t="shared" si="0"/>
        <v>2.644365329401853</v>
      </c>
      <c r="E4">
        <f>((B4/B3)-1)*100</f>
        <v>8.650830828596634</v>
      </c>
      <c r="F4">
        <f t="shared" ref="F4:F67" si="2">ABS(E4-$AZ4)</f>
        <v>6.1110507617806453</v>
      </c>
      <c r="I4">
        <v>105.3725</v>
      </c>
      <c r="J4">
        <v>7.8813555315199652E-2</v>
      </c>
      <c r="K4">
        <f t="shared" ref="K4:K67" si="3">I4*J4</f>
        <v>8.3047813574508762</v>
      </c>
      <c r="L4">
        <f>((I4/I3)-1)*100</f>
        <v>7.3219058296809081</v>
      </c>
      <c r="M4">
        <f t="shared" ref="M4:M67" si="4">ABS(L4-$AZ4)</f>
        <v>4.7821257628649194</v>
      </c>
      <c r="P4">
        <v>95.00121</v>
      </c>
      <c r="Q4">
        <v>0.11492806243232936</v>
      </c>
      <c r="R4">
        <f t="shared" ref="R4:R67" si="5">P4*Q4</f>
        <v>10.918304994026833</v>
      </c>
      <c r="S4">
        <f>((P4/P3)-1)*100</f>
        <v>10.253938278542464</v>
      </c>
      <c r="T4">
        <f>ABS(S4-$AZ4)</f>
        <v>7.7141582117264749</v>
      </c>
      <c r="W4">
        <v>163.17230000000001</v>
      </c>
      <c r="X4">
        <v>7.9835739538799064E-2</v>
      </c>
      <c r="Y4">
        <f t="shared" ref="Y4:Y67" si="6">W4*X4</f>
        <v>13.026981242746784</v>
      </c>
      <c r="Z4">
        <f>((W4/W3)-1)*100</f>
        <v>13.210399640884507</v>
      </c>
      <c r="AA4">
        <f>ABS(Z4-$AZ4)</f>
        <v>10.670619574068517</v>
      </c>
      <c r="AD4">
        <v>110.41070000000001</v>
      </c>
      <c r="AE4">
        <v>0.15003767852220129</v>
      </c>
      <c r="AF4">
        <f t="shared" ref="AF4:AF67" si="7">AD4*AE4</f>
        <v>16.56576511201121</v>
      </c>
      <c r="AG4">
        <f>((AD4/AD3)-1)*100</f>
        <v>3.2946296675713471</v>
      </c>
      <c r="AH4">
        <f>ABS(AG4-$AZ4)</f>
        <v>0.75484960075535845</v>
      </c>
      <c r="AK4">
        <v>93.687880000000007</v>
      </c>
      <c r="AL4">
        <v>7.4115348108481666E-2</v>
      </c>
      <c r="AM4">
        <f t="shared" ref="AM4:AM67" si="8">AK4*AL4</f>
        <v>6.943709839745658</v>
      </c>
      <c r="AN4">
        <f>((AK4/AK3)-1)*100</f>
        <v>-4.8498235431583154</v>
      </c>
      <c r="AO4">
        <f>ABS(AN4-$AZ4)</f>
        <v>7.3896036099743041</v>
      </c>
      <c r="AR4">
        <v>59.923870000000001</v>
      </c>
      <c r="AS4">
        <v>0.46099158294677339</v>
      </c>
      <c r="AT4">
        <f t="shared" ref="AT4:AT67" si="9">AR4*AS4</f>
        <v>27.624399687596664</v>
      </c>
      <c r="AU4">
        <f>((AR4/AR3)-1)*100</f>
        <v>-4.6800322336295501</v>
      </c>
      <c r="AV4">
        <f>ABS(AU4-$AZ4)</f>
        <v>7.2198123004455388</v>
      </c>
      <c r="AY4" s="4">
        <f t="shared" si="1"/>
        <v>86.02830756297989</v>
      </c>
      <c r="AZ4">
        <f>((AY4/AY3)-1)*100</f>
        <v>2.5397800668159887</v>
      </c>
    </row>
    <row r="5" spans="1:52" x14ac:dyDescent="0.35">
      <c r="A5" s="2">
        <v>36586</v>
      </c>
      <c r="B5">
        <v>66.829560000000001</v>
      </c>
      <c r="C5">
        <v>4.1278033136215593E-2</v>
      </c>
      <c r="D5">
        <f t="shared" si="0"/>
        <v>2.7585927921587081</v>
      </c>
      <c r="E5">
        <f t="shared" ref="E5:E68" si="10">((B5/B4)-1)*100</f>
        <v>4.3196551356500024</v>
      </c>
      <c r="F5">
        <f t="shared" si="2"/>
        <v>1.5302692496629966</v>
      </c>
      <c r="G5">
        <f>ABS(F5-F4)</f>
        <v>4.5807815121176487</v>
      </c>
      <c r="I5">
        <v>109.6896</v>
      </c>
      <c r="J5">
        <v>7.8813555315199652E-2</v>
      </c>
      <c r="K5">
        <f t="shared" si="3"/>
        <v>8.6450273571021228</v>
      </c>
      <c r="L5">
        <f t="shared" ref="L5:L68" si="11">((I5/I4)-1)*100</f>
        <v>4.0969892524140405</v>
      </c>
      <c r="M5">
        <f t="shared" si="4"/>
        <v>1.3076033664270348</v>
      </c>
      <c r="N5">
        <f>ABS(M5-M4)</f>
        <v>3.4745223964378846</v>
      </c>
      <c r="P5">
        <v>99.834370000000007</v>
      </c>
      <c r="Q5">
        <v>0.11492806243232936</v>
      </c>
      <c r="R5">
        <f t="shared" si="5"/>
        <v>11.473770708252271</v>
      </c>
      <c r="S5">
        <f t="shared" ref="S5:S68" si="12">((P5/P4)-1)*100</f>
        <v>5.0874720437771304</v>
      </c>
      <c r="T5">
        <f t="shared" ref="T5:T68" si="13">ABS(S5-$AZ5)</f>
        <v>2.2980861577901246</v>
      </c>
      <c r="U5">
        <f>ABS(T5-AA4)</f>
        <v>8.3725334162783938</v>
      </c>
      <c r="W5">
        <v>171.77109999999999</v>
      </c>
      <c r="X5">
        <v>7.9835739538799064E-2</v>
      </c>
      <c r="Y5">
        <f t="shared" si="6"/>
        <v>13.713472799893006</v>
      </c>
      <c r="Z5">
        <f t="shared" ref="Z5:Z68" si="14">((W5/W4)-1)*100</f>
        <v>5.2697669886371479</v>
      </c>
      <c r="AA5">
        <f t="shared" ref="AA5:AA68" si="15">ABS(Z5-$AZ5)</f>
        <v>2.4803811026501421</v>
      </c>
      <c r="AB5">
        <f>ABS(AA5-AH4)</f>
        <v>1.7255315018947837</v>
      </c>
      <c r="AD5">
        <v>107.1534</v>
      </c>
      <c r="AE5">
        <v>0.15003767852220129</v>
      </c>
      <c r="AF5">
        <f t="shared" si="7"/>
        <v>16.077047381760845</v>
      </c>
      <c r="AG5">
        <f t="shared" ref="AG5:AG68" si="16">((AD5/AD4)-1)*100</f>
        <v>-2.9501669675131126</v>
      </c>
      <c r="AH5">
        <f t="shared" ref="AH5:AH68" si="17">ABS(AG5-$AZ5)</f>
        <v>5.7395528535001183</v>
      </c>
      <c r="AI5">
        <f>ABS(AH5-AQ4)</f>
        <v>5.7395528535001183</v>
      </c>
      <c r="AK5">
        <v>99.191320000000005</v>
      </c>
      <c r="AL5">
        <v>7.4115348108481666E-2</v>
      </c>
      <c r="AM5">
        <f t="shared" si="8"/>
        <v>7.3515992111398001</v>
      </c>
      <c r="AN5">
        <f t="shared" ref="AN5:AN68" si="18">((AK5/AK4)-1)*100</f>
        <v>5.8742283420224695</v>
      </c>
      <c r="AO5">
        <f t="shared" ref="AO5:AO68" si="19">ABS(AN5-$AZ5)</f>
        <v>3.0848424560354637</v>
      </c>
      <c r="AP5">
        <f>ABS(AO5-AZ4)</f>
        <v>0.54506238921947503</v>
      </c>
      <c r="AR5">
        <v>61.624679999999998</v>
      </c>
      <c r="AS5">
        <v>0.46099158294677339</v>
      </c>
      <c r="AT5">
        <f t="shared" si="9"/>
        <v>28.408458781788365</v>
      </c>
      <c r="AU5">
        <f t="shared" ref="AU5:AU68" si="20">((AR5/AR4)-1)*100</f>
        <v>2.8382846434984899</v>
      </c>
      <c r="AV5">
        <f t="shared" ref="AV5:AV68" si="21">ABS(AU5-$AZ5)</f>
        <v>4.8898757511484092E-2</v>
      </c>
      <c r="AW5">
        <f>ABS(AV5-BG4)</f>
        <v>4.8898757511484092E-2</v>
      </c>
      <c r="AY5" s="4">
        <f t="shared" si="1"/>
        <v>88.427969032095135</v>
      </c>
      <c r="AZ5">
        <f t="shared" ref="AZ5:AZ68" si="22">((AY5/AY4)-1)*100</f>
        <v>2.7893858859870058</v>
      </c>
    </row>
    <row r="6" spans="1:52" x14ac:dyDescent="0.35">
      <c r="A6" s="2">
        <v>36617</v>
      </c>
      <c r="B6">
        <v>63.716250000000002</v>
      </c>
      <c r="C6">
        <v>4.1278033136215593E-2</v>
      </c>
      <c r="D6">
        <f t="shared" si="0"/>
        <v>2.6300814788153968</v>
      </c>
      <c r="E6">
        <f t="shared" si="10"/>
        <v>-4.6585822202031562</v>
      </c>
      <c r="F6">
        <f t="shared" si="2"/>
        <v>2.8836550290508582</v>
      </c>
      <c r="G6">
        <f t="shared" ref="G6:G69" si="23">ABS(F6-F5)</f>
        <v>1.3533857793878616</v>
      </c>
      <c r="I6">
        <v>105.852</v>
      </c>
      <c r="J6">
        <v>7.8813555315199652E-2</v>
      </c>
      <c r="K6">
        <f t="shared" si="3"/>
        <v>8.342572457224513</v>
      </c>
      <c r="L6">
        <f t="shared" si="11"/>
        <v>-3.4985996849291046</v>
      </c>
      <c r="M6">
        <f t="shared" si="4"/>
        <v>1.7236724937768066</v>
      </c>
      <c r="N6">
        <f t="shared" ref="N6:N69" si="24">ABS(M6-M5)</f>
        <v>0.41606912734977186</v>
      </c>
      <c r="P6">
        <v>92.570179999999993</v>
      </c>
      <c r="Q6">
        <v>0.11492806243232936</v>
      </c>
      <c r="R6">
        <f t="shared" si="5"/>
        <v>10.638911426411966</v>
      </c>
      <c r="S6">
        <f t="shared" si="12"/>
        <v>-7.276241639026737</v>
      </c>
      <c r="T6">
        <f t="shared" si="13"/>
        <v>5.5013144478744387</v>
      </c>
      <c r="U6">
        <f t="shared" ref="U6:U69" si="25">ABS(T6-T5)</f>
        <v>3.2032282900843141</v>
      </c>
      <c r="W6">
        <v>157.5129</v>
      </c>
      <c r="X6">
        <v>7.9835739538799064E-2</v>
      </c>
      <c r="Y6">
        <f t="shared" si="6"/>
        <v>12.575158858400902</v>
      </c>
      <c r="Z6">
        <f t="shared" si="14"/>
        <v>-8.3006978473095785</v>
      </c>
      <c r="AA6">
        <f t="shared" si="15"/>
        <v>6.525770656157281</v>
      </c>
      <c r="AB6">
        <f t="shared" ref="AB6:AB69" si="26">ABS(AA6-AH5)</f>
        <v>0.78621780265716268</v>
      </c>
      <c r="AD6">
        <v>107.1289</v>
      </c>
      <c r="AE6">
        <v>0.15003767852220129</v>
      </c>
      <c r="AF6">
        <f t="shared" si="7"/>
        <v>16.073371458637052</v>
      </c>
      <c r="AG6">
        <f t="shared" si="16"/>
        <v>-2.2864416808054955E-2</v>
      </c>
      <c r="AH6">
        <f t="shared" si="17"/>
        <v>1.752062774344243</v>
      </c>
      <c r="AI6">
        <f t="shared" ref="AI6:AI69" si="27">ABS(AH6-AQ5)</f>
        <v>1.752062774344243</v>
      </c>
      <c r="AK6">
        <v>95.614400000000003</v>
      </c>
      <c r="AL6">
        <v>7.4115348108481666E-2</v>
      </c>
      <c r="AM6">
        <f t="shared" si="8"/>
        <v>7.0864945401836099</v>
      </c>
      <c r="AN6">
        <f t="shared" si="18"/>
        <v>-3.606081661177607</v>
      </c>
      <c r="AO6">
        <f t="shared" si="19"/>
        <v>1.8311544700253091</v>
      </c>
      <c r="AP6">
        <f t="shared" ref="AP6:AP69" si="28">ABS(AO6-AZ5)</f>
        <v>0.9582314159616967</v>
      </c>
      <c r="AR6">
        <v>64.018190000000004</v>
      </c>
      <c r="AS6">
        <v>0.46099158294677339</v>
      </c>
      <c r="AT6">
        <f t="shared" si="9"/>
        <v>29.511846745487301</v>
      </c>
      <c r="AU6">
        <f t="shared" si="20"/>
        <v>3.8840120549104684</v>
      </c>
      <c r="AV6">
        <f t="shared" si="21"/>
        <v>5.6589392460627668</v>
      </c>
      <c r="AW6">
        <f t="shared" ref="AW6:AW69" si="29">ABS(AV6-BG5)</f>
        <v>5.6589392460627668</v>
      </c>
      <c r="AY6" s="4">
        <f t="shared" si="1"/>
        <v>86.858436965160749</v>
      </c>
      <c r="AZ6">
        <f t="shared" si="22"/>
        <v>-1.7749271911522979</v>
      </c>
    </row>
    <row r="7" spans="1:52" x14ac:dyDescent="0.35">
      <c r="A7" s="2">
        <v>36647</v>
      </c>
      <c r="B7">
        <v>64.83278</v>
      </c>
      <c r="C7">
        <v>4.1278033136215593E-2</v>
      </c>
      <c r="D7">
        <f t="shared" si="0"/>
        <v>2.6761696411529754</v>
      </c>
      <c r="E7">
        <f t="shared" si="10"/>
        <v>1.7523473211307872</v>
      </c>
      <c r="F7">
        <f t="shared" si="2"/>
        <v>2.5375629666863242</v>
      </c>
      <c r="G7">
        <f t="shared" si="23"/>
        <v>0.34609206236453405</v>
      </c>
      <c r="I7">
        <v>107.8977</v>
      </c>
      <c r="J7">
        <v>7.8813555315199652E-2</v>
      </c>
      <c r="K7">
        <f t="shared" si="3"/>
        <v>8.5038013473328178</v>
      </c>
      <c r="L7">
        <f t="shared" si="11"/>
        <v>1.9326040131504296</v>
      </c>
      <c r="M7">
        <f t="shared" si="4"/>
        <v>2.7178196587059666</v>
      </c>
      <c r="N7">
        <f t="shared" si="24"/>
        <v>0.99414716492916</v>
      </c>
      <c r="P7">
        <v>90.464950000000002</v>
      </c>
      <c r="Q7">
        <v>0.11492806243232936</v>
      </c>
      <c r="R7">
        <f t="shared" si="5"/>
        <v>10.396961421537554</v>
      </c>
      <c r="S7">
        <f t="shared" si="12"/>
        <v>-2.2741988834849347</v>
      </c>
      <c r="T7">
        <f t="shared" si="13"/>
        <v>1.4889832379293977</v>
      </c>
      <c r="U7">
        <f t="shared" si="25"/>
        <v>4.0123312099450406</v>
      </c>
      <c r="W7">
        <v>160.9872</v>
      </c>
      <c r="X7">
        <v>7.9835739538799064E-2</v>
      </c>
      <c r="Y7">
        <f t="shared" si="6"/>
        <v>12.852532168280552</v>
      </c>
      <c r="Z7">
        <f t="shared" si="14"/>
        <v>2.2057241025973173</v>
      </c>
      <c r="AA7">
        <f t="shared" si="15"/>
        <v>2.9909397481528543</v>
      </c>
      <c r="AB7">
        <f t="shared" si="26"/>
        <v>1.2388769738086114</v>
      </c>
      <c r="AD7">
        <v>103.72790000000001</v>
      </c>
      <c r="AE7">
        <v>0.15003767852220129</v>
      </c>
      <c r="AF7">
        <f t="shared" si="7"/>
        <v>15.563093313983044</v>
      </c>
      <c r="AG7">
        <f t="shared" si="16"/>
        <v>-3.1746802216768732</v>
      </c>
      <c r="AH7">
        <f t="shared" si="17"/>
        <v>2.3894645761213362</v>
      </c>
      <c r="AI7">
        <f t="shared" si="27"/>
        <v>2.3894645761213362</v>
      </c>
      <c r="AK7">
        <v>94.250600000000006</v>
      </c>
      <c r="AL7">
        <v>7.4115348108481666E-2</v>
      </c>
      <c r="AM7">
        <f t="shared" si="8"/>
        <v>6.9854160284332627</v>
      </c>
      <c r="AN7">
        <f t="shared" si="18"/>
        <v>-1.4263541893271281</v>
      </c>
      <c r="AO7">
        <f t="shared" si="19"/>
        <v>0.64113854377159107</v>
      </c>
      <c r="AP7">
        <f t="shared" si="28"/>
        <v>2.416065734923889</v>
      </c>
      <c r="AR7">
        <v>63.338329999999999</v>
      </c>
      <c r="AS7">
        <v>0.46099158294677339</v>
      </c>
      <c r="AT7">
        <f t="shared" si="9"/>
        <v>29.198437007905106</v>
      </c>
      <c r="AU7">
        <f t="shared" si="20"/>
        <v>-1.0619794155379947</v>
      </c>
      <c r="AV7">
        <f t="shared" si="21"/>
        <v>0.27676376998245766</v>
      </c>
      <c r="AW7">
        <f t="shared" si="29"/>
        <v>0.27676376998245766</v>
      </c>
      <c r="AY7" s="4">
        <f t="shared" si="1"/>
        <v>86.176410928625316</v>
      </c>
      <c r="AZ7">
        <f t="shared" si="22"/>
        <v>-0.78521564555553702</v>
      </c>
    </row>
    <row r="8" spans="1:52" x14ac:dyDescent="0.35">
      <c r="A8" s="2">
        <v>36678</v>
      </c>
      <c r="B8">
        <v>69.410679999999999</v>
      </c>
      <c r="C8">
        <v>4.1278033136215593E-2</v>
      </c>
      <c r="D8">
        <f t="shared" si="0"/>
        <v>2.865136349047257</v>
      </c>
      <c r="E8">
        <f t="shared" si="10"/>
        <v>7.0610885419381875</v>
      </c>
      <c r="F8">
        <f t="shared" si="2"/>
        <v>5.9445170096250832</v>
      </c>
      <c r="G8">
        <f t="shared" si="23"/>
        <v>3.406954042938759</v>
      </c>
      <c r="I8">
        <v>110.947</v>
      </c>
      <c r="J8">
        <v>7.8813555315199652E-2</v>
      </c>
      <c r="K8">
        <f t="shared" si="3"/>
        <v>8.7441275215554555</v>
      </c>
      <c r="L8">
        <f t="shared" si="11"/>
        <v>2.8261028733698623</v>
      </c>
      <c r="M8">
        <f t="shared" si="4"/>
        <v>1.7095313410567581</v>
      </c>
      <c r="N8">
        <f t="shared" si="24"/>
        <v>1.0082883176492086</v>
      </c>
      <c r="P8">
        <v>90.39555</v>
      </c>
      <c r="Q8">
        <v>0.11492806243232936</v>
      </c>
      <c r="R8">
        <f t="shared" si="5"/>
        <v>10.38898541400475</v>
      </c>
      <c r="S8">
        <f t="shared" si="12"/>
        <v>-7.6714793961640826E-2</v>
      </c>
      <c r="T8">
        <f t="shared" si="13"/>
        <v>1.1932863262747451</v>
      </c>
      <c r="U8">
        <f t="shared" si="25"/>
        <v>0.29569691165465262</v>
      </c>
      <c r="W8">
        <v>163.84899999999999</v>
      </c>
      <c r="X8">
        <v>7.9835739538799064E-2</v>
      </c>
      <c r="Y8">
        <f t="shared" si="6"/>
        <v>13.081006087692687</v>
      </c>
      <c r="Z8">
        <f t="shared" si="14"/>
        <v>1.7776568571911344</v>
      </c>
      <c r="AA8">
        <f t="shared" si="15"/>
        <v>0.66108532487803018</v>
      </c>
      <c r="AB8">
        <f t="shared" si="26"/>
        <v>1.728379251243306</v>
      </c>
      <c r="AD8">
        <v>100.965</v>
      </c>
      <c r="AE8">
        <v>0.15003767852220129</v>
      </c>
      <c r="AF8">
        <f t="shared" si="7"/>
        <v>15.148554211994053</v>
      </c>
      <c r="AG8">
        <f t="shared" si="16"/>
        <v>-2.6636035242205813</v>
      </c>
      <c r="AH8">
        <f t="shared" si="17"/>
        <v>3.7801750565336856</v>
      </c>
      <c r="AI8">
        <f t="shared" si="27"/>
        <v>3.7801750565336856</v>
      </c>
      <c r="AK8">
        <v>97.881349999999998</v>
      </c>
      <c r="AL8">
        <v>7.4115348108481666E-2</v>
      </c>
      <c r="AM8">
        <f t="shared" si="8"/>
        <v>7.2545103285781316</v>
      </c>
      <c r="AN8">
        <f t="shared" si="18"/>
        <v>3.8522301184289454</v>
      </c>
      <c r="AO8">
        <f t="shared" si="19"/>
        <v>2.7356585861158411</v>
      </c>
      <c r="AP8">
        <f t="shared" si="28"/>
        <v>3.5208742316713781</v>
      </c>
      <c r="AR8">
        <v>64.331569999999999</v>
      </c>
      <c r="AS8">
        <v>0.46099158294677339</v>
      </c>
      <c r="AT8">
        <f t="shared" si="9"/>
        <v>29.65631228775116</v>
      </c>
      <c r="AU8">
        <f t="shared" si="20"/>
        <v>1.5681499654316644</v>
      </c>
      <c r="AV8">
        <f t="shared" si="21"/>
        <v>0.45157843311856016</v>
      </c>
      <c r="AW8">
        <f t="shared" si="29"/>
        <v>0.45157843311856016</v>
      </c>
      <c r="AY8" s="4">
        <f t="shared" si="1"/>
        <v>87.138632200623505</v>
      </c>
      <c r="AZ8">
        <f t="shared" si="22"/>
        <v>1.1165715323131042</v>
      </c>
    </row>
    <row r="9" spans="1:52" x14ac:dyDescent="0.35">
      <c r="A9" s="2">
        <v>36708</v>
      </c>
      <c r="B9">
        <v>73.680760000000006</v>
      </c>
      <c r="C9">
        <v>4.1278033136215593E-2</v>
      </c>
      <c r="D9">
        <f t="shared" si="0"/>
        <v>3.0413968527815487</v>
      </c>
      <c r="E9">
        <f t="shared" si="10"/>
        <v>6.1519063060612611</v>
      </c>
      <c r="F9">
        <f t="shared" si="2"/>
        <v>5.8198598826924686</v>
      </c>
      <c r="G9">
        <f t="shared" si="23"/>
        <v>0.12465712693261466</v>
      </c>
      <c r="I9">
        <v>110.7003</v>
      </c>
      <c r="J9">
        <v>7.8813555315199652E-2</v>
      </c>
      <c r="K9">
        <f t="shared" si="3"/>
        <v>8.7246842174591954</v>
      </c>
      <c r="L9">
        <f t="shared" si="11"/>
        <v>-0.22235842339135559</v>
      </c>
      <c r="M9">
        <f t="shared" si="4"/>
        <v>0.55440484676014812</v>
      </c>
      <c r="N9">
        <f t="shared" si="24"/>
        <v>1.15512649429661</v>
      </c>
      <c r="P9">
        <v>89.342929999999996</v>
      </c>
      <c r="Q9">
        <v>0.11492806243232936</v>
      </c>
      <c r="R9">
        <f t="shared" si="5"/>
        <v>10.268009836927231</v>
      </c>
      <c r="S9">
        <f t="shared" si="12"/>
        <v>-1.1644599761824637</v>
      </c>
      <c r="T9">
        <f t="shared" si="13"/>
        <v>1.4965063995512562</v>
      </c>
      <c r="U9">
        <f t="shared" si="25"/>
        <v>0.30322007327651113</v>
      </c>
      <c r="W9">
        <v>167.01089999999999</v>
      </c>
      <c r="X9">
        <v>7.9835739538799064E-2</v>
      </c>
      <c r="Y9">
        <f t="shared" si="6"/>
        <v>13.333438712540415</v>
      </c>
      <c r="Z9">
        <f t="shared" si="14"/>
        <v>1.9297646003332281</v>
      </c>
      <c r="AA9">
        <f t="shared" si="15"/>
        <v>1.5977181769644355</v>
      </c>
      <c r="AB9">
        <f t="shared" si="26"/>
        <v>2.1824568795692501</v>
      </c>
      <c r="AD9">
        <v>100.0677</v>
      </c>
      <c r="AE9">
        <v>0.15003767852220129</v>
      </c>
      <c r="AF9">
        <f t="shared" si="7"/>
        <v>15.013925403056083</v>
      </c>
      <c r="AG9">
        <f t="shared" si="16"/>
        <v>-0.88872381518347865</v>
      </c>
      <c r="AH9">
        <f t="shared" si="17"/>
        <v>1.2207702385522712</v>
      </c>
      <c r="AI9">
        <f t="shared" si="27"/>
        <v>1.2207702385522712</v>
      </c>
      <c r="AK9">
        <v>97.551540000000003</v>
      </c>
      <c r="AL9">
        <v>7.4115348108481666E-2</v>
      </c>
      <c r="AM9">
        <f t="shared" si="8"/>
        <v>7.2300663456184742</v>
      </c>
      <c r="AN9">
        <f t="shared" si="18"/>
        <v>-0.33694876500988125</v>
      </c>
      <c r="AO9">
        <f t="shared" si="19"/>
        <v>0.66899518837867378</v>
      </c>
      <c r="AP9">
        <f t="shared" si="28"/>
        <v>0.44757634393443047</v>
      </c>
      <c r="AR9">
        <v>64.67895</v>
      </c>
      <c r="AS9">
        <v>0.46099158294677339</v>
      </c>
      <c r="AT9">
        <f t="shared" si="9"/>
        <v>29.81645154383521</v>
      </c>
      <c r="AU9">
        <f t="shared" si="20"/>
        <v>0.53998371250694177</v>
      </c>
      <c r="AV9">
        <f t="shared" si="21"/>
        <v>0.20793728913814924</v>
      </c>
      <c r="AW9">
        <f t="shared" si="29"/>
        <v>0.20793728913814924</v>
      </c>
      <c r="AY9" s="4">
        <f t="shared" si="1"/>
        <v>87.427972912218166</v>
      </c>
      <c r="AZ9">
        <f t="shared" si="22"/>
        <v>0.33204642336879253</v>
      </c>
    </row>
    <row r="10" spans="1:52" x14ac:dyDescent="0.35">
      <c r="A10" s="2">
        <v>36739</v>
      </c>
      <c r="B10">
        <v>76.224919999999997</v>
      </c>
      <c r="C10">
        <v>4.1278033136215593E-2</v>
      </c>
      <c r="D10">
        <f t="shared" si="0"/>
        <v>3.1464147735653825</v>
      </c>
      <c r="E10">
        <f t="shared" si="10"/>
        <v>3.4529502681568403</v>
      </c>
      <c r="F10">
        <f t="shared" si="2"/>
        <v>3.2769122149726604</v>
      </c>
      <c r="G10">
        <f t="shared" si="23"/>
        <v>2.5429476677198082</v>
      </c>
      <c r="I10">
        <v>111.967</v>
      </c>
      <c r="J10">
        <v>7.8813555315199652E-2</v>
      </c>
      <c r="K10">
        <f t="shared" si="3"/>
        <v>8.8245173479769594</v>
      </c>
      <c r="L10">
        <f t="shared" si="11"/>
        <v>1.1442606749936468</v>
      </c>
      <c r="M10">
        <f t="shared" si="4"/>
        <v>0.96822262180946694</v>
      </c>
      <c r="N10">
        <f t="shared" si="24"/>
        <v>0.41381777504931883</v>
      </c>
      <c r="P10">
        <v>88.970860000000002</v>
      </c>
      <c r="Q10">
        <v>0.11492806243232936</v>
      </c>
      <c r="R10">
        <f t="shared" si="5"/>
        <v>10.225248552738035</v>
      </c>
      <c r="S10">
        <f t="shared" si="12"/>
        <v>-0.41645153119558298</v>
      </c>
      <c r="T10">
        <f t="shared" si="13"/>
        <v>0.59248958437976285</v>
      </c>
      <c r="U10">
        <f t="shared" si="25"/>
        <v>0.90401681517149335</v>
      </c>
      <c r="W10">
        <v>165.89240000000001</v>
      </c>
      <c r="X10">
        <v>7.9835739538799064E-2</v>
      </c>
      <c r="Y10">
        <f t="shared" si="6"/>
        <v>13.244142437866271</v>
      </c>
      <c r="Z10">
        <f t="shared" si="14"/>
        <v>-0.66971676698944771</v>
      </c>
      <c r="AA10">
        <f t="shared" si="15"/>
        <v>0.84575482017362758</v>
      </c>
      <c r="AB10">
        <f t="shared" si="26"/>
        <v>0.37501541837864361</v>
      </c>
      <c r="AD10">
        <v>96.27028</v>
      </c>
      <c r="AE10">
        <v>0.15003767852220129</v>
      </c>
      <c r="AF10">
        <f t="shared" si="7"/>
        <v>14.444169321882304</v>
      </c>
      <c r="AG10">
        <f t="shared" si="16"/>
        <v>-3.7948508859502184</v>
      </c>
      <c r="AH10">
        <f t="shared" si="17"/>
        <v>3.9708889391343982</v>
      </c>
      <c r="AI10">
        <f t="shared" si="27"/>
        <v>3.9708889391343982</v>
      </c>
      <c r="AK10">
        <v>98.314719999999994</v>
      </c>
      <c r="AL10">
        <v>7.4115348108481666E-2</v>
      </c>
      <c r="AM10">
        <f t="shared" si="8"/>
        <v>7.2866296969879043</v>
      </c>
      <c r="AN10">
        <f t="shared" si="18"/>
        <v>0.7823351635453335</v>
      </c>
      <c r="AO10">
        <f t="shared" si="19"/>
        <v>0.60629711036115363</v>
      </c>
      <c r="AP10">
        <f t="shared" si="28"/>
        <v>0.2742506869923611</v>
      </c>
      <c r="AR10">
        <v>65.968140000000005</v>
      </c>
      <c r="AS10">
        <v>0.46099158294677339</v>
      </c>
      <c r="AT10">
        <f t="shared" si="9"/>
        <v>30.410757282654362</v>
      </c>
      <c r="AU10">
        <f t="shared" si="20"/>
        <v>1.9932141755548027</v>
      </c>
      <c r="AV10">
        <f t="shared" si="21"/>
        <v>1.8171761223706229</v>
      </c>
      <c r="AW10">
        <f t="shared" si="29"/>
        <v>1.8171761223706229</v>
      </c>
      <c r="AY10" s="4">
        <f t="shared" si="1"/>
        <v>87.581879413671231</v>
      </c>
      <c r="AZ10">
        <f t="shared" si="22"/>
        <v>0.17603805318417987</v>
      </c>
    </row>
    <row r="11" spans="1:52" x14ac:dyDescent="0.35">
      <c r="A11" s="2">
        <v>36770</v>
      </c>
      <c r="B11">
        <v>75.422920000000005</v>
      </c>
      <c r="C11">
        <v>4.1278033136215593E-2</v>
      </c>
      <c r="D11">
        <f t="shared" si="0"/>
        <v>3.1133097909901379</v>
      </c>
      <c r="E11">
        <f t="shared" si="10"/>
        <v>-1.0521493495827761</v>
      </c>
      <c r="F11">
        <f t="shared" si="2"/>
        <v>0.79801149767128043</v>
      </c>
      <c r="G11">
        <f t="shared" si="23"/>
        <v>2.47890071730138</v>
      </c>
      <c r="I11">
        <v>111.9686</v>
      </c>
      <c r="J11">
        <v>7.8813555315199652E-2</v>
      </c>
      <c r="K11">
        <f t="shared" si="3"/>
        <v>8.824643449665464</v>
      </c>
      <c r="L11">
        <f t="shared" si="11"/>
        <v>1.4289924709975921E-3</v>
      </c>
      <c r="M11">
        <f t="shared" si="4"/>
        <v>0.25556684438249322</v>
      </c>
      <c r="N11">
        <f t="shared" si="24"/>
        <v>0.71265577742697372</v>
      </c>
      <c r="P11">
        <v>87.193370000000002</v>
      </c>
      <c r="Q11">
        <v>0.11492806243232936</v>
      </c>
      <c r="R11">
        <f t="shared" si="5"/>
        <v>10.020965071045195</v>
      </c>
      <c r="S11">
        <f t="shared" si="12"/>
        <v>-1.9978338975255472</v>
      </c>
      <c r="T11">
        <f t="shared" si="13"/>
        <v>1.7436960456140516</v>
      </c>
      <c r="U11">
        <f t="shared" si="25"/>
        <v>1.1512064612342887</v>
      </c>
      <c r="W11">
        <v>166.71350000000001</v>
      </c>
      <c r="X11">
        <v>7.9835739538799064E-2</v>
      </c>
      <c r="Y11">
        <f t="shared" si="6"/>
        <v>13.309695563601579</v>
      </c>
      <c r="Z11">
        <f t="shared" si="14"/>
        <v>0.4949593833110999</v>
      </c>
      <c r="AA11">
        <f t="shared" si="15"/>
        <v>0.74909723522259553</v>
      </c>
      <c r="AB11">
        <f t="shared" si="26"/>
        <v>3.2217917039118027</v>
      </c>
      <c r="AD11">
        <v>95.657889999999995</v>
      </c>
      <c r="AE11">
        <v>0.15003767852220129</v>
      </c>
      <c r="AF11">
        <f t="shared" si="7"/>
        <v>14.352287747932094</v>
      </c>
      <c r="AG11">
        <f t="shared" si="16"/>
        <v>-0.63611532032523677</v>
      </c>
      <c r="AH11">
        <f t="shared" si="17"/>
        <v>0.38197746841374114</v>
      </c>
      <c r="AI11">
        <f t="shared" si="27"/>
        <v>0.38197746841374114</v>
      </c>
      <c r="AK11">
        <v>97.995980000000003</v>
      </c>
      <c r="AL11">
        <v>7.4115348108481666E-2</v>
      </c>
      <c r="AM11">
        <f t="shared" si="8"/>
        <v>7.2630061709318072</v>
      </c>
      <c r="AN11">
        <f t="shared" si="18"/>
        <v>-0.32420374080299741</v>
      </c>
      <c r="AO11">
        <f t="shared" si="19"/>
        <v>7.0065888891501782E-2</v>
      </c>
      <c r="AP11">
        <f t="shared" si="28"/>
        <v>0.10597216429267808</v>
      </c>
      <c r="AR11">
        <v>66.108350000000002</v>
      </c>
      <c r="AS11">
        <v>0.46099158294677339</v>
      </c>
      <c r="AT11">
        <f t="shared" si="9"/>
        <v>30.475392912499327</v>
      </c>
      <c r="AU11">
        <f t="shared" si="20"/>
        <v>0.21254199375637661</v>
      </c>
      <c r="AV11">
        <f t="shared" si="21"/>
        <v>0.46667984566787224</v>
      </c>
      <c r="AW11">
        <f t="shared" si="29"/>
        <v>0.46667984566787224</v>
      </c>
      <c r="AY11" s="4">
        <f t="shared" si="1"/>
        <v>87.359300706665607</v>
      </c>
      <c r="AZ11">
        <f t="shared" si="22"/>
        <v>-0.25413785191149563</v>
      </c>
    </row>
    <row r="12" spans="1:52" x14ac:dyDescent="0.35">
      <c r="A12" s="2">
        <v>36800</v>
      </c>
      <c r="B12">
        <v>70.730710000000002</v>
      </c>
      <c r="C12">
        <v>4.1278033136215593E-2</v>
      </c>
      <c r="D12">
        <f t="shared" si="0"/>
        <v>2.9196245911280556</v>
      </c>
      <c r="E12">
        <f t="shared" si="10"/>
        <v>-6.2211990731729898</v>
      </c>
      <c r="F12">
        <f t="shared" si="2"/>
        <v>2.5657476956874596</v>
      </c>
      <c r="G12">
        <f t="shared" si="23"/>
        <v>1.7677361980161792</v>
      </c>
      <c r="I12">
        <v>105.3168</v>
      </c>
      <c r="J12">
        <v>7.8813555315199652E-2</v>
      </c>
      <c r="K12">
        <f t="shared" si="3"/>
        <v>8.3003914424198193</v>
      </c>
      <c r="L12">
        <f t="shared" si="11"/>
        <v>-5.9407726809123211</v>
      </c>
      <c r="M12">
        <f t="shared" si="4"/>
        <v>2.285321303426791</v>
      </c>
      <c r="N12">
        <f t="shared" si="24"/>
        <v>2.0297544590442977</v>
      </c>
      <c r="P12">
        <v>82.564570000000003</v>
      </c>
      <c r="Q12">
        <v>0.11492806243232936</v>
      </c>
      <c r="R12">
        <f t="shared" si="5"/>
        <v>9.4889860556584278</v>
      </c>
      <c r="S12">
        <f t="shared" si="12"/>
        <v>-5.3086605093942367</v>
      </c>
      <c r="T12">
        <f t="shared" si="13"/>
        <v>1.6532091319087066</v>
      </c>
      <c r="U12">
        <f t="shared" si="25"/>
        <v>9.0486913705345007E-2</v>
      </c>
      <c r="W12">
        <v>161.36170000000001</v>
      </c>
      <c r="X12">
        <v>7.9835739538799064E-2</v>
      </c>
      <c r="Y12">
        <f t="shared" si="6"/>
        <v>12.882430652737835</v>
      </c>
      <c r="Z12">
        <f t="shared" si="14"/>
        <v>-3.2101779399988595</v>
      </c>
      <c r="AA12">
        <f t="shared" si="15"/>
        <v>0.4452734374866707</v>
      </c>
      <c r="AB12">
        <f t="shared" si="26"/>
        <v>6.3295969072929559E-2</v>
      </c>
      <c r="AD12">
        <v>93.216059999999999</v>
      </c>
      <c r="AE12">
        <v>0.15003767852220129</v>
      </c>
      <c r="AF12">
        <f t="shared" si="7"/>
        <v>13.985921243386226</v>
      </c>
      <c r="AG12">
        <f t="shared" si="16"/>
        <v>-2.5526697275049637</v>
      </c>
      <c r="AH12">
        <f t="shared" si="17"/>
        <v>1.1027816499805665</v>
      </c>
      <c r="AI12">
        <f t="shared" si="27"/>
        <v>1.1027816499805665</v>
      </c>
      <c r="AK12">
        <v>95.433049999999994</v>
      </c>
      <c r="AL12">
        <v>7.4115348108481666E-2</v>
      </c>
      <c r="AM12">
        <f t="shared" si="8"/>
        <v>7.0730537218041354</v>
      </c>
      <c r="AN12">
        <f t="shared" si="18"/>
        <v>-2.6153419762729113</v>
      </c>
      <c r="AO12">
        <f t="shared" si="19"/>
        <v>1.0401094012126189</v>
      </c>
      <c r="AP12">
        <f t="shared" si="28"/>
        <v>1.2942472531241145</v>
      </c>
      <c r="AR12">
        <v>64.026150000000001</v>
      </c>
      <c r="AS12">
        <v>0.46099158294677339</v>
      </c>
      <c r="AT12">
        <f t="shared" si="9"/>
        <v>29.515516238487557</v>
      </c>
      <c r="AU12">
        <f t="shared" si="20"/>
        <v>-3.1496777638528317</v>
      </c>
      <c r="AV12">
        <f t="shared" si="21"/>
        <v>0.50577361363269846</v>
      </c>
      <c r="AW12">
        <f t="shared" si="29"/>
        <v>0.50577361363269846</v>
      </c>
      <c r="AY12" s="4">
        <f t="shared" si="1"/>
        <v>84.165923945622069</v>
      </c>
      <c r="AZ12">
        <f t="shared" si="22"/>
        <v>-3.6554513774855302</v>
      </c>
    </row>
    <row r="13" spans="1:52" x14ac:dyDescent="0.35">
      <c r="A13" s="2">
        <v>36831</v>
      </c>
      <c r="B13">
        <v>64.132599999999996</v>
      </c>
      <c r="C13">
        <v>4.1278033136215593E-2</v>
      </c>
      <c r="D13">
        <f t="shared" si="0"/>
        <v>2.6472675879116601</v>
      </c>
      <c r="E13">
        <f t="shared" si="10"/>
        <v>-9.3284939455577476</v>
      </c>
      <c r="F13">
        <f t="shared" si="2"/>
        <v>9.0705261758790012</v>
      </c>
      <c r="G13">
        <f t="shared" si="23"/>
        <v>6.5047784801915416</v>
      </c>
      <c r="I13">
        <v>105.47620000000001</v>
      </c>
      <c r="J13">
        <v>7.8813555315199652E-2</v>
      </c>
      <c r="K13">
        <f t="shared" si="3"/>
        <v>8.3129543231370615</v>
      </c>
      <c r="L13">
        <f t="shared" si="11"/>
        <v>0.1513528705771483</v>
      </c>
      <c r="M13">
        <f t="shared" si="4"/>
        <v>0.40932064025589465</v>
      </c>
      <c r="N13">
        <f t="shared" si="24"/>
        <v>1.8760006631708963</v>
      </c>
      <c r="P13">
        <v>81.791499999999999</v>
      </c>
      <c r="Q13">
        <v>0.11492806243232936</v>
      </c>
      <c r="R13">
        <f t="shared" si="5"/>
        <v>9.4001386184338678</v>
      </c>
      <c r="S13">
        <f t="shared" si="12"/>
        <v>-0.93632171765686278</v>
      </c>
      <c r="T13">
        <f t="shared" si="13"/>
        <v>0.67835394797811643</v>
      </c>
      <c r="U13">
        <f t="shared" si="25"/>
        <v>0.97485518393059012</v>
      </c>
      <c r="W13">
        <v>169.1019</v>
      </c>
      <c r="X13">
        <v>7.9835739538799064E-2</v>
      </c>
      <c r="Y13">
        <f t="shared" si="6"/>
        <v>13.500375243916045</v>
      </c>
      <c r="Z13">
        <f t="shared" si="14"/>
        <v>4.7968012235864999</v>
      </c>
      <c r="AA13">
        <f t="shared" si="15"/>
        <v>5.0547689932652462</v>
      </c>
      <c r="AB13">
        <f t="shared" si="26"/>
        <v>3.9519873432846797</v>
      </c>
      <c r="AD13">
        <v>89.715770000000006</v>
      </c>
      <c r="AE13">
        <v>0.15003767852220129</v>
      </c>
      <c r="AF13">
        <f t="shared" si="7"/>
        <v>13.460745857631752</v>
      </c>
      <c r="AG13">
        <f t="shared" si="16"/>
        <v>-3.7550289081087485</v>
      </c>
      <c r="AH13">
        <f t="shared" si="17"/>
        <v>3.4970611384300021</v>
      </c>
      <c r="AI13">
        <f t="shared" si="27"/>
        <v>3.4970611384300021</v>
      </c>
      <c r="AK13">
        <v>96.452190000000002</v>
      </c>
      <c r="AL13">
        <v>7.4115348108481666E-2</v>
      </c>
      <c r="AM13">
        <f t="shared" si="8"/>
        <v>7.1485876376754147</v>
      </c>
      <c r="AN13">
        <f t="shared" si="18"/>
        <v>1.067910959567997</v>
      </c>
      <c r="AO13">
        <f t="shared" si="19"/>
        <v>1.3258787292467433</v>
      </c>
      <c r="AP13">
        <f t="shared" si="28"/>
        <v>4.9813301067322735</v>
      </c>
      <c r="AR13">
        <v>63.946359999999999</v>
      </c>
      <c r="AS13">
        <v>0.46099158294677339</v>
      </c>
      <c r="AT13">
        <f t="shared" si="9"/>
        <v>29.478733720084232</v>
      </c>
      <c r="AU13">
        <f t="shared" si="20"/>
        <v>-0.12462095565640707</v>
      </c>
      <c r="AV13">
        <f t="shared" si="21"/>
        <v>0.13334681402233928</v>
      </c>
      <c r="AW13">
        <f t="shared" si="29"/>
        <v>0.13334681402233928</v>
      </c>
      <c r="AY13" s="4">
        <f t="shared" si="1"/>
        <v>83.948802988790035</v>
      </c>
      <c r="AZ13">
        <f t="shared" si="22"/>
        <v>-0.25796776967874635</v>
      </c>
    </row>
    <row r="14" spans="1:52" x14ac:dyDescent="0.35">
      <c r="A14" s="2">
        <v>36861</v>
      </c>
      <c r="B14">
        <v>62.877490000000002</v>
      </c>
      <c r="C14">
        <v>4.1278033136215593E-2</v>
      </c>
      <c r="D14">
        <f t="shared" si="0"/>
        <v>2.5954591157420648</v>
      </c>
      <c r="E14">
        <f t="shared" si="10"/>
        <v>-1.9570546024954449</v>
      </c>
      <c r="F14">
        <f t="shared" si="2"/>
        <v>1.0617065406762882</v>
      </c>
      <c r="G14">
        <f t="shared" si="23"/>
        <v>8.0088196352027126</v>
      </c>
      <c r="I14">
        <v>100.82380000000001</v>
      </c>
      <c r="J14">
        <v>7.8813555315199652E-2</v>
      </c>
      <c r="K14">
        <f t="shared" si="3"/>
        <v>7.9462821383886268</v>
      </c>
      <c r="L14">
        <f t="shared" si="11"/>
        <v>-4.4108528748665554</v>
      </c>
      <c r="M14">
        <f t="shared" si="4"/>
        <v>1.3920917316948223</v>
      </c>
      <c r="N14">
        <f t="shared" si="24"/>
        <v>0.9827710914389276</v>
      </c>
      <c r="P14">
        <v>76.860020000000006</v>
      </c>
      <c r="Q14">
        <v>0.11492806243232936</v>
      </c>
      <c r="R14">
        <f t="shared" si="5"/>
        <v>8.8333731771100847</v>
      </c>
      <c r="S14">
        <f t="shared" si="12"/>
        <v>-6.0293306761704972</v>
      </c>
      <c r="T14">
        <f t="shared" si="13"/>
        <v>3.0105695329987641</v>
      </c>
      <c r="U14">
        <f t="shared" si="25"/>
        <v>2.3322155850206476</v>
      </c>
      <c r="W14">
        <v>158.53649999999999</v>
      </c>
      <c r="X14">
        <v>7.9835739538799064E-2</v>
      </c>
      <c r="Y14">
        <f t="shared" si="6"/>
        <v>12.656878721392816</v>
      </c>
      <c r="Z14">
        <f t="shared" si="14"/>
        <v>-6.247948722042751</v>
      </c>
      <c r="AA14">
        <f t="shared" si="15"/>
        <v>3.2291875788710178</v>
      </c>
      <c r="AB14">
        <f t="shared" si="26"/>
        <v>0.26787355955898429</v>
      </c>
      <c r="AD14">
        <v>86.17165</v>
      </c>
      <c r="AE14">
        <v>0.15003767852220129</v>
      </c>
      <c r="AF14">
        <f t="shared" si="7"/>
        <v>12.928994320427647</v>
      </c>
      <c r="AG14">
        <f t="shared" si="16"/>
        <v>-3.950386871784084</v>
      </c>
      <c r="AH14">
        <f t="shared" si="17"/>
        <v>0.93162572861235082</v>
      </c>
      <c r="AI14">
        <f t="shared" si="27"/>
        <v>0.93162572861235082</v>
      </c>
      <c r="AK14">
        <v>94.457279999999997</v>
      </c>
      <c r="AL14">
        <v>7.4115348108481693E-2</v>
      </c>
      <c r="AM14">
        <f t="shared" si="8"/>
        <v>7.0007341885803251</v>
      </c>
      <c r="AN14">
        <f t="shared" si="18"/>
        <v>-2.068288962645648</v>
      </c>
      <c r="AO14">
        <f t="shared" si="19"/>
        <v>0.95047218052608518</v>
      </c>
      <c r="AP14">
        <f t="shared" si="28"/>
        <v>1.2084399502048315</v>
      </c>
      <c r="AR14">
        <v>63.890250000000002</v>
      </c>
      <c r="AS14">
        <v>0.46099158294677339</v>
      </c>
      <c r="AT14">
        <f t="shared" si="9"/>
        <v>29.45286748236509</v>
      </c>
      <c r="AU14">
        <f t="shared" si="20"/>
        <v>-8.7745416627305062E-2</v>
      </c>
      <c r="AV14">
        <f t="shared" si="21"/>
        <v>2.9310157265444281</v>
      </c>
      <c r="AW14">
        <f t="shared" si="29"/>
        <v>2.9310157265444281</v>
      </c>
      <c r="AY14" s="4">
        <f t="shared" si="1"/>
        <v>81.414589144006655</v>
      </c>
      <c r="AZ14">
        <f t="shared" si="22"/>
        <v>-3.0187611431717332</v>
      </c>
    </row>
    <row r="15" spans="1:52" x14ac:dyDescent="0.35">
      <c r="A15" s="2">
        <v>36892</v>
      </c>
      <c r="B15">
        <v>62.437159999999999</v>
      </c>
      <c r="C15">
        <v>4.1523944342587146E-2</v>
      </c>
      <c r="D15">
        <f>B15*C15</f>
        <v>2.5926371567492086</v>
      </c>
      <c r="E15">
        <f t="shared" si="10"/>
        <v>-0.70029831025379963</v>
      </c>
      <c r="F15">
        <v>3.7190599999999998</v>
      </c>
      <c r="G15">
        <f t="shared" si="23"/>
        <v>2.6573534593237116</v>
      </c>
      <c r="I15">
        <v>99.782839999999993</v>
      </c>
      <c r="J15">
        <v>7.8813555315199652E-2</v>
      </c>
      <c r="K15">
        <f t="shared" si="3"/>
        <v>7.8642403798477156</v>
      </c>
      <c r="L15">
        <f t="shared" si="11"/>
        <v>-1.0324546386865086</v>
      </c>
      <c r="M15">
        <f t="shared" si="4"/>
        <v>0.41801950188034009</v>
      </c>
      <c r="N15">
        <f t="shared" si="24"/>
        <v>0.97407222981448216</v>
      </c>
      <c r="P15">
        <v>77.226320000000001</v>
      </c>
      <c r="Q15">
        <v>0.11539299871475681</v>
      </c>
      <c r="R15">
        <f t="shared" si="5"/>
        <v>8.9113766445053972</v>
      </c>
      <c r="S15">
        <f t="shared" si="12"/>
        <v>0.47658067224025658</v>
      </c>
      <c r="T15">
        <f t="shared" si="13"/>
        <v>1.091015809046425</v>
      </c>
      <c r="U15">
        <f t="shared" si="25"/>
        <v>1.919553723952339</v>
      </c>
      <c r="W15">
        <v>156.36840000000001</v>
      </c>
      <c r="X15">
        <v>8.0371484529170825E-2</v>
      </c>
      <c r="Y15">
        <f t="shared" si="6"/>
        <v>12.567560441451196</v>
      </c>
      <c r="Z15">
        <f t="shared" si="14"/>
        <v>-1.367571505615417</v>
      </c>
      <c r="AA15">
        <f t="shared" si="15"/>
        <v>0.7531363688092485</v>
      </c>
      <c r="AB15">
        <f t="shared" si="26"/>
        <v>0.17848935980310232</v>
      </c>
      <c r="AD15">
        <v>82.838949999999997</v>
      </c>
      <c r="AE15">
        <v>0.14872552056997243</v>
      </c>
      <c r="AF15">
        <f t="shared" si="7"/>
        <v>12.320265962219917</v>
      </c>
      <c r="AG15">
        <f t="shared" si="16"/>
        <v>-3.8675132714761751</v>
      </c>
      <c r="AH15">
        <f t="shared" si="17"/>
        <v>3.2530781346700066</v>
      </c>
      <c r="AI15">
        <f t="shared" si="27"/>
        <v>3.2530781346700066</v>
      </c>
      <c r="AK15">
        <v>93.933840000000004</v>
      </c>
      <c r="AL15">
        <v>7.5071843758619056E-2</v>
      </c>
      <c r="AM15">
        <f t="shared" si="8"/>
        <v>7.0517865601271215</v>
      </c>
      <c r="AN15">
        <f t="shared" si="18"/>
        <v>-0.55415527527363784</v>
      </c>
      <c r="AO15">
        <f t="shared" si="19"/>
        <v>6.0279861532530621E-2</v>
      </c>
      <c r="AP15">
        <f t="shared" si="28"/>
        <v>3.0790410047042638</v>
      </c>
      <c r="AR15">
        <v>64.425420000000003</v>
      </c>
      <c r="AS15">
        <v>0.45954659134420783</v>
      </c>
      <c r="AT15">
        <f t="shared" si="9"/>
        <v>29.606482156918954</v>
      </c>
      <c r="AU15">
        <f t="shared" si="20"/>
        <v>0.83763954594011647</v>
      </c>
      <c r="AV15">
        <f t="shared" si="21"/>
        <v>1.4520746827462849</v>
      </c>
      <c r="AW15">
        <f t="shared" si="29"/>
        <v>1.4520746827462849</v>
      </c>
      <c r="AY15" s="4">
        <f t="shared" si="1"/>
        <v>80.914349301819499</v>
      </c>
      <c r="AZ15">
        <f t="shared" si="22"/>
        <v>-0.61443513680616846</v>
      </c>
    </row>
    <row r="16" spans="1:52" x14ac:dyDescent="0.35">
      <c r="A16" s="2">
        <v>36923</v>
      </c>
      <c r="B16">
        <v>60.573439999999998</v>
      </c>
      <c r="C16">
        <v>4.1523944342587146E-2</v>
      </c>
      <c r="D16">
        <f t="shared" ref="D16:D79" si="30">B16*C16</f>
        <v>2.5152481511990419</v>
      </c>
      <c r="E16">
        <f t="shared" si="10"/>
        <v>-2.9849531913367033</v>
      </c>
      <c r="F16">
        <f t="shared" si="2"/>
        <v>1.5747810251678152</v>
      </c>
      <c r="G16">
        <f t="shared" si="23"/>
        <v>2.1442789748321847</v>
      </c>
      <c r="I16">
        <v>97.407070000000004</v>
      </c>
      <c r="J16">
        <v>7.9367616740685917E-2</v>
      </c>
      <c r="K16">
        <f t="shared" si="3"/>
        <v>7.7309669995931651</v>
      </c>
      <c r="L16">
        <f t="shared" si="11"/>
        <v>-2.380940450281821</v>
      </c>
      <c r="M16">
        <f t="shared" si="4"/>
        <v>0.97076828411293281</v>
      </c>
      <c r="N16">
        <f t="shared" si="24"/>
        <v>0.55274878223259272</v>
      </c>
      <c r="P16">
        <v>76.478309999999993</v>
      </c>
      <c r="Q16">
        <v>0.11539299871475681</v>
      </c>
      <c r="R16">
        <f t="shared" si="5"/>
        <v>8.8250615275367714</v>
      </c>
      <c r="S16">
        <f t="shared" si="12"/>
        <v>-0.96859464493453951</v>
      </c>
      <c r="T16">
        <f t="shared" si="13"/>
        <v>0.44157752123434868</v>
      </c>
      <c r="U16">
        <f t="shared" si="25"/>
        <v>0.64943828781207635</v>
      </c>
      <c r="W16">
        <v>151.5658</v>
      </c>
      <c r="X16">
        <v>8.0371484529170825E-2</v>
      </c>
      <c r="Y16">
        <f t="shared" si="6"/>
        <v>12.1815683498514</v>
      </c>
      <c r="Z16">
        <f t="shared" si="14"/>
        <v>-3.071336663929547</v>
      </c>
      <c r="AA16">
        <f t="shared" si="15"/>
        <v>1.6611644977606588</v>
      </c>
      <c r="AB16">
        <f t="shared" si="26"/>
        <v>1.5919136369093478</v>
      </c>
      <c r="AD16">
        <v>81.113950000000003</v>
      </c>
      <c r="AE16">
        <v>0.14872552056997243</v>
      </c>
      <c r="AF16">
        <f t="shared" si="7"/>
        <v>12.063714439236715</v>
      </c>
      <c r="AG16">
        <f t="shared" si="16"/>
        <v>-2.0823537719876883</v>
      </c>
      <c r="AH16">
        <f t="shared" si="17"/>
        <v>0.67218160581880015</v>
      </c>
      <c r="AI16">
        <f t="shared" si="27"/>
        <v>0.67218160581880015</v>
      </c>
      <c r="AK16">
        <v>92.776409999999998</v>
      </c>
      <c r="AL16">
        <v>7.5071843758619056E-2</v>
      </c>
      <c r="AM16">
        <f t="shared" si="8"/>
        <v>6.9648961560055822</v>
      </c>
      <c r="AN16">
        <f t="shared" si="18"/>
        <v>-1.232175752636111</v>
      </c>
      <c r="AO16">
        <f t="shared" si="19"/>
        <v>0.17799641353277718</v>
      </c>
      <c r="AP16">
        <f t="shared" si="28"/>
        <v>0.79243155033894563</v>
      </c>
      <c r="AR16">
        <v>64.176000000000002</v>
      </c>
      <c r="AS16">
        <v>0.45954659134420783</v>
      </c>
      <c r="AT16">
        <f t="shared" si="9"/>
        <v>29.491862046105883</v>
      </c>
      <c r="AU16">
        <f t="shared" si="20"/>
        <v>-0.38714532245192057</v>
      </c>
      <c r="AV16">
        <f t="shared" si="21"/>
        <v>1.0230268437169676</v>
      </c>
      <c r="AW16">
        <f t="shared" si="29"/>
        <v>1.0230268437169676</v>
      </c>
      <c r="AY16" s="4">
        <f t="shared" si="1"/>
        <v>79.773317669528566</v>
      </c>
      <c r="AZ16">
        <f t="shared" si="22"/>
        <v>-1.4101721661688882</v>
      </c>
    </row>
    <row r="17" spans="1:52" x14ac:dyDescent="0.35">
      <c r="A17" s="2">
        <v>36951</v>
      </c>
      <c r="B17">
        <v>54.83681</v>
      </c>
      <c r="C17">
        <v>4.1523944342587146E-2</v>
      </c>
      <c r="D17">
        <f t="shared" si="30"/>
        <v>2.2770406463650263</v>
      </c>
      <c r="E17">
        <f t="shared" si="10"/>
        <v>-9.4705369217927817</v>
      </c>
      <c r="F17">
        <f t="shared" si="2"/>
        <v>2.974912076233581</v>
      </c>
      <c r="G17">
        <f t="shared" si="23"/>
        <v>1.4001310510657659</v>
      </c>
      <c r="I17">
        <v>90.165800000000004</v>
      </c>
      <c r="J17">
        <v>7.9367616740685917E-2</v>
      </c>
      <c r="K17">
        <f t="shared" si="3"/>
        <v>7.1562446575173384</v>
      </c>
      <c r="L17">
        <f t="shared" si="11"/>
        <v>-7.4340291726257668</v>
      </c>
      <c r="M17">
        <f t="shared" si="4"/>
        <v>0.93840432706656607</v>
      </c>
      <c r="N17">
        <f t="shared" si="24"/>
        <v>3.2363957046366743E-2</v>
      </c>
      <c r="P17">
        <v>70.571330000000003</v>
      </c>
      <c r="Q17">
        <v>0.11539299871475681</v>
      </c>
      <c r="R17">
        <f t="shared" si="5"/>
        <v>8.1434373919886784</v>
      </c>
      <c r="S17">
        <f t="shared" si="12"/>
        <v>-7.7237323889609915</v>
      </c>
      <c r="T17">
        <f t="shared" si="13"/>
        <v>1.2281075434017907</v>
      </c>
      <c r="U17">
        <f t="shared" si="25"/>
        <v>0.78653002216744206</v>
      </c>
      <c r="W17">
        <v>138.99809999999999</v>
      </c>
      <c r="X17">
        <v>8.0371484529170825E-2</v>
      </c>
      <c r="Y17">
        <f t="shared" si="6"/>
        <v>11.171483643734138</v>
      </c>
      <c r="Z17">
        <f t="shared" si="14"/>
        <v>-8.2919101802649386</v>
      </c>
      <c r="AA17">
        <f t="shared" si="15"/>
        <v>1.7962853347057379</v>
      </c>
      <c r="AB17">
        <f t="shared" si="26"/>
        <v>1.1241037288869378</v>
      </c>
      <c r="AD17">
        <v>79.860159999999993</v>
      </c>
      <c r="AE17">
        <v>0.14872552056997243</v>
      </c>
      <c r="AF17">
        <f t="shared" si="7"/>
        <v>11.877243868801289</v>
      </c>
      <c r="AG17">
        <f t="shared" si="16"/>
        <v>-1.5457143931469353</v>
      </c>
      <c r="AH17">
        <f t="shared" si="17"/>
        <v>4.949910452412265</v>
      </c>
      <c r="AI17">
        <f t="shared" si="27"/>
        <v>4.949910452412265</v>
      </c>
      <c r="AK17">
        <v>86.635189999999994</v>
      </c>
      <c r="AL17">
        <v>7.5071843758619056E-2</v>
      </c>
      <c r="AM17">
        <f t="shared" si="8"/>
        <v>6.5038634476782757</v>
      </c>
      <c r="AN17">
        <f t="shared" si="18"/>
        <v>-6.6193766281752104</v>
      </c>
      <c r="AO17">
        <f t="shared" si="19"/>
        <v>0.12375178261600972</v>
      </c>
      <c r="AP17">
        <f t="shared" si="28"/>
        <v>1.5339239487848979</v>
      </c>
      <c r="AR17">
        <v>59.759399999999999</v>
      </c>
      <c r="AS17">
        <v>0.45954659134420783</v>
      </c>
      <c r="AT17">
        <f t="shared" si="9"/>
        <v>27.462228570775054</v>
      </c>
      <c r="AU17">
        <f t="shared" si="20"/>
        <v>-6.8820119670905067</v>
      </c>
      <c r="AV17">
        <f t="shared" si="21"/>
        <v>0.38638712153130594</v>
      </c>
      <c r="AW17">
        <f t="shared" si="29"/>
        <v>0.38638712153130594</v>
      </c>
      <c r="AY17" s="4">
        <f t="shared" si="1"/>
        <v>74.591542226859801</v>
      </c>
      <c r="AZ17">
        <f t="shared" si="22"/>
        <v>-6.4956248455592007</v>
      </c>
    </row>
    <row r="18" spans="1:52" x14ac:dyDescent="0.35">
      <c r="A18" s="2">
        <v>36982</v>
      </c>
      <c r="B18">
        <v>54.411819999999999</v>
      </c>
      <c r="C18">
        <v>4.1523944342587146E-2</v>
      </c>
      <c r="D18">
        <f t="shared" si="30"/>
        <v>2.2593933852588699</v>
      </c>
      <c r="E18">
        <f t="shared" si="10"/>
        <v>-0.7750086119159727</v>
      </c>
      <c r="F18">
        <f t="shared" si="2"/>
        <v>2.663473615203138</v>
      </c>
      <c r="G18">
        <f t="shared" si="23"/>
        <v>0.31143846103044304</v>
      </c>
      <c r="I18">
        <v>91.852680000000007</v>
      </c>
      <c r="J18">
        <v>7.9367616740685917E-2</v>
      </c>
      <c r="K18">
        <f t="shared" si="3"/>
        <v>7.2901283028448667</v>
      </c>
      <c r="L18">
        <f t="shared" si="11"/>
        <v>1.8708645628386922</v>
      </c>
      <c r="M18">
        <f t="shared" si="4"/>
        <v>1.7600440448473087E-2</v>
      </c>
      <c r="N18">
        <f t="shared" si="24"/>
        <v>0.92080388661809298</v>
      </c>
      <c r="P18">
        <v>70.484579999999994</v>
      </c>
      <c r="Q18">
        <v>0.11539299871475681</v>
      </c>
      <c r="R18">
        <f t="shared" si="5"/>
        <v>8.133427049350173</v>
      </c>
      <c r="S18">
        <f t="shared" si="12"/>
        <v>-0.12292527291183353</v>
      </c>
      <c r="T18">
        <f t="shared" si="13"/>
        <v>2.0113902761989988</v>
      </c>
      <c r="U18">
        <f t="shared" si="25"/>
        <v>0.78328273279720806</v>
      </c>
      <c r="W18">
        <v>143.5498</v>
      </c>
      <c r="X18">
        <v>8.0371484529170825E-2</v>
      </c>
      <c r="Y18">
        <f t="shared" si="6"/>
        <v>11.537310529865566</v>
      </c>
      <c r="Z18">
        <f t="shared" si="14"/>
        <v>3.2746490779370419</v>
      </c>
      <c r="AA18">
        <f t="shared" si="15"/>
        <v>1.3861840746498766</v>
      </c>
      <c r="AB18">
        <f t="shared" si="26"/>
        <v>3.5637263777623884</v>
      </c>
      <c r="AD18">
        <v>84.710930000000005</v>
      </c>
      <c r="AE18">
        <v>0.14872552056997243</v>
      </c>
      <c r="AF18">
        <f t="shared" si="7"/>
        <v>12.598677162216495</v>
      </c>
      <c r="AG18">
        <f t="shared" si="16"/>
        <v>6.0740799918257204</v>
      </c>
      <c r="AH18">
        <f t="shared" si="17"/>
        <v>4.1856149885385552</v>
      </c>
      <c r="AI18">
        <f t="shared" si="27"/>
        <v>4.1856149885385552</v>
      </c>
      <c r="AK18">
        <v>87.459479999999999</v>
      </c>
      <c r="AL18">
        <v>7.5071843758619056E-2</v>
      </c>
      <c r="AM18">
        <f t="shared" si="8"/>
        <v>6.5657444177700679</v>
      </c>
      <c r="AN18">
        <f t="shared" si="18"/>
        <v>0.95144940525899724</v>
      </c>
      <c r="AO18">
        <f t="shared" si="19"/>
        <v>0.93701559802816803</v>
      </c>
      <c r="AP18">
        <f t="shared" si="28"/>
        <v>7.4326404435873688</v>
      </c>
      <c r="AR18">
        <v>60.092919999999999</v>
      </c>
      <c r="AS18">
        <v>0.45954659134420783</v>
      </c>
      <c r="AT18">
        <f t="shared" si="9"/>
        <v>27.615496549920174</v>
      </c>
      <c r="AU18">
        <f t="shared" si="20"/>
        <v>0.5581046663788447</v>
      </c>
      <c r="AV18">
        <f t="shared" si="21"/>
        <v>1.3303603369083206</v>
      </c>
      <c r="AW18">
        <f t="shared" si="29"/>
        <v>1.3303603369083206</v>
      </c>
      <c r="AY18" s="4">
        <f t="shared" si="1"/>
        <v>76.00017739722621</v>
      </c>
      <c r="AZ18">
        <f t="shared" si="22"/>
        <v>1.8884650032871653</v>
      </c>
    </row>
    <row r="19" spans="1:52" x14ac:dyDescent="0.35">
      <c r="A19" s="2">
        <v>37012</v>
      </c>
      <c r="B19">
        <v>56.811070000000001</v>
      </c>
      <c r="C19">
        <v>4.1523944342587146E-2</v>
      </c>
      <c r="D19">
        <f t="shared" si="30"/>
        <v>2.3590197087228222</v>
      </c>
      <c r="E19">
        <f t="shared" si="10"/>
        <v>4.4094279515002555</v>
      </c>
      <c r="F19">
        <f t="shared" si="2"/>
        <v>0.20658741704890904</v>
      </c>
      <c r="G19">
        <f t="shared" si="23"/>
        <v>2.4568861981542289</v>
      </c>
      <c r="I19">
        <v>95.858620000000002</v>
      </c>
      <c r="J19">
        <v>7.9367616740685917E-2</v>
      </c>
      <c r="K19">
        <f t="shared" si="3"/>
        <v>7.6080702134510503</v>
      </c>
      <c r="L19">
        <f t="shared" si="11"/>
        <v>4.3612663234213755</v>
      </c>
      <c r="M19">
        <f t="shared" si="4"/>
        <v>0.15842578897002912</v>
      </c>
      <c r="N19">
        <f t="shared" si="24"/>
        <v>0.14082534852155604</v>
      </c>
      <c r="P19">
        <v>72.599450000000004</v>
      </c>
      <c r="Q19">
        <v>0.11539299871475681</v>
      </c>
      <c r="R19">
        <f t="shared" si="5"/>
        <v>8.3774682405420506</v>
      </c>
      <c r="S19">
        <f t="shared" si="12"/>
        <v>3.0004718762600469</v>
      </c>
      <c r="T19">
        <f t="shared" si="13"/>
        <v>1.2023686581912996</v>
      </c>
      <c r="U19">
        <f t="shared" si="25"/>
        <v>0.80902161800769923</v>
      </c>
      <c r="W19">
        <v>144.24420000000001</v>
      </c>
      <c r="X19">
        <v>8.0371484529170825E-2</v>
      </c>
      <c r="Y19">
        <f t="shared" si="6"/>
        <v>11.593120488722622</v>
      </c>
      <c r="Z19">
        <f t="shared" si="14"/>
        <v>0.48373456459012143</v>
      </c>
      <c r="AA19">
        <f t="shared" si="15"/>
        <v>3.719105969861225</v>
      </c>
      <c r="AB19">
        <f t="shared" si="26"/>
        <v>0.46650901867733019</v>
      </c>
      <c r="AD19">
        <v>88.972520000000003</v>
      </c>
      <c r="AE19">
        <v>0.14872552056997243</v>
      </c>
      <c r="AF19">
        <f t="shared" si="7"/>
        <v>13.232484353422285</v>
      </c>
      <c r="AG19">
        <f t="shared" si="16"/>
        <v>5.0307439665695952</v>
      </c>
      <c r="AH19">
        <f t="shared" si="17"/>
        <v>0.82790343211824879</v>
      </c>
      <c r="AI19">
        <f t="shared" si="27"/>
        <v>0.82790343211824879</v>
      </c>
      <c r="AK19">
        <v>89.124589999999998</v>
      </c>
      <c r="AL19">
        <v>7.5071843758619056E-2</v>
      </c>
      <c r="AM19">
        <f t="shared" si="8"/>
        <v>6.6907472955309819</v>
      </c>
      <c r="AN19">
        <f t="shared" si="18"/>
        <v>1.9038645095991846</v>
      </c>
      <c r="AO19">
        <f t="shared" si="19"/>
        <v>2.2989760248521618</v>
      </c>
      <c r="AP19">
        <f t="shared" si="28"/>
        <v>0.41051102156499653</v>
      </c>
      <c r="AR19">
        <v>63.831249999999997</v>
      </c>
      <c r="AS19">
        <v>0.45954659134420783</v>
      </c>
      <c r="AT19">
        <f t="shared" si="9"/>
        <v>29.333433358739963</v>
      </c>
      <c r="AU19">
        <f t="shared" si="20"/>
        <v>6.2209158749483295</v>
      </c>
      <c r="AV19">
        <f t="shared" si="21"/>
        <v>2.0180753404969831</v>
      </c>
      <c r="AW19">
        <f t="shared" si="29"/>
        <v>2.0180753404969831</v>
      </c>
      <c r="AY19" s="4">
        <f t="shared" si="1"/>
        <v>79.194343659131761</v>
      </c>
      <c r="AZ19">
        <f t="shared" si="22"/>
        <v>4.2028405344513464</v>
      </c>
    </row>
    <row r="20" spans="1:52" x14ac:dyDescent="0.35">
      <c r="A20" s="2">
        <v>37043</v>
      </c>
      <c r="B20">
        <v>55.117240000000002</v>
      </c>
      <c r="C20">
        <v>4.1523944342587146E-2</v>
      </c>
      <c r="D20">
        <f t="shared" si="30"/>
        <v>2.2886852060770182</v>
      </c>
      <c r="E20">
        <f t="shared" si="10"/>
        <v>-2.9815139901431142</v>
      </c>
      <c r="F20">
        <f t="shared" si="2"/>
        <v>0.64550597671045873</v>
      </c>
      <c r="G20">
        <f t="shared" si="23"/>
        <v>0.43891855966154969</v>
      </c>
      <c r="I20">
        <v>91.244159999999994</v>
      </c>
      <c r="J20">
        <v>7.9367616740685917E-2</v>
      </c>
      <c r="K20">
        <f t="shared" si="3"/>
        <v>7.2418315207058237</v>
      </c>
      <c r="L20">
        <f t="shared" si="11"/>
        <v>-4.8138185173122743</v>
      </c>
      <c r="M20">
        <f t="shared" si="4"/>
        <v>1.1867985504587013</v>
      </c>
      <c r="N20">
        <f t="shared" si="24"/>
        <v>1.0283727614886722</v>
      </c>
      <c r="P20">
        <v>70.976190000000003</v>
      </c>
      <c r="Q20">
        <v>0.11539299871475681</v>
      </c>
      <c r="R20">
        <f t="shared" si="5"/>
        <v>8.1901554014483349</v>
      </c>
      <c r="S20">
        <f t="shared" si="12"/>
        <v>-2.235912255533623</v>
      </c>
      <c r="T20">
        <f t="shared" si="13"/>
        <v>1.3911077113199499</v>
      </c>
      <c r="U20">
        <f t="shared" si="25"/>
        <v>0.18873905312865036</v>
      </c>
      <c r="W20">
        <v>136.59739999999999</v>
      </c>
      <c r="X20">
        <v>8.0371484529170825E-2</v>
      </c>
      <c r="Y20">
        <f t="shared" si="6"/>
        <v>10.978535820824959</v>
      </c>
      <c r="Z20">
        <f t="shared" si="14"/>
        <v>-5.3012876774248152</v>
      </c>
      <c r="AA20">
        <f t="shared" si="15"/>
        <v>1.6742677105712422</v>
      </c>
      <c r="AB20">
        <f t="shared" si="26"/>
        <v>0.84636427845299345</v>
      </c>
      <c r="AD20">
        <v>83.130970000000005</v>
      </c>
      <c r="AE20">
        <v>0.14872552056997243</v>
      </c>
      <c r="AF20">
        <f t="shared" si="7"/>
        <v>12.363696788736762</v>
      </c>
      <c r="AG20">
        <f t="shared" si="16"/>
        <v>-6.5655665367239209</v>
      </c>
      <c r="AH20">
        <f t="shared" si="17"/>
        <v>2.9385465698703479</v>
      </c>
      <c r="AI20">
        <f t="shared" si="27"/>
        <v>2.9385465698703479</v>
      </c>
      <c r="AK20">
        <v>87.236429999999999</v>
      </c>
      <c r="AL20">
        <v>7.5071843758619056E-2</v>
      </c>
      <c r="AM20">
        <f t="shared" si="8"/>
        <v>6.5489996430197079</v>
      </c>
      <c r="AN20">
        <f t="shared" si="18"/>
        <v>-2.118562340651442</v>
      </c>
      <c r="AO20">
        <f t="shared" si="19"/>
        <v>1.508457626202131</v>
      </c>
      <c r="AP20">
        <f t="shared" si="28"/>
        <v>2.6943829082492154</v>
      </c>
      <c r="AR20">
        <v>62.474719999999998</v>
      </c>
      <c r="AS20">
        <v>0.45954659134420783</v>
      </c>
      <c r="AT20">
        <f t="shared" si="9"/>
        <v>28.710044621183808</v>
      </c>
      <c r="AU20">
        <f t="shared" si="20"/>
        <v>-2.1251816312542804</v>
      </c>
      <c r="AV20">
        <f t="shared" si="21"/>
        <v>1.5018383355992926</v>
      </c>
      <c r="AW20">
        <f t="shared" si="29"/>
        <v>1.5018383355992926</v>
      </c>
      <c r="AY20" s="4">
        <f t="shared" si="1"/>
        <v>76.321949001996416</v>
      </c>
      <c r="AZ20">
        <f t="shared" si="22"/>
        <v>-3.627019966853573</v>
      </c>
    </row>
    <row r="21" spans="1:52" x14ac:dyDescent="0.35">
      <c r="A21" s="2">
        <v>37073</v>
      </c>
      <c r="B21">
        <v>53.38261</v>
      </c>
      <c r="C21">
        <v>4.1523944342587146E-2</v>
      </c>
      <c r="D21">
        <f t="shared" si="30"/>
        <v>2.2166565265020362</v>
      </c>
      <c r="E21">
        <f t="shared" si="10"/>
        <v>-3.1471641177969079</v>
      </c>
      <c r="F21">
        <f t="shared" si="2"/>
        <v>0.59165908543561407</v>
      </c>
      <c r="G21">
        <f t="shared" si="23"/>
        <v>5.3846891274844655E-2</v>
      </c>
      <c r="I21">
        <v>86.314959999999999</v>
      </c>
      <c r="J21">
        <v>7.9367616740685917E-2</v>
      </c>
      <c r="K21">
        <f t="shared" si="3"/>
        <v>6.8506126642676355</v>
      </c>
      <c r="L21">
        <f t="shared" si="11"/>
        <v>-5.4022087550589459</v>
      </c>
      <c r="M21">
        <f t="shared" si="4"/>
        <v>1.663385551826424</v>
      </c>
      <c r="N21">
        <f t="shared" si="24"/>
        <v>0.4765870013677227</v>
      </c>
      <c r="P21">
        <v>68.392849999999996</v>
      </c>
      <c r="Q21">
        <v>0.11539299871475681</v>
      </c>
      <c r="R21">
        <f t="shared" si="5"/>
        <v>7.8920560521485541</v>
      </c>
      <c r="S21">
        <f t="shared" si="12"/>
        <v>-3.6397276326046946</v>
      </c>
      <c r="T21">
        <f t="shared" si="13"/>
        <v>9.9095570627827367E-2</v>
      </c>
      <c r="U21">
        <f t="shared" si="25"/>
        <v>1.2920121406921226</v>
      </c>
      <c r="W21">
        <v>132.14429999999999</v>
      </c>
      <c r="X21">
        <v>8.0371484529170825E-2</v>
      </c>
      <c r="Y21">
        <f t="shared" si="6"/>
        <v>10.620633563068107</v>
      </c>
      <c r="Z21">
        <f t="shared" si="14"/>
        <v>-3.2600181262600891</v>
      </c>
      <c r="AA21">
        <f t="shared" si="15"/>
        <v>0.4788050769724328</v>
      </c>
      <c r="AB21">
        <f t="shared" si="26"/>
        <v>2.4597414928979151</v>
      </c>
      <c r="AD21">
        <v>78.873249999999999</v>
      </c>
      <c r="AE21">
        <v>0.14872552056997243</v>
      </c>
      <c r="AF21">
        <f t="shared" si="7"/>
        <v>11.730465165295577</v>
      </c>
      <c r="AG21">
        <f t="shared" si="16"/>
        <v>-5.1217013346530287</v>
      </c>
      <c r="AH21">
        <f t="shared" si="17"/>
        <v>1.3828781314205068</v>
      </c>
      <c r="AI21">
        <f t="shared" si="27"/>
        <v>1.3828781314205068</v>
      </c>
      <c r="AK21">
        <v>82.829160000000002</v>
      </c>
      <c r="AL21">
        <v>7.5071843758619056E-2</v>
      </c>
      <c r="AM21">
        <f t="shared" si="8"/>
        <v>6.2181377581776589</v>
      </c>
      <c r="AN21">
        <f t="shared" si="18"/>
        <v>-5.0520980741646575</v>
      </c>
      <c r="AO21">
        <f t="shared" si="19"/>
        <v>1.3132748709321356</v>
      </c>
      <c r="AP21">
        <f t="shared" si="28"/>
        <v>4.940294837785709</v>
      </c>
      <c r="AR21">
        <v>60.798720000000003</v>
      </c>
      <c r="AS21">
        <v>0.45954659134420783</v>
      </c>
      <c r="AT21">
        <f t="shared" si="9"/>
        <v>27.939844534090916</v>
      </c>
      <c r="AU21">
        <f t="shared" si="20"/>
        <v>-2.6826850924661971</v>
      </c>
      <c r="AV21">
        <f t="shared" si="21"/>
        <v>1.0561381107663248</v>
      </c>
      <c r="AW21">
        <f t="shared" si="29"/>
        <v>1.0561381107663248</v>
      </c>
      <c r="AY21" s="4">
        <f t="shared" si="1"/>
        <v>73.468406263550477</v>
      </c>
      <c r="AZ21">
        <f t="shared" si="22"/>
        <v>-3.7388232032325219</v>
      </c>
    </row>
    <row r="22" spans="1:52" x14ac:dyDescent="0.35">
      <c r="A22" s="2">
        <v>37104</v>
      </c>
      <c r="B22">
        <v>53.019060000000003</v>
      </c>
      <c r="C22">
        <v>4.1523944342587146E-2</v>
      </c>
      <c r="D22">
        <f t="shared" si="30"/>
        <v>2.2015604965362887</v>
      </c>
      <c r="E22">
        <f t="shared" si="10"/>
        <v>-0.68102702359438272</v>
      </c>
      <c r="F22">
        <f t="shared" si="2"/>
        <v>1.5163747192728283</v>
      </c>
      <c r="G22">
        <f t="shared" si="23"/>
        <v>0.92471563383721422</v>
      </c>
      <c r="I22">
        <v>84.852239999999995</v>
      </c>
      <c r="J22">
        <v>7.9367616740685917E-2</v>
      </c>
      <c r="K22">
        <f t="shared" si="3"/>
        <v>6.7345200639086986</v>
      </c>
      <c r="L22">
        <f t="shared" si="11"/>
        <v>-1.694630919136153</v>
      </c>
      <c r="M22">
        <f t="shared" si="4"/>
        <v>0.50277082373105797</v>
      </c>
      <c r="N22">
        <f t="shared" si="24"/>
        <v>1.160614728095366</v>
      </c>
      <c r="P22">
        <v>64.602680000000007</v>
      </c>
      <c r="Q22">
        <v>0.11539299871475681</v>
      </c>
      <c r="R22">
        <f t="shared" si="5"/>
        <v>7.454696970209846</v>
      </c>
      <c r="S22">
        <f t="shared" si="12"/>
        <v>-5.5417635030562291</v>
      </c>
      <c r="T22">
        <f t="shared" si="13"/>
        <v>3.3443617601890181</v>
      </c>
      <c r="U22">
        <f t="shared" si="25"/>
        <v>3.2452661895611907</v>
      </c>
      <c r="W22">
        <v>130.53219999999999</v>
      </c>
      <c r="X22">
        <v>8.0371484529170825E-2</v>
      </c>
      <c r="Y22">
        <f t="shared" si="6"/>
        <v>10.491066692858631</v>
      </c>
      <c r="Z22">
        <f t="shared" si="14"/>
        <v>-1.2199542469860547</v>
      </c>
      <c r="AA22">
        <f t="shared" si="15"/>
        <v>0.97744749588115631</v>
      </c>
      <c r="AB22">
        <f t="shared" si="26"/>
        <v>0.40543063553935044</v>
      </c>
      <c r="AD22">
        <v>75.724270000000004</v>
      </c>
      <c r="AE22">
        <v>0.14872552056997243</v>
      </c>
      <c r="AF22">
        <f t="shared" si="7"/>
        <v>11.262131475531147</v>
      </c>
      <c r="AG22">
        <f t="shared" si="16"/>
        <v>-3.9924562510103123</v>
      </c>
      <c r="AH22">
        <f t="shared" si="17"/>
        <v>1.7950545081431013</v>
      </c>
      <c r="AI22">
        <f t="shared" si="27"/>
        <v>1.7950545081431013</v>
      </c>
      <c r="AK22">
        <v>82.573650000000001</v>
      </c>
      <c r="AL22">
        <v>7.5071843758619056E-2</v>
      </c>
      <c r="AM22">
        <f t="shared" si="8"/>
        <v>6.1989561513788942</v>
      </c>
      <c r="AN22">
        <f t="shared" si="18"/>
        <v>-0.30847831850522311</v>
      </c>
      <c r="AO22">
        <f t="shared" si="19"/>
        <v>1.8889234243619879</v>
      </c>
      <c r="AP22">
        <f t="shared" si="28"/>
        <v>5.6277466275945098</v>
      </c>
      <c r="AR22">
        <v>59.865699999999997</v>
      </c>
      <c r="AS22">
        <v>0.45954659134420783</v>
      </c>
      <c r="AT22">
        <f t="shared" si="9"/>
        <v>27.511078373434941</v>
      </c>
      <c r="AU22">
        <f t="shared" si="20"/>
        <v>-1.5346046758879184</v>
      </c>
      <c r="AV22">
        <f t="shared" si="21"/>
        <v>0.66279706697929264</v>
      </c>
      <c r="AW22">
        <f t="shared" si="29"/>
        <v>0.66279706697929264</v>
      </c>
      <c r="AY22" s="4">
        <f t="shared" si="1"/>
        <v>71.854010223858452</v>
      </c>
      <c r="AZ22">
        <f t="shared" si="22"/>
        <v>-2.197401742867211</v>
      </c>
    </row>
    <row r="23" spans="1:52" x14ac:dyDescent="0.35">
      <c r="A23" s="2">
        <v>37135</v>
      </c>
      <c r="B23">
        <v>48.657069999999997</v>
      </c>
      <c r="C23">
        <v>4.1523944342587146E-2</v>
      </c>
      <c r="D23">
        <f t="shared" si="30"/>
        <v>2.0204334665533668</v>
      </c>
      <c r="E23">
        <f t="shared" si="10"/>
        <v>-8.2272111199255598</v>
      </c>
      <c r="F23">
        <f t="shared" si="2"/>
        <v>4.0823776448724143</v>
      </c>
      <c r="G23">
        <f t="shared" si="23"/>
        <v>2.566002925599586</v>
      </c>
      <c r="I23">
        <v>71.22739</v>
      </c>
      <c r="J23">
        <v>7.9367616740685917E-2</v>
      </c>
      <c r="K23">
        <f t="shared" si="3"/>
        <v>5.6531481909593646</v>
      </c>
      <c r="L23">
        <f t="shared" si="11"/>
        <v>-16.057148285065892</v>
      </c>
      <c r="M23">
        <f t="shared" si="4"/>
        <v>3.7475595202679184</v>
      </c>
      <c r="N23">
        <f t="shared" si="24"/>
        <v>3.2447886965368604</v>
      </c>
      <c r="P23">
        <v>53.480829999999997</v>
      </c>
      <c r="Q23">
        <v>0.11539299871475681</v>
      </c>
      <c r="R23">
        <f t="shared" si="5"/>
        <v>6.1713133474541273</v>
      </c>
      <c r="S23">
        <f t="shared" si="12"/>
        <v>-17.215771853427764</v>
      </c>
      <c r="T23">
        <f t="shared" si="13"/>
        <v>4.9061830886297901</v>
      </c>
      <c r="U23">
        <f t="shared" si="25"/>
        <v>1.561821328440772</v>
      </c>
      <c r="W23">
        <v>107.0034</v>
      </c>
      <c r="X23">
        <v>8.0371484529170825E-2</v>
      </c>
      <c r="Y23">
        <f t="shared" si="6"/>
        <v>8.6000221076686767</v>
      </c>
      <c r="Z23">
        <f t="shared" si="14"/>
        <v>-18.025284182753364</v>
      </c>
      <c r="AA23">
        <f t="shared" si="15"/>
        <v>5.7156954179553896</v>
      </c>
      <c r="AB23">
        <f t="shared" si="26"/>
        <v>3.9206409098122883</v>
      </c>
      <c r="AD23">
        <v>66.644139999999993</v>
      </c>
      <c r="AE23">
        <v>0.14872552056997243</v>
      </c>
      <c r="AF23">
        <f t="shared" si="7"/>
        <v>9.9116844144381222</v>
      </c>
      <c r="AG23">
        <f t="shared" si="16"/>
        <v>-11.991043294309755</v>
      </c>
      <c r="AH23">
        <f t="shared" si="17"/>
        <v>0.31854547048821935</v>
      </c>
      <c r="AI23">
        <f t="shared" si="27"/>
        <v>0.31854547048821935</v>
      </c>
      <c r="AK23">
        <v>74.106830000000002</v>
      </c>
      <c r="AL23">
        <v>7.5071843758619056E-2</v>
      </c>
      <c r="AM23">
        <f t="shared" si="8"/>
        <v>5.5633363632065436</v>
      </c>
      <c r="AN23">
        <f t="shared" si="18"/>
        <v>-10.253658400712574</v>
      </c>
      <c r="AO23">
        <f t="shared" si="19"/>
        <v>2.0559303640854001</v>
      </c>
      <c r="AP23">
        <f t="shared" si="28"/>
        <v>4.2533321069526107</v>
      </c>
      <c r="AR23">
        <v>54.595419999999997</v>
      </c>
      <c r="AS23">
        <v>0.45954659134420783</v>
      </c>
      <c r="AT23">
        <f t="shared" si="9"/>
        <v>25.089139164005388</v>
      </c>
      <c r="AU23">
        <f t="shared" si="20"/>
        <v>-8.8035051790925305</v>
      </c>
      <c r="AV23">
        <f t="shared" si="21"/>
        <v>3.5060835857054435</v>
      </c>
      <c r="AW23">
        <f t="shared" si="29"/>
        <v>3.5060835857054435</v>
      </c>
      <c r="AY23" s="4">
        <f t="shared" si="1"/>
        <v>63.009077054285584</v>
      </c>
      <c r="AZ23">
        <f t="shared" si="22"/>
        <v>-12.309588764797974</v>
      </c>
    </row>
    <row r="24" spans="1:52" x14ac:dyDescent="0.35">
      <c r="A24" s="2">
        <v>37165</v>
      </c>
      <c r="B24">
        <v>48.258369999999999</v>
      </c>
      <c r="C24">
        <v>4.1523944342587146E-2</v>
      </c>
      <c r="D24">
        <f t="shared" si="30"/>
        <v>2.0038778699439774</v>
      </c>
      <c r="E24">
        <f t="shared" si="10"/>
        <v>-0.81940815589593985</v>
      </c>
      <c r="F24">
        <f t="shared" si="2"/>
        <v>3.1303953547705099</v>
      </c>
      <c r="G24">
        <f t="shared" si="23"/>
        <v>0.95198229010190438</v>
      </c>
      <c r="I24">
        <v>73.335980000000006</v>
      </c>
      <c r="J24">
        <v>7.9367616740685917E-2</v>
      </c>
      <c r="K24">
        <f t="shared" si="3"/>
        <v>5.8205019539426077</v>
      </c>
      <c r="L24">
        <f t="shared" si="11"/>
        <v>2.9603639835743101</v>
      </c>
      <c r="M24">
        <f t="shared" si="4"/>
        <v>0.64937678469974003</v>
      </c>
      <c r="N24">
        <f t="shared" si="24"/>
        <v>3.0981827355681784</v>
      </c>
      <c r="P24">
        <v>55.641970000000001</v>
      </c>
      <c r="Q24">
        <v>0.11539299871475681</v>
      </c>
      <c r="R24">
        <f t="shared" si="5"/>
        <v>6.420693772696537</v>
      </c>
      <c r="S24">
        <f t="shared" si="12"/>
        <v>4.0409619671198049</v>
      </c>
      <c r="T24">
        <f t="shared" si="13"/>
        <v>1.7299747682452349</v>
      </c>
      <c r="U24">
        <f t="shared" si="25"/>
        <v>3.1762083203845553</v>
      </c>
      <c r="W24">
        <v>110.3981</v>
      </c>
      <c r="X24">
        <v>8.0371484529170825E-2</v>
      </c>
      <c r="Y24">
        <f t="shared" si="6"/>
        <v>8.8728591861998538</v>
      </c>
      <c r="Z24">
        <f t="shared" si="14"/>
        <v>3.1725160135098518</v>
      </c>
      <c r="AA24">
        <f t="shared" si="15"/>
        <v>0.86152881463528175</v>
      </c>
      <c r="AB24">
        <f t="shared" si="26"/>
        <v>0.5429833441470624</v>
      </c>
      <c r="AD24">
        <v>69.136889999999994</v>
      </c>
      <c r="AE24">
        <v>0.14872552056997243</v>
      </c>
      <c r="AF24">
        <f t="shared" si="7"/>
        <v>10.28241995583892</v>
      </c>
      <c r="AG24">
        <f t="shared" si="16"/>
        <v>3.740388877401668</v>
      </c>
      <c r="AH24">
        <f t="shared" si="17"/>
        <v>1.429401678527098</v>
      </c>
      <c r="AI24">
        <f t="shared" si="27"/>
        <v>1.429401678527098</v>
      </c>
      <c r="AK24">
        <v>76.727680000000007</v>
      </c>
      <c r="AL24">
        <v>7.5071843758619056E-2</v>
      </c>
      <c r="AM24">
        <f t="shared" si="8"/>
        <v>5.760088404921321</v>
      </c>
      <c r="AN24">
        <f t="shared" si="18"/>
        <v>3.536583605046939</v>
      </c>
      <c r="AO24">
        <f t="shared" si="19"/>
        <v>1.225596406172369</v>
      </c>
      <c r="AP24">
        <f t="shared" si="28"/>
        <v>13.535185170970344</v>
      </c>
      <c r="AR24">
        <v>55.064639999999997</v>
      </c>
      <c r="AS24">
        <v>0.45954659134420783</v>
      </c>
      <c r="AT24">
        <f t="shared" si="9"/>
        <v>25.304767615595917</v>
      </c>
      <c r="AU24">
        <f t="shared" si="20"/>
        <v>0.85944938238409208</v>
      </c>
      <c r="AV24">
        <f t="shared" si="21"/>
        <v>1.451537816490478</v>
      </c>
      <c r="AW24">
        <f t="shared" si="29"/>
        <v>1.451537816490478</v>
      </c>
      <c r="AY24" s="4">
        <f t="shared" si="1"/>
        <v>64.465208759139131</v>
      </c>
      <c r="AZ24">
        <f t="shared" si="22"/>
        <v>2.31098719887457</v>
      </c>
    </row>
    <row r="25" spans="1:52" x14ac:dyDescent="0.35">
      <c r="A25" s="2">
        <v>37196</v>
      </c>
      <c r="B25">
        <v>50.805250000000001</v>
      </c>
      <c r="C25">
        <v>4.1523944342587146E-2</v>
      </c>
      <c r="D25">
        <f t="shared" si="30"/>
        <v>2.1096343733112257</v>
      </c>
      <c r="E25">
        <f t="shared" si="10"/>
        <v>5.2775922601612901</v>
      </c>
      <c r="F25">
        <f t="shared" si="2"/>
        <v>1.8739953850715363</v>
      </c>
      <c r="G25">
        <f t="shared" si="23"/>
        <v>1.2563999696989736</v>
      </c>
      <c r="I25">
        <v>78.01146</v>
      </c>
      <c r="J25">
        <v>7.9367616740685917E-2</v>
      </c>
      <c r="K25">
        <f t="shared" si="3"/>
        <v>6.19158365866135</v>
      </c>
      <c r="L25">
        <f t="shared" si="11"/>
        <v>6.3754244505902724</v>
      </c>
      <c r="M25">
        <f t="shared" si="4"/>
        <v>2.9718275755005186</v>
      </c>
      <c r="N25">
        <f t="shared" si="24"/>
        <v>2.3224507908007785</v>
      </c>
      <c r="P25">
        <v>59.632640000000002</v>
      </c>
      <c r="Q25">
        <v>0.11539299871475681</v>
      </c>
      <c r="R25">
        <f t="shared" si="5"/>
        <v>6.8811891508775558</v>
      </c>
      <c r="S25">
        <f t="shared" si="12"/>
        <v>7.1720501628536937</v>
      </c>
      <c r="T25">
        <f t="shared" si="13"/>
        <v>3.7684532877639398</v>
      </c>
      <c r="U25">
        <f t="shared" si="25"/>
        <v>2.038478519518705</v>
      </c>
      <c r="W25">
        <v>115.0026</v>
      </c>
      <c r="X25">
        <v>8.0371484529170797E-2</v>
      </c>
      <c r="Y25">
        <f t="shared" si="6"/>
        <v>9.2429296867144171</v>
      </c>
      <c r="Z25">
        <f t="shared" si="14"/>
        <v>4.170814533945788</v>
      </c>
      <c r="AA25">
        <f t="shared" si="15"/>
        <v>0.76721765885603421</v>
      </c>
      <c r="AB25">
        <f t="shared" si="26"/>
        <v>0.66218401967106377</v>
      </c>
      <c r="AD25">
        <v>67.749020000000002</v>
      </c>
      <c r="AE25">
        <v>0.14872552056997243</v>
      </c>
      <c r="AF25">
        <f t="shared" si="7"/>
        <v>10.076008267605474</v>
      </c>
      <c r="AG25">
        <f t="shared" si="16"/>
        <v>-2.0074232439439954</v>
      </c>
      <c r="AH25">
        <f t="shared" si="17"/>
        <v>5.4110201190337488</v>
      </c>
      <c r="AI25">
        <f t="shared" si="27"/>
        <v>5.4110201190337488</v>
      </c>
      <c r="AK25">
        <v>79.491829999999993</v>
      </c>
      <c r="AL25">
        <v>7.5071843758619056E-2</v>
      </c>
      <c r="AM25">
        <f t="shared" si="8"/>
        <v>5.9675982418467068</v>
      </c>
      <c r="AN25">
        <f t="shared" si="18"/>
        <v>3.6025460433574796</v>
      </c>
      <c r="AO25">
        <f t="shared" si="19"/>
        <v>0.1989491682677258</v>
      </c>
      <c r="AP25">
        <f t="shared" si="28"/>
        <v>2.1120380306068443</v>
      </c>
      <c r="AR25">
        <v>56.99183</v>
      </c>
      <c r="AS25">
        <v>0.45954659134420783</v>
      </c>
      <c r="AT25">
        <f t="shared" si="9"/>
        <v>26.190401210968563</v>
      </c>
      <c r="AU25">
        <f t="shared" si="20"/>
        <v>3.4998685181633959</v>
      </c>
      <c r="AV25">
        <f t="shared" si="21"/>
        <v>9.627164307364211E-2</v>
      </c>
      <c r="AW25">
        <f t="shared" si="29"/>
        <v>9.627164307364211E-2</v>
      </c>
      <c r="AY25" s="4">
        <f t="shared" si="1"/>
        <v>66.659344589985281</v>
      </c>
      <c r="AZ25">
        <f t="shared" si="22"/>
        <v>3.4035968750897538</v>
      </c>
    </row>
    <row r="26" spans="1:52" x14ac:dyDescent="0.35">
      <c r="A26" s="2">
        <v>37226</v>
      </c>
      <c r="B26">
        <v>52.629840000000002</v>
      </c>
      <c r="C26">
        <v>4.1523944342587146E-2</v>
      </c>
      <c r="D26">
        <f t="shared" si="30"/>
        <v>2.1853985469192669</v>
      </c>
      <c r="E26">
        <f t="shared" si="10"/>
        <v>3.5913414460119863</v>
      </c>
      <c r="F26">
        <f t="shared" si="2"/>
        <v>3.1260425072140219</v>
      </c>
      <c r="G26">
        <f t="shared" si="23"/>
        <v>1.2520471221424856</v>
      </c>
      <c r="I26">
        <v>78.718620000000001</v>
      </c>
      <c r="J26">
        <v>7.9367616740685917E-2</v>
      </c>
      <c r="K26">
        <f t="shared" si="3"/>
        <v>6.2477092625156931</v>
      </c>
      <c r="L26">
        <f t="shared" si="11"/>
        <v>0.90648220146116731</v>
      </c>
      <c r="M26">
        <f t="shared" si="4"/>
        <v>0.44118326266320285</v>
      </c>
      <c r="N26">
        <f t="shared" si="24"/>
        <v>2.5306443128373157</v>
      </c>
      <c r="P26">
        <v>60.74888</v>
      </c>
      <c r="Q26">
        <v>0.11539299871475681</v>
      </c>
      <c r="R26">
        <f t="shared" si="5"/>
        <v>7.0099954317629152</v>
      </c>
      <c r="S26">
        <f t="shared" si="12"/>
        <v>1.8718607795998876</v>
      </c>
      <c r="T26">
        <f t="shared" si="13"/>
        <v>1.4065618408019231</v>
      </c>
      <c r="U26">
        <f t="shared" si="25"/>
        <v>2.3618914469620167</v>
      </c>
      <c r="W26">
        <v>116.15779999999999</v>
      </c>
      <c r="X26">
        <v>8.0371484529170797E-2</v>
      </c>
      <c r="Y26">
        <f t="shared" si="6"/>
        <v>9.335774825642515</v>
      </c>
      <c r="Z26">
        <f t="shared" si="14"/>
        <v>1.0044990287175981</v>
      </c>
      <c r="AA26">
        <f t="shared" si="15"/>
        <v>0.53920008991963364</v>
      </c>
      <c r="AB26">
        <f t="shared" si="26"/>
        <v>4.8718200291141152</v>
      </c>
      <c r="AD26">
        <v>65.639179999999996</v>
      </c>
      <c r="AE26">
        <v>0.14872552056997243</v>
      </c>
      <c r="AF26">
        <f t="shared" si="7"/>
        <v>9.7622212152861216</v>
      </c>
      <c r="AG26">
        <f t="shared" si="16"/>
        <v>-3.1142000282808557</v>
      </c>
      <c r="AH26">
        <f t="shared" si="17"/>
        <v>3.5794989670788202</v>
      </c>
      <c r="AI26">
        <f t="shared" si="27"/>
        <v>3.5794989670788202</v>
      </c>
      <c r="AK26">
        <v>78.560640000000006</v>
      </c>
      <c r="AL26">
        <v>7.5071843758619056E-2</v>
      </c>
      <c r="AM26">
        <f t="shared" si="8"/>
        <v>5.8976920916571194</v>
      </c>
      <c r="AN26">
        <f t="shared" si="18"/>
        <v>-1.1714285606457708</v>
      </c>
      <c r="AO26">
        <f t="shared" si="19"/>
        <v>1.6367274994437353</v>
      </c>
      <c r="AP26">
        <f t="shared" si="28"/>
        <v>1.7668693756460185</v>
      </c>
      <c r="AR26">
        <v>57.732379999999999</v>
      </c>
      <c r="AS26">
        <v>0.45954659134420783</v>
      </c>
      <c r="AT26">
        <f t="shared" si="9"/>
        <v>26.530718439188519</v>
      </c>
      <c r="AU26">
        <f t="shared" si="20"/>
        <v>1.2993967731866007</v>
      </c>
      <c r="AV26">
        <f t="shared" si="21"/>
        <v>0.83409783438863627</v>
      </c>
      <c r="AW26">
        <f t="shared" si="29"/>
        <v>0.83409783438863627</v>
      </c>
      <c r="AY26" s="4">
        <f t="shared" si="1"/>
        <v>66.969509812972163</v>
      </c>
      <c r="AZ26">
        <f t="shared" si="22"/>
        <v>0.46529893879796447</v>
      </c>
    </row>
    <row r="27" spans="1:52" x14ac:dyDescent="0.35">
      <c r="A27" s="2">
        <v>37257</v>
      </c>
      <c r="B27">
        <v>53.477800000000002</v>
      </c>
      <c r="C27">
        <v>4.2290471529553272E-2</v>
      </c>
      <c r="D27">
        <f t="shared" si="30"/>
        <v>2.2616013783631441</v>
      </c>
      <c r="E27">
        <f t="shared" si="10"/>
        <v>1.6111772332957797</v>
      </c>
      <c r="F27">
        <f t="shared" si="2"/>
        <v>1.5414908602701338</v>
      </c>
      <c r="G27">
        <f t="shared" si="23"/>
        <v>1.5845516469438881</v>
      </c>
      <c r="I27">
        <v>79.000039999999998</v>
      </c>
      <c r="J27">
        <v>7.9370102807146264E-2</v>
      </c>
      <c r="K27">
        <f t="shared" si="3"/>
        <v>6.2702412965686669</v>
      </c>
      <c r="L27">
        <f t="shared" si="11"/>
        <v>0.35750118586936885</v>
      </c>
      <c r="M27">
        <f t="shared" si="4"/>
        <v>0.28781481284372301</v>
      </c>
      <c r="N27">
        <f t="shared" si="24"/>
        <v>0.15336844981947984</v>
      </c>
      <c r="P27">
        <v>62.084890000000001</v>
      </c>
      <c r="Q27">
        <v>0.11387507083985186</v>
      </c>
      <c r="R27">
        <f t="shared" si="5"/>
        <v>7.0699212468344106</v>
      </c>
      <c r="S27">
        <f t="shared" si="12"/>
        <v>2.1992339611857981</v>
      </c>
      <c r="T27">
        <f t="shared" si="13"/>
        <v>2.1295475881601522</v>
      </c>
      <c r="U27">
        <f t="shared" si="25"/>
        <v>0.72298574735822907</v>
      </c>
      <c r="W27">
        <v>117.01260000000001</v>
      </c>
      <c r="X27">
        <v>7.9673389767673658E-2</v>
      </c>
      <c r="Y27">
        <f t="shared" si="6"/>
        <v>9.3227904875288914</v>
      </c>
      <c r="Z27">
        <f t="shared" si="14"/>
        <v>0.73589548011412376</v>
      </c>
      <c r="AA27">
        <f t="shared" si="15"/>
        <v>0.66620910708847791</v>
      </c>
      <c r="AB27">
        <f t="shared" si="26"/>
        <v>2.9132898599903423</v>
      </c>
      <c r="AD27">
        <v>64.679339999999996</v>
      </c>
      <c r="AE27">
        <v>0.14712197373576802</v>
      </c>
      <c r="AF27">
        <f t="shared" si="7"/>
        <v>9.5157521607268087</v>
      </c>
      <c r="AG27">
        <f t="shared" si="16"/>
        <v>-1.4622973656892135</v>
      </c>
      <c r="AH27">
        <f t="shared" si="17"/>
        <v>1.5319837387148594</v>
      </c>
      <c r="AI27">
        <f t="shared" si="27"/>
        <v>1.5319837387148594</v>
      </c>
      <c r="AK27">
        <v>78.728650000000002</v>
      </c>
      <c r="AL27">
        <v>7.5561489545124316E-2</v>
      </c>
      <c r="AM27">
        <f t="shared" si="8"/>
        <v>5.9488540638767518</v>
      </c>
      <c r="AN27">
        <f t="shared" si="18"/>
        <v>0.21386027405072561</v>
      </c>
      <c r="AO27">
        <f t="shared" si="19"/>
        <v>0.14417390102507976</v>
      </c>
      <c r="AP27">
        <f t="shared" si="28"/>
        <v>0.3211250377728847</v>
      </c>
      <c r="AR27">
        <v>57.620829999999998</v>
      </c>
      <c r="AS27">
        <v>0.46210750177488258</v>
      </c>
      <c r="AT27">
        <f t="shared" si="9"/>
        <v>26.627017801495207</v>
      </c>
      <c r="AU27">
        <f t="shared" si="20"/>
        <v>-0.19321912590474222</v>
      </c>
      <c r="AV27">
        <f t="shared" si="21"/>
        <v>0.26290549893038806</v>
      </c>
      <c r="AW27">
        <f t="shared" si="29"/>
        <v>0.26290549893038806</v>
      </c>
      <c r="AY27" s="4">
        <f t="shared" si="1"/>
        <v>67.016178435393883</v>
      </c>
      <c r="AZ27">
        <f t="shared" si="22"/>
        <v>6.9686373025645842E-2</v>
      </c>
    </row>
    <row r="28" spans="1:52" x14ac:dyDescent="0.35">
      <c r="A28" s="2">
        <v>37288</v>
      </c>
      <c r="B28">
        <v>52.563519999999997</v>
      </c>
      <c r="C28">
        <v>4.2290471529553272E-2</v>
      </c>
      <c r="D28">
        <f t="shared" si="30"/>
        <v>2.2229360460531038</v>
      </c>
      <c r="E28">
        <f t="shared" si="10"/>
        <v>-1.7096440018101067</v>
      </c>
      <c r="F28">
        <f t="shared" si="2"/>
        <v>0.86125185440123486</v>
      </c>
      <c r="G28">
        <f t="shared" si="23"/>
        <v>0.68023900586889896</v>
      </c>
      <c r="I28">
        <v>76.419460000000001</v>
      </c>
      <c r="J28">
        <v>7.9370102807146264E-2</v>
      </c>
      <c r="K28">
        <f t="shared" si="3"/>
        <v>6.0654203966666014</v>
      </c>
      <c r="L28">
        <f t="shared" si="11"/>
        <v>-3.2665553080732601</v>
      </c>
      <c r="M28">
        <f t="shared" si="4"/>
        <v>0.69565945186191858</v>
      </c>
      <c r="N28">
        <f t="shared" si="24"/>
        <v>0.40784463901819556</v>
      </c>
      <c r="P28">
        <v>59.865920000000003</v>
      </c>
      <c r="Q28">
        <v>0.11387507083985186</v>
      </c>
      <c r="R28">
        <f t="shared" si="5"/>
        <v>6.8172358808929046</v>
      </c>
      <c r="S28">
        <f t="shared" si="12"/>
        <v>-3.5740902496565585</v>
      </c>
      <c r="T28">
        <f t="shared" si="13"/>
        <v>1.003194393445217</v>
      </c>
      <c r="U28">
        <f t="shared" si="25"/>
        <v>1.1263531947149352</v>
      </c>
      <c r="W28">
        <v>113.6489</v>
      </c>
      <c r="X28">
        <v>7.9673389767673658E-2</v>
      </c>
      <c r="Y28">
        <f t="shared" si="6"/>
        <v>9.0547931063673666</v>
      </c>
      <c r="Z28">
        <f t="shared" si="14"/>
        <v>-2.8746476875139981</v>
      </c>
      <c r="AA28">
        <f t="shared" si="15"/>
        <v>0.30375183130265659</v>
      </c>
      <c r="AB28">
        <f t="shared" si="26"/>
        <v>1.2282319074122028</v>
      </c>
      <c r="AD28">
        <v>62.470219999999998</v>
      </c>
      <c r="AE28">
        <v>0.14712197373576802</v>
      </c>
      <c r="AF28">
        <f t="shared" si="7"/>
        <v>9.1907420661076493</v>
      </c>
      <c r="AG28">
        <f t="shared" si="16"/>
        <v>-3.4154955817421784</v>
      </c>
      <c r="AH28">
        <f t="shared" si="17"/>
        <v>0.84459972553083684</v>
      </c>
      <c r="AI28">
        <f t="shared" si="27"/>
        <v>0.84459972553083684</v>
      </c>
      <c r="AK28">
        <v>77.740139999999997</v>
      </c>
      <c r="AL28">
        <v>7.5561489545124316E-2</v>
      </c>
      <c r="AM28">
        <f t="shared" si="8"/>
        <v>5.8741607758465006</v>
      </c>
      <c r="AN28">
        <f t="shared" si="18"/>
        <v>-1.255591198375694</v>
      </c>
      <c r="AO28">
        <f t="shared" si="19"/>
        <v>1.3153046578356475</v>
      </c>
      <c r="AP28">
        <f t="shared" si="28"/>
        <v>1.2456182848100017</v>
      </c>
      <c r="AR28">
        <v>56.411059999999999</v>
      </c>
      <c r="AS28">
        <v>0.46210750177488258</v>
      </c>
      <c r="AT28">
        <f t="shared" si="9"/>
        <v>26.067974009073009</v>
      </c>
      <c r="AU28">
        <f t="shared" si="20"/>
        <v>-2.0995358796462971</v>
      </c>
      <c r="AV28">
        <f t="shared" si="21"/>
        <v>0.47135997656504447</v>
      </c>
      <c r="AW28">
        <f t="shared" si="29"/>
        <v>0.47135997656504447</v>
      </c>
      <c r="AY28" s="4">
        <f t="shared" si="1"/>
        <v>65.293262281007145</v>
      </c>
      <c r="AZ28">
        <f t="shared" si="22"/>
        <v>-2.5708958562113415</v>
      </c>
    </row>
    <row r="29" spans="1:52" x14ac:dyDescent="0.35">
      <c r="A29" s="2">
        <v>37316</v>
      </c>
      <c r="B29">
        <v>54.831580000000002</v>
      </c>
      <c r="C29">
        <v>4.2290471529553272E-2</v>
      </c>
      <c r="D29">
        <f t="shared" si="30"/>
        <v>2.3188533729104228</v>
      </c>
      <c r="E29">
        <f t="shared" si="10"/>
        <v>4.3148936753094169</v>
      </c>
      <c r="F29">
        <f t="shared" si="2"/>
        <v>2.1342989734266293</v>
      </c>
      <c r="G29">
        <f t="shared" si="23"/>
        <v>1.2730471190253945</v>
      </c>
      <c r="I29">
        <v>81.21696</v>
      </c>
      <c r="J29">
        <v>7.9370102807146264E-2</v>
      </c>
      <c r="K29">
        <f t="shared" si="3"/>
        <v>6.4461984648838859</v>
      </c>
      <c r="L29">
        <f t="shared" si="11"/>
        <v>6.2778512174778589</v>
      </c>
      <c r="M29">
        <f t="shared" si="4"/>
        <v>0.17134143125818735</v>
      </c>
      <c r="N29">
        <f t="shared" si="24"/>
        <v>0.52431802060373123</v>
      </c>
      <c r="P29">
        <v>63.738990000000001</v>
      </c>
      <c r="Q29">
        <v>0.11387507083985186</v>
      </c>
      <c r="R29">
        <f t="shared" si="5"/>
        <v>7.2582820015106098</v>
      </c>
      <c r="S29">
        <f t="shared" si="12"/>
        <v>6.4695740080499942</v>
      </c>
      <c r="T29">
        <f t="shared" si="13"/>
        <v>2.0381359313947911E-2</v>
      </c>
      <c r="U29">
        <f t="shared" si="25"/>
        <v>0.98281303413126908</v>
      </c>
      <c r="W29">
        <v>121.55840000000001</v>
      </c>
      <c r="X29">
        <v>7.9673389767673658E-2</v>
      </c>
      <c r="Y29">
        <f t="shared" si="6"/>
        <v>9.6849697827347825</v>
      </c>
      <c r="Z29">
        <f t="shared" si="14"/>
        <v>6.9595922177865477</v>
      </c>
      <c r="AA29">
        <f t="shared" si="15"/>
        <v>0.51039956905050143</v>
      </c>
      <c r="AB29">
        <f t="shared" si="26"/>
        <v>0.33420015648033541</v>
      </c>
      <c r="AD29">
        <v>69.913020000000003</v>
      </c>
      <c r="AE29">
        <v>0.14712197373576802</v>
      </c>
      <c r="AF29">
        <f t="shared" si="7"/>
        <v>10.285741492228224</v>
      </c>
      <c r="AG29">
        <f t="shared" si="16"/>
        <v>11.914156857459446</v>
      </c>
      <c r="AH29">
        <f t="shared" si="17"/>
        <v>5.4649642087233996</v>
      </c>
      <c r="AI29">
        <f t="shared" si="27"/>
        <v>5.4649642087233996</v>
      </c>
      <c r="AK29">
        <v>79.658779999999993</v>
      </c>
      <c r="AL29">
        <v>7.5561489545124316E-2</v>
      </c>
      <c r="AM29">
        <f t="shared" si="8"/>
        <v>6.019136072147357</v>
      </c>
      <c r="AN29">
        <f t="shared" si="18"/>
        <v>2.4680171659068328</v>
      </c>
      <c r="AO29">
        <f t="shared" si="19"/>
        <v>3.9811754828292134</v>
      </c>
      <c r="AP29">
        <f t="shared" si="28"/>
        <v>6.5520713390405554</v>
      </c>
      <c r="AR29">
        <v>59.49042</v>
      </c>
      <c r="AS29">
        <v>0.46210750177488258</v>
      </c>
      <c r="AT29">
        <f t="shared" si="9"/>
        <v>27.490969365738511</v>
      </c>
      <c r="AU29">
        <f t="shared" si="20"/>
        <v>5.4587876916335265</v>
      </c>
      <c r="AV29">
        <f t="shared" si="21"/>
        <v>0.99040495710251975</v>
      </c>
      <c r="AW29">
        <f t="shared" si="29"/>
        <v>0.99040495710251975</v>
      </c>
      <c r="AY29" s="4">
        <f t="shared" si="1"/>
        <v>69.504150552153803</v>
      </c>
      <c r="AZ29">
        <f t="shared" si="22"/>
        <v>6.4491926487360463</v>
      </c>
    </row>
    <row r="30" spans="1:52" x14ac:dyDescent="0.35">
      <c r="A30" s="2">
        <v>37347</v>
      </c>
      <c r="B30">
        <v>54.167319999999997</v>
      </c>
      <c r="C30">
        <v>4.2290471529553272E-2</v>
      </c>
      <c r="D30">
        <f t="shared" si="30"/>
        <v>2.2907615042922016</v>
      </c>
      <c r="E30">
        <f t="shared" si="10"/>
        <v>-1.2114551504808113</v>
      </c>
      <c r="F30">
        <f t="shared" si="2"/>
        <v>3.2779628832557695E-2</v>
      </c>
      <c r="G30">
        <f t="shared" si="23"/>
        <v>2.1015193445940716</v>
      </c>
      <c r="I30">
        <v>80.508179999999996</v>
      </c>
      <c r="J30">
        <v>7.9370102807146264E-2</v>
      </c>
      <c r="K30">
        <f t="shared" si="3"/>
        <v>6.3899425234162361</v>
      </c>
      <c r="L30">
        <f t="shared" si="11"/>
        <v>-0.87269949527783997</v>
      </c>
      <c r="M30">
        <f t="shared" si="4"/>
        <v>0.30597602637041366</v>
      </c>
      <c r="N30">
        <f t="shared" si="24"/>
        <v>0.13463459511222631</v>
      </c>
      <c r="P30">
        <v>62.643970000000003</v>
      </c>
      <c r="Q30">
        <v>0.11387507083985186</v>
      </c>
      <c r="R30">
        <f t="shared" si="5"/>
        <v>7.1335865214395549</v>
      </c>
      <c r="S30">
        <f t="shared" si="12"/>
        <v>-1.7179751357842332</v>
      </c>
      <c r="T30">
        <f t="shared" si="13"/>
        <v>0.5392996141359796</v>
      </c>
      <c r="U30">
        <f t="shared" si="25"/>
        <v>0.51891825482203169</v>
      </c>
      <c r="W30">
        <v>122.218</v>
      </c>
      <c r="X30">
        <v>7.9673389767673658E-2</v>
      </c>
      <c r="Y30">
        <f t="shared" si="6"/>
        <v>9.7375223506255395</v>
      </c>
      <c r="Z30">
        <f t="shared" si="14"/>
        <v>0.54261984363070948</v>
      </c>
      <c r="AA30">
        <f t="shared" si="15"/>
        <v>1.7212953652789631</v>
      </c>
      <c r="AB30">
        <f t="shared" si="26"/>
        <v>3.7436688434444365</v>
      </c>
      <c r="AD30">
        <v>69.841459999999998</v>
      </c>
      <c r="AE30">
        <v>0.14712197373576802</v>
      </c>
      <c r="AF30">
        <f t="shared" si="7"/>
        <v>10.275213443787692</v>
      </c>
      <c r="AG30">
        <f t="shared" si="16"/>
        <v>-0.102355755766248</v>
      </c>
      <c r="AH30">
        <f t="shared" si="17"/>
        <v>1.0763197658820056</v>
      </c>
      <c r="AI30">
        <f t="shared" si="27"/>
        <v>1.0763197658820056</v>
      </c>
      <c r="AK30">
        <v>78.991129999999998</v>
      </c>
      <c r="AL30">
        <v>7.5561489545124316E-2</v>
      </c>
      <c r="AM30">
        <f t="shared" si="8"/>
        <v>5.9686874436525557</v>
      </c>
      <c r="AN30">
        <f t="shared" si="18"/>
        <v>-0.83813736539775086</v>
      </c>
      <c r="AO30">
        <f t="shared" si="19"/>
        <v>0.34053815625050277</v>
      </c>
      <c r="AP30">
        <f t="shared" si="28"/>
        <v>6.1086544924855435</v>
      </c>
      <c r="AR30">
        <v>58.188209999999998</v>
      </c>
      <c r="AS30">
        <v>0.46210750177488258</v>
      </c>
      <c r="AT30">
        <f t="shared" si="9"/>
        <v>26.88920835585224</v>
      </c>
      <c r="AU30">
        <f t="shared" si="20"/>
        <v>-2.1889406731369521</v>
      </c>
      <c r="AV30">
        <f t="shared" si="21"/>
        <v>1.0102651514886984</v>
      </c>
      <c r="AW30">
        <f t="shared" si="29"/>
        <v>1.0102651514886984</v>
      </c>
      <c r="AY30" s="4">
        <f t="shared" si="1"/>
        <v>68.684922143066018</v>
      </c>
      <c r="AZ30">
        <f t="shared" si="22"/>
        <v>-1.1786755216482536</v>
      </c>
    </row>
    <row r="31" spans="1:52" x14ac:dyDescent="0.35">
      <c r="A31" s="2">
        <v>37377</v>
      </c>
      <c r="B31">
        <v>53.436590000000002</v>
      </c>
      <c r="C31">
        <v>4.2290471529553272E-2</v>
      </c>
      <c r="D31">
        <f t="shared" si="30"/>
        <v>2.259858588031411</v>
      </c>
      <c r="E31">
        <f t="shared" si="10"/>
        <v>-1.3490237286983953</v>
      </c>
      <c r="F31">
        <f t="shared" si="2"/>
        <v>0.5990499651091219</v>
      </c>
      <c r="G31">
        <f t="shared" si="23"/>
        <v>0.5662703362765642</v>
      </c>
      <c r="I31">
        <v>78.111440000000002</v>
      </c>
      <c r="J31">
        <v>7.9370102807146264E-2</v>
      </c>
      <c r="K31">
        <f t="shared" si="3"/>
        <v>6.1997130232142368</v>
      </c>
      <c r="L31">
        <f t="shared" si="11"/>
        <v>-2.9770142611595385</v>
      </c>
      <c r="M31">
        <f t="shared" si="4"/>
        <v>1.0289405673520213</v>
      </c>
      <c r="N31">
        <f t="shared" si="24"/>
        <v>0.72296454098160767</v>
      </c>
      <c r="P31">
        <v>59.856279999999998</v>
      </c>
      <c r="Q31">
        <v>0.11387507083985186</v>
      </c>
      <c r="R31">
        <f t="shared" si="5"/>
        <v>6.8161381252100082</v>
      </c>
      <c r="S31">
        <f t="shared" si="12"/>
        <v>-4.4500532134218229</v>
      </c>
      <c r="T31">
        <f t="shared" si="13"/>
        <v>2.5019795196143058</v>
      </c>
      <c r="U31">
        <f t="shared" si="25"/>
        <v>1.9626799054783262</v>
      </c>
      <c r="W31">
        <v>117.0485</v>
      </c>
      <c r="X31">
        <v>7.9673389767673658E-2</v>
      </c>
      <c r="Y31">
        <f t="shared" si="6"/>
        <v>9.3256507622215512</v>
      </c>
      <c r="Z31">
        <f t="shared" si="14"/>
        <v>-4.229737027279123</v>
      </c>
      <c r="AA31">
        <f t="shared" si="15"/>
        <v>2.2816633334716059</v>
      </c>
      <c r="AB31">
        <f t="shared" si="26"/>
        <v>1.2053435675896003</v>
      </c>
      <c r="AD31">
        <v>71.177760000000006</v>
      </c>
      <c r="AE31">
        <v>0.14712197373576802</v>
      </c>
      <c r="AF31">
        <f t="shared" si="7"/>
        <v>10.4718125372908</v>
      </c>
      <c r="AG31">
        <f t="shared" si="16"/>
        <v>1.9133334268785385</v>
      </c>
      <c r="AH31">
        <f t="shared" si="17"/>
        <v>3.8614071206860556</v>
      </c>
      <c r="AI31">
        <f t="shared" si="27"/>
        <v>3.8614071206860556</v>
      </c>
      <c r="AK31">
        <v>78.384739999999994</v>
      </c>
      <c r="AL31">
        <v>7.5561489545124316E-2</v>
      </c>
      <c r="AM31">
        <f t="shared" si="8"/>
        <v>5.922867712007287</v>
      </c>
      <c r="AN31">
        <f t="shared" si="18"/>
        <v>-0.76766847113087788</v>
      </c>
      <c r="AO31">
        <f t="shared" si="19"/>
        <v>1.1804052226766393</v>
      </c>
      <c r="AP31">
        <f t="shared" si="28"/>
        <v>2.3590807443248929</v>
      </c>
      <c r="AR31">
        <v>57.023200000000003</v>
      </c>
      <c r="AS31">
        <v>0.46210750177488258</v>
      </c>
      <c r="AT31">
        <f t="shared" si="9"/>
        <v>26.350848495209487</v>
      </c>
      <c r="AU31">
        <f t="shared" si="20"/>
        <v>-2.0021409835428772</v>
      </c>
      <c r="AV31">
        <f t="shared" si="21"/>
        <v>5.4067289735360013E-2</v>
      </c>
      <c r="AW31">
        <f t="shared" si="29"/>
        <v>5.4067289735360013E-2</v>
      </c>
      <c r="AY31" s="4">
        <f t="shared" si="1"/>
        <v>67.346889243184776</v>
      </c>
      <c r="AZ31">
        <f t="shared" si="22"/>
        <v>-1.9480736938075172</v>
      </c>
    </row>
    <row r="32" spans="1:52" x14ac:dyDescent="0.35">
      <c r="A32" s="2">
        <v>37408</v>
      </c>
      <c r="B32">
        <v>50.991100000000003</v>
      </c>
      <c r="C32">
        <v>4.2290471529553272E-2</v>
      </c>
      <c r="D32">
        <f t="shared" si="30"/>
        <v>2.1564376628106041</v>
      </c>
      <c r="E32">
        <f t="shared" si="10"/>
        <v>-4.576433488738707</v>
      </c>
      <c r="F32">
        <f t="shared" si="2"/>
        <v>2.1122982004349362</v>
      </c>
      <c r="G32">
        <f t="shared" si="23"/>
        <v>1.5132482353258143</v>
      </c>
      <c r="I32">
        <v>70.791690000000003</v>
      </c>
      <c r="J32">
        <v>7.9370102807146264E-2</v>
      </c>
      <c r="K32">
        <f t="shared" si="3"/>
        <v>5.6187437131916287</v>
      </c>
      <c r="L32">
        <f t="shared" si="11"/>
        <v>-9.3709064894975658</v>
      </c>
      <c r="M32">
        <f t="shared" si="4"/>
        <v>2.6821748003239225</v>
      </c>
      <c r="N32">
        <f t="shared" si="24"/>
        <v>1.6532342329719012</v>
      </c>
      <c r="P32">
        <v>54.313670000000002</v>
      </c>
      <c r="Q32">
        <v>0.11387507083985186</v>
      </c>
      <c r="R32">
        <f t="shared" si="5"/>
        <v>6.1849730188223369</v>
      </c>
      <c r="S32">
        <f t="shared" si="12"/>
        <v>-9.2598637937405961</v>
      </c>
      <c r="T32">
        <f t="shared" si="13"/>
        <v>2.5711321045669528</v>
      </c>
      <c r="U32">
        <f t="shared" si="25"/>
        <v>6.9152584952647089E-2</v>
      </c>
      <c r="W32">
        <v>106.5378</v>
      </c>
      <c r="X32">
        <v>7.9673389767673658E-2</v>
      </c>
      <c r="Y32">
        <f t="shared" si="6"/>
        <v>8.4882276643904628</v>
      </c>
      <c r="Z32">
        <f t="shared" si="14"/>
        <v>-8.9797818852868634</v>
      </c>
      <c r="AA32">
        <f t="shared" si="15"/>
        <v>2.2910501961132201</v>
      </c>
      <c r="AB32">
        <f t="shared" si="26"/>
        <v>1.5703569245728355</v>
      </c>
      <c r="AD32">
        <v>68.106139999999996</v>
      </c>
      <c r="AE32">
        <v>0.14712197373576802</v>
      </c>
      <c r="AF32">
        <f t="shared" si="7"/>
        <v>10.01990974032454</v>
      </c>
      <c r="AG32">
        <f t="shared" si="16"/>
        <v>-4.3154209966708823</v>
      </c>
      <c r="AH32">
        <f t="shared" si="17"/>
        <v>2.3733106925027609</v>
      </c>
      <c r="AI32">
        <f t="shared" si="27"/>
        <v>2.3733106925027609</v>
      </c>
      <c r="AK32">
        <v>72.293719999999993</v>
      </c>
      <c r="AL32">
        <v>7.5561489545124316E-2</v>
      </c>
      <c r="AM32">
        <f t="shared" si="8"/>
        <v>5.4626211679581438</v>
      </c>
      <c r="AN32">
        <f t="shared" si="18"/>
        <v>-7.7706706688062006</v>
      </c>
      <c r="AO32">
        <f t="shared" si="19"/>
        <v>1.0819389796325574</v>
      </c>
      <c r="AP32">
        <f t="shared" si="28"/>
        <v>3.0300126734400745</v>
      </c>
      <c r="AR32">
        <v>53.908070000000002</v>
      </c>
      <c r="AS32">
        <v>0.46210750177488258</v>
      </c>
      <c r="AT32">
        <f t="shared" si="9"/>
        <v>24.911323553205495</v>
      </c>
      <c r="AU32">
        <f t="shared" si="20"/>
        <v>-5.4629168478794625</v>
      </c>
      <c r="AV32">
        <f t="shared" si="21"/>
        <v>1.2258148412941807</v>
      </c>
      <c r="AW32">
        <f t="shared" si="29"/>
        <v>1.2258148412941807</v>
      </c>
      <c r="AY32" s="4">
        <f t="shared" si="1"/>
        <v>62.842236520703203</v>
      </c>
      <c r="AZ32">
        <f t="shared" si="22"/>
        <v>-6.6887316891736432</v>
      </c>
    </row>
    <row r="33" spans="1:52" x14ac:dyDescent="0.35">
      <c r="A33" s="2">
        <v>37438</v>
      </c>
      <c r="B33">
        <v>46.838610000000003</v>
      </c>
      <c r="C33">
        <v>4.2290471529553272E-2</v>
      </c>
      <c r="D33">
        <f t="shared" si="30"/>
        <v>1.9808269026888494</v>
      </c>
      <c r="E33">
        <f t="shared" si="10"/>
        <v>-8.1435583856790732</v>
      </c>
      <c r="F33">
        <f t="shared" si="2"/>
        <v>1.0237621888017348</v>
      </c>
      <c r="G33">
        <f t="shared" si="23"/>
        <v>1.0885360116332015</v>
      </c>
      <c r="I33">
        <v>62.831960000000002</v>
      </c>
      <c r="J33">
        <v>7.9370102807146264E-2</v>
      </c>
      <c r="K33">
        <f t="shared" si="3"/>
        <v>4.9869791247745017</v>
      </c>
      <c r="L33">
        <f t="shared" si="11"/>
        <v>-11.243876223325078</v>
      </c>
      <c r="M33">
        <f t="shared" si="4"/>
        <v>2.0765556488442698</v>
      </c>
      <c r="N33">
        <f t="shared" si="24"/>
        <v>0.60561915147965273</v>
      </c>
      <c r="P33">
        <v>49.324359999999999</v>
      </c>
      <c r="Q33">
        <v>0.11387507083985186</v>
      </c>
      <c r="R33">
        <f t="shared" si="5"/>
        <v>5.6168149891303552</v>
      </c>
      <c r="S33">
        <f t="shared" si="12"/>
        <v>-9.1861036089073025</v>
      </c>
      <c r="T33">
        <f t="shared" si="13"/>
        <v>1.8783034426494538E-2</v>
      </c>
      <c r="U33">
        <f t="shared" si="25"/>
        <v>2.5523490701404583</v>
      </c>
      <c r="W33">
        <v>98.242980000000003</v>
      </c>
      <c r="X33">
        <v>7.9673389767673658E-2</v>
      </c>
      <c r="Y33">
        <f t="shared" si="6"/>
        <v>7.8273512374777683</v>
      </c>
      <c r="Z33">
        <f t="shared" si="14"/>
        <v>-7.7857999695882585</v>
      </c>
      <c r="AA33">
        <f t="shared" si="15"/>
        <v>1.3815206048925495</v>
      </c>
      <c r="AB33">
        <f t="shared" si="26"/>
        <v>0.99179008761021148</v>
      </c>
      <c r="AD33">
        <v>64.666439999999994</v>
      </c>
      <c r="AE33">
        <v>0.14712197373576802</v>
      </c>
      <c r="AF33">
        <f t="shared" si="7"/>
        <v>9.5138542872656178</v>
      </c>
      <c r="AG33">
        <f t="shared" si="16"/>
        <v>-5.0504991179943559</v>
      </c>
      <c r="AH33">
        <f t="shared" si="17"/>
        <v>4.116821456486452</v>
      </c>
      <c r="AI33">
        <f t="shared" si="27"/>
        <v>4.116821456486452</v>
      </c>
      <c r="AK33">
        <v>64.264210000000006</v>
      </c>
      <c r="AL33">
        <v>7.5561489545124316E-2</v>
      </c>
      <c r="AM33">
        <f t="shared" si="8"/>
        <v>4.8558994320406743</v>
      </c>
      <c r="AN33">
        <f t="shared" si="18"/>
        <v>-11.106787698848519</v>
      </c>
      <c r="AO33">
        <f t="shared" si="19"/>
        <v>1.9394671243677113</v>
      </c>
      <c r="AP33">
        <f t="shared" si="28"/>
        <v>8.6281988135413545</v>
      </c>
      <c r="AR33">
        <v>48.256219999999999</v>
      </c>
      <c r="AS33">
        <v>0.46210750177488258</v>
      </c>
      <c r="AT33">
        <f t="shared" si="9"/>
        <v>22.299561269299122</v>
      </c>
      <c r="AU33">
        <f t="shared" si="20"/>
        <v>-10.484237332184222</v>
      </c>
      <c r="AV33">
        <f t="shared" si="21"/>
        <v>1.3169167577034138</v>
      </c>
      <c r="AW33">
        <f t="shared" si="29"/>
        <v>1.3169167577034138</v>
      </c>
      <c r="AY33" s="4">
        <f t="shared" si="1"/>
        <v>57.081287242676886</v>
      </c>
      <c r="AZ33">
        <f t="shared" si="22"/>
        <v>-9.1673205744808079</v>
      </c>
    </row>
    <row r="34" spans="1:52" x14ac:dyDescent="0.35">
      <c r="A34" s="2">
        <v>37469</v>
      </c>
      <c r="B34">
        <v>45.999650000000003</v>
      </c>
      <c r="C34">
        <v>4.2290471529553272E-2</v>
      </c>
      <c r="D34">
        <f t="shared" si="30"/>
        <v>1.9453468886944152</v>
      </c>
      <c r="E34">
        <f t="shared" si="10"/>
        <v>-1.7911718558684786</v>
      </c>
      <c r="F34">
        <f t="shared" si="2"/>
        <v>0.1755581133532691</v>
      </c>
      <c r="G34">
        <f t="shared" si="23"/>
        <v>0.84820407544846566</v>
      </c>
      <c r="I34">
        <v>61.03434</v>
      </c>
      <c r="J34">
        <v>7.9370102807146264E-2</v>
      </c>
      <c r="K34">
        <f t="shared" si="3"/>
        <v>4.8443018405663194</v>
      </c>
      <c r="L34">
        <f t="shared" si="11"/>
        <v>-2.8609962191216143</v>
      </c>
      <c r="M34">
        <f t="shared" si="4"/>
        <v>1.2453824766064048</v>
      </c>
      <c r="N34">
        <f t="shared" si="24"/>
        <v>0.83117317223786502</v>
      </c>
      <c r="P34">
        <v>45.622869999999999</v>
      </c>
      <c r="Q34">
        <v>0.11387507083985186</v>
      </c>
      <c r="R34">
        <f t="shared" si="5"/>
        <v>5.1953075531673525</v>
      </c>
      <c r="S34">
        <f t="shared" si="12"/>
        <v>-7.5043852571021752</v>
      </c>
      <c r="T34">
        <f t="shared" si="13"/>
        <v>5.8887715145869652</v>
      </c>
      <c r="U34">
        <f t="shared" si="25"/>
        <v>5.8699884801604707</v>
      </c>
      <c r="W34">
        <v>96.797650000000004</v>
      </c>
      <c r="X34">
        <v>7.9673389767673658E-2</v>
      </c>
      <c r="Y34">
        <f t="shared" si="6"/>
        <v>7.7121968970448567</v>
      </c>
      <c r="Z34">
        <f t="shared" si="14"/>
        <v>-1.471178907643067</v>
      </c>
      <c r="AA34">
        <f t="shared" si="15"/>
        <v>0.14443483487214248</v>
      </c>
      <c r="AB34">
        <f t="shared" si="26"/>
        <v>3.9723866216143096</v>
      </c>
      <c r="AD34">
        <v>61.653480000000002</v>
      </c>
      <c r="AE34">
        <v>0.14712197373576802</v>
      </c>
      <c r="AF34">
        <f t="shared" si="7"/>
        <v>9.0705816652786986</v>
      </c>
      <c r="AG34">
        <f t="shared" si="16"/>
        <v>-4.6592328261769067</v>
      </c>
      <c r="AH34">
        <f t="shared" si="17"/>
        <v>3.0436190836616972</v>
      </c>
      <c r="AI34">
        <f t="shared" si="27"/>
        <v>3.0436190836616972</v>
      </c>
      <c r="AK34">
        <v>64.625100000000003</v>
      </c>
      <c r="AL34">
        <v>7.5561489545124316E-2</v>
      </c>
      <c r="AM34">
        <f t="shared" si="8"/>
        <v>4.8831688180026136</v>
      </c>
      <c r="AN34">
        <f t="shared" si="18"/>
        <v>0.56157229661735197</v>
      </c>
      <c r="AO34">
        <f t="shared" si="19"/>
        <v>2.1771860391325615</v>
      </c>
      <c r="AP34">
        <f t="shared" si="28"/>
        <v>11.344506613613369</v>
      </c>
      <c r="AR34">
        <v>48.707650000000001</v>
      </c>
      <c r="AS34">
        <v>0.46210750177488258</v>
      </c>
      <c r="AT34">
        <f t="shared" si="9"/>
        <v>22.508170458825361</v>
      </c>
      <c r="AU34">
        <f t="shared" si="20"/>
        <v>0.93548562237157906</v>
      </c>
      <c r="AV34">
        <f t="shared" si="21"/>
        <v>2.5510993648867886</v>
      </c>
      <c r="AW34">
        <f t="shared" si="29"/>
        <v>2.5510993648867886</v>
      </c>
      <c r="AY34" s="4">
        <f t="shared" si="1"/>
        <v>56.159074121579614</v>
      </c>
      <c r="AZ34">
        <f t="shared" si="22"/>
        <v>-1.6156137425152095</v>
      </c>
    </row>
    <row r="35" spans="1:52" x14ac:dyDescent="0.35">
      <c r="A35" s="2">
        <v>37500</v>
      </c>
      <c r="B35">
        <v>44.373390000000001</v>
      </c>
      <c r="C35">
        <v>4.2290471529553272E-2</v>
      </c>
      <c r="D35">
        <f t="shared" si="30"/>
        <v>1.8765715864647639</v>
      </c>
      <c r="E35">
        <f t="shared" si="10"/>
        <v>-3.535374725677265</v>
      </c>
      <c r="F35">
        <f t="shared" si="2"/>
        <v>2.2095421376410957</v>
      </c>
      <c r="G35">
        <f t="shared" si="23"/>
        <v>2.0339840242878267</v>
      </c>
      <c r="I35">
        <v>55.697929999999999</v>
      </c>
      <c r="J35">
        <v>7.9370102807146264E-2</v>
      </c>
      <c r="K35">
        <f t="shared" si="3"/>
        <v>4.4207504302452358</v>
      </c>
      <c r="L35">
        <f t="shared" si="11"/>
        <v>-8.7432910718785557</v>
      </c>
      <c r="M35">
        <f t="shared" si="4"/>
        <v>2.998374208560195</v>
      </c>
      <c r="N35">
        <f t="shared" si="24"/>
        <v>1.7529917319537902</v>
      </c>
      <c r="P35">
        <v>40.298110000000001</v>
      </c>
      <c r="Q35">
        <v>0.11387507083985186</v>
      </c>
      <c r="R35">
        <f t="shared" si="5"/>
        <v>4.588950130962143</v>
      </c>
      <c r="S35">
        <f t="shared" si="12"/>
        <v>-11.671251720902253</v>
      </c>
      <c r="T35">
        <f t="shared" si="13"/>
        <v>5.9263348575838926</v>
      </c>
      <c r="U35">
        <f t="shared" si="25"/>
        <v>3.7563342996927318E-2</v>
      </c>
      <c r="W35">
        <v>90.55453</v>
      </c>
      <c r="X35">
        <v>7.9673389767673658E-2</v>
      </c>
      <c r="Y35">
        <f t="shared" si="6"/>
        <v>7.2147863639184973</v>
      </c>
      <c r="Z35">
        <f t="shared" si="14"/>
        <v>-6.4496607097383141</v>
      </c>
      <c r="AA35">
        <f t="shared" si="15"/>
        <v>0.70474384641995336</v>
      </c>
      <c r="AB35">
        <f t="shared" si="26"/>
        <v>2.3388752372417438</v>
      </c>
      <c r="AD35">
        <v>59.057600000000001</v>
      </c>
      <c r="AE35">
        <v>0.14712197373576802</v>
      </c>
      <c r="AF35">
        <f t="shared" si="7"/>
        <v>8.6886706760974928</v>
      </c>
      <c r="AG35">
        <f t="shared" si="16"/>
        <v>-4.2104354855557187</v>
      </c>
      <c r="AH35">
        <f t="shared" si="17"/>
        <v>1.534481377762642</v>
      </c>
      <c r="AI35">
        <f t="shared" si="27"/>
        <v>1.534481377762642</v>
      </c>
      <c r="AK35">
        <v>59.997509999999998</v>
      </c>
      <c r="AL35">
        <v>7.5561489545124316E-2</v>
      </c>
      <c r="AM35">
        <f t="shared" si="8"/>
        <v>4.5335012245984911</v>
      </c>
      <c r="AN35">
        <f t="shared" si="18"/>
        <v>-7.1606697707237714</v>
      </c>
      <c r="AO35">
        <f t="shared" si="19"/>
        <v>1.4157529074054107</v>
      </c>
      <c r="AP35">
        <f t="shared" si="28"/>
        <v>3.0313666499206202</v>
      </c>
      <c r="AR35">
        <v>46.763039999999997</v>
      </c>
      <c r="AS35">
        <v>0.46210750177488258</v>
      </c>
      <c r="AT35">
        <f t="shared" si="9"/>
        <v>21.609551589798905</v>
      </c>
      <c r="AU35">
        <f t="shared" si="20"/>
        <v>-3.992411869593393</v>
      </c>
      <c r="AV35">
        <f t="shared" si="21"/>
        <v>1.7525049937249677</v>
      </c>
      <c r="AW35">
        <f t="shared" si="29"/>
        <v>1.7525049937249677</v>
      </c>
      <c r="AY35" s="4">
        <f t="shared" si="1"/>
        <v>52.932782002085531</v>
      </c>
      <c r="AZ35">
        <f t="shared" si="22"/>
        <v>-5.7449168633183607</v>
      </c>
    </row>
    <row r="36" spans="1:52" x14ac:dyDescent="0.35">
      <c r="A36" s="2">
        <v>37530</v>
      </c>
      <c r="B36">
        <v>42.88111</v>
      </c>
      <c r="C36">
        <v>4.2290471529553272E-2</v>
      </c>
      <c r="D36">
        <f t="shared" si="30"/>
        <v>1.813462361610642</v>
      </c>
      <c r="E36">
        <f t="shared" si="10"/>
        <v>-3.3630065226028516</v>
      </c>
      <c r="F36">
        <f t="shared" si="2"/>
        <v>0.25253345184056419</v>
      </c>
      <c r="G36">
        <f t="shared" si="23"/>
        <v>1.9570086858005316</v>
      </c>
      <c r="I36">
        <v>53.45279</v>
      </c>
      <c r="J36">
        <v>7.9370102807146264E-2</v>
      </c>
      <c r="K36">
        <f t="shared" si="3"/>
        <v>4.2425534376287999</v>
      </c>
      <c r="L36">
        <f t="shared" si="11"/>
        <v>-4.0309217954778598</v>
      </c>
      <c r="M36">
        <f t="shared" si="4"/>
        <v>0.41538182103444399</v>
      </c>
      <c r="N36">
        <f t="shared" si="24"/>
        <v>2.582992387525751</v>
      </c>
      <c r="P36">
        <v>37.230879999999999</v>
      </c>
      <c r="Q36">
        <v>0.11387507083985186</v>
      </c>
      <c r="R36">
        <f t="shared" si="5"/>
        <v>4.2396690974300242</v>
      </c>
      <c r="S36">
        <f t="shared" si="12"/>
        <v>-7.6113495149028099</v>
      </c>
      <c r="T36">
        <f t="shared" si="13"/>
        <v>3.9958095404593941</v>
      </c>
      <c r="U36">
        <f t="shared" si="25"/>
        <v>1.9305253171244985</v>
      </c>
      <c r="W36">
        <v>86.277619999999999</v>
      </c>
      <c r="X36">
        <v>7.9673389767673658E-2</v>
      </c>
      <c r="Y36">
        <f t="shared" si="6"/>
        <v>6.8740304464872359</v>
      </c>
      <c r="Z36">
        <f t="shared" si="14"/>
        <v>-4.7230215871033714</v>
      </c>
      <c r="AA36">
        <f t="shared" si="15"/>
        <v>1.1074816126599556</v>
      </c>
      <c r="AB36">
        <f t="shared" si="26"/>
        <v>0.42699976510268645</v>
      </c>
      <c r="AD36">
        <v>56.11748</v>
      </c>
      <c r="AE36">
        <v>0.14712197373576802</v>
      </c>
      <c r="AF36">
        <f t="shared" si="7"/>
        <v>8.2561144186774875</v>
      </c>
      <c r="AG36">
        <f t="shared" si="16"/>
        <v>-4.9783939746958943</v>
      </c>
      <c r="AH36">
        <f t="shared" si="17"/>
        <v>1.3628540002524785</v>
      </c>
      <c r="AI36">
        <f t="shared" si="27"/>
        <v>1.3628540002524785</v>
      </c>
      <c r="AK36">
        <v>60.182650000000002</v>
      </c>
      <c r="AL36">
        <v>7.5561489545124316E-2</v>
      </c>
      <c r="AM36">
        <f t="shared" si="8"/>
        <v>4.5474906787728759</v>
      </c>
      <c r="AN36">
        <f t="shared" si="18"/>
        <v>0.30857947271478725</v>
      </c>
      <c r="AO36">
        <f t="shared" si="19"/>
        <v>3.924119447158203</v>
      </c>
      <c r="AP36">
        <f t="shared" si="28"/>
        <v>9.6690363104765638</v>
      </c>
      <c r="AR36">
        <v>45.542769999999997</v>
      </c>
      <c r="AS36">
        <v>0.46210750177488258</v>
      </c>
      <c r="AT36">
        <f t="shared" si="9"/>
        <v>21.045655668608067</v>
      </c>
      <c r="AU36">
        <f t="shared" si="20"/>
        <v>-2.609475346341894</v>
      </c>
      <c r="AV36">
        <f t="shared" si="21"/>
        <v>1.0060646281015218</v>
      </c>
      <c r="AW36">
        <f t="shared" si="29"/>
        <v>1.0060646281015218</v>
      </c>
      <c r="AY36" s="4">
        <f t="shared" si="1"/>
        <v>51.018976109215139</v>
      </c>
      <c r="AZ36">
        <f t="shared" si="22"/>
        <v>-3.6155399744434158</v>
      </c>
    </row>
    <row r="37" spans="1:52" x14ac:dyDescent="0.35">
      <c r="A37" s="2">
        <v>37561</v>
      </c>
      <c r="B37">
        <v>44.999580000000002</v>
      </c>
      <c r="C37">
        <v>4.2290471529553272E-2</v>
      </c>
      <c r="D37">
        <f t="shared" si="30"/>
        <v>1.9030534568318549</v>
      </c>
      <c r="E37">
        <f t="shared" si="10"/>
        <v>4.9403338672902919</v>
      </c>
      <c r="F37">
        <f t="shared" si="2"/>
        <v>0.30350927093512059</v>
      </c>
      <c r="G37">
        <f t="shared" si="23"/>
        <v>5.0975819094556396E-2</v>
      </c>
      <c r="I37">
        <v>57.486409999999999</v>
      </c>
      <c r="J37">
        <v>7.9370102807146264E-2</v>
      </c>
      <c r="K37">
        <f t="shared" si="3"/>
        <v>4.5627022717137606</v>
      </c>
      <c r="L37">
        <f t="shared" si="11"/>
        <v>7.54613557122088</v>
      </c>
      <c r="M37">
        <f t="shared" si="4"/>
        <v>2.9093109748657087</v>
      </c>
      <c r="N37">
        <f t="shared" si="24"/>
        <v>2.4939291538312647</v>
      </c>
      <c r="P37">
        <v>40.224850000000004</v>
      </c>
      <c r="Q37">
        <v>0.11387507083985186</v>
      </c>
      <c r="R37">
        <f t="shared" si="5"/>
        <v>4.5806076432724154</v>
      </c>
      <c r="S37">
        <f t="shared" si="12"/>
        <v>8.0416310331638883</v>
      </c>
      <c r="T37">
        <f t="shared" si="13"/>
        <v>3.404806436808717</v>
      </c>
      <c r="U37">
        <f t="shared" si="25"/>
        <v>0.5910031036506771</v>
      </c>
      <c r="W37">
        <v>92.765289999999993</v>
      </c>
      <c r="X37">
        <v>7.9673389767673658E-2</v>
      </c>
      <c r="Y37">
        <f t="shared" si="6"/>
        <v>7.3909251070812791</v>
      </c>
      <c r="Z37">
        <f t="shared" si="14"/>
        <v>7.5195282391887996</v>
      </c>
      <c r="AA37">
        <f t="shared" si="15"/>
        <v>2.8827036428336283</v>
      </c>
      <c r="AB37">
        <f t="shared" si="26"/>
        <v>1.5198496425811499</v>
      </c>
      <c r="AD37">
        <v>55.219520000000003</v>
      </c>
      <c r="AE37">
        <v>0.14712197373576802</v>
      </c>
      <c r="AF37">
        <f t="shared" si="7"/>
        <v>8.1240047711417169</v>
      </c>
      <c r="AG37">
        <f t="shared" si="16"/>
        <v>-1.6001431283086842</v>
      </c>
      <c r="AH37">
        <f t="shared" si="17"/>
        <v>6.236967724663856</v>
      </c>
      <c r="AI37">
        <f t="shared" si="27"/>
        <v>6.236967724663856</v>
      </c>
      <c r="AK37">
        <v>62.201819999999998</v>
      </c>
      <c r="AL37">
        <v>7.5561489545124316E-2</v>
      </c>
      <c r="AM37">
        <f t="shared" si="8"/>
        <v>4.700062171617704</v>
      </c>
      <c r="AN37">
        <f t="shared" si="18"/>
        <v>3.3550699412538298</v>
      </c>
      <c r="AO37">
        <f t="shared" si="19"/>
        <v>1.2817546551013415</v>
      </c>
      <c r="AP37">
        <f t="shared" si="28"/>
        <v>4.8972946295447572</v>
      </c>
      <c r="AR37">
        <v>47.874749999999999</v>
      </c>
      <c r="AS37">
        <v>0.46210750177488258</v>
      </c>
      <c r="AT37">
        <f t="shared" si="9"/>
        <v>22.12328112059706</v>
      </c>
      <c r="AU37">
        <f t="shared" si="20"/>
        <v>5.120417576708669</v>
      </c>
      <c r="AV37">
        <f t="shared" si="21"/>
        <v>0.48359298035349774</v>
      </c>
      <c r="AW37">
        <f t="shared" si="29"/>
        <v>0.48359298035349774</v>
      </c>
      <c r="AY37" s="4">
        <f t="shared" si="1"/>
        <v>53.384636542255798</v>
      </c>
      <c r="AZ37">
        <f t="shared" si="22"/>
        <v>4.6368245963551713</v>
      </c>
    </row>
    <row r="38" spans="1:52" x14ac:dyDescent="0.35">
      <c r="A38" s="2">
        <v>37591</v>
      </c>
      <c r="B38">
        <v>46.063949999999998</v>
      </c>
      <c r="C38">
        <v>4.2290471529553272E-2</v>
      </c>
      <c r="D38">
        <f t="shared" si="30"/>
        <v>1.9480661660137655</v>
      </c>
      <c r="E38">
        <f t="shared" si="10"/>
        <v>2.3652887426949265</v>
      </c>
      <c r="F38">
        <f t="shared" si="2"/>
        <v>3.6584279409667242</v>
      </c>
      <c r="G38">
        <f t="shared" si="23"/>
        <v>3.3549186700316036</v>
      </c>
      <c r="I38">
        <v>56.356720000000003</v>
      </c>
      <c r="J38">
        <v>7.9370102807146264E-2</v>
      </c>
      <c r="K38">
        <f t="shared" si="3"/>
        <v>4.4730386602735566</v>
      </c>
      <c r="L38">
        <f t="shared" si="11"/>
        <v>-1.9651427180789272</v>
      </c>
      <c r="M38">
        <f t="shared" si="4"/>
        <v>0.67200351980712947</v>
      </c>
      <c r="N38">
        <f t="shared" si="24"/>
        <v>2.2373074550585792</v>
      </c>
      <c r="P38">
        <v>38.59581</v>
      </c>
      <c r="Q38">
        <v>0.11387507083985186</v>
      </c>
      <c r="R38">
        <f t="shared" si="5"/>
        <v>4.3951005978714628</v>
      </c>
      <c r="S38">
        <f t="shared" si="12"/>
        <v>-4.0498348657608485</v>
      </c>
      <c r="T38">
        <f t="shared" si="13"/>
        <v>2.7566956674890508</v>
      </c>
      <c r="U38">
        <f t="shared" si="25"/>
        <v>0.64811076931966616</v>
      </c>
      <c r="W38">
        <v>92.501990000000006</v>
      </c>
      <c r="X38">
        <v>7.9673389767673658E-2</v>
      </c>
      <c r="Y38">
        <f t="shared" si="6"/>
        <v>7.3699471035554511</v>
      </c>
      <c r="Z38">
        <f t="shared" si="14"/>
        <v>-0.28383461098433482</v>
      </c>
      <c r="AA38">
        <f t="shared" si="15"/>
        <v>1.0093045872874629</v>
      </c>
      <c r="AB38">
        <f t="shared" si="26"/>
        <v>5.2276631373763927</v>
      </c>
      <c r="AD38">
        <v>54.530419999999999</v>
      </c>
      <c r="AE38">
        <v>0.14712197373576802</v>
      </c>
      <c r="AF38">
        <f t="shared" si="7"/>
        <v>8.0226230190403989</v>
      </c>
      <c r="AG38">
        <f t="shared" si="16"/>
        <v>-1.2479282688440674</v>
      </c>
      <c r="AH38">
        <f t="shared" si="17"/>
        <v>4.5210929427730306E-2</v>
      </c>
      <c r="AI38">
        <f t="shared" si="27"/>
        <v>4.5210929427730306E-2</v>
      </c>
      <c r="AK38">
        <v>59.870890000000003</v>
      </c>
      <c r="AL38">
        <v>7.5561489545124316E-2</v>
      </c>
      <c r="AM38">
        <f t="shared" si="8"/>
        <v>4.523933628792288</v>
      </c>
      <c r="AN38">
        <f t="shared" si="18"/>
        <v>-3.7473662346214187</v>
      </c>
      <c r="AO38">
        <f t="shared" si="19"/>
        <v>2.454227036349621</v>
      </c>
      <c r="AP38">
        <f t="shared" si="28"/>
        <v>2.1825975600055503</v>
      </c>
      <c r="AR38">
        <v>47.524850000000001</v>
      </c>
      <c r="AS38">
        <v>0.46210750177488258</v>
      </c>
      <c r="AT38">
        <f t="shared" si="9"/>
        <v>21.961589705726027</v>
      </c>
      <c r="AU38">
        <f t="shared" si="20"/>
        <v>-0.73086543532864257</v>
      </c>
      <c r="AV38">
        <f t="shared" si="21"/>
        <v>0.56227376294315512</v>
      </c>
      <c r="AW38">
        <f t="shared" si="29"/>
        <v>0.56227376294315512</v>
      </c>
      <c r="AY38" s="4">
        <f t="shared" si="1"/>
        <v>52.694298881272957</v>
      </c>
      <c r="AZ38">
        <f t="shared" si="22"/>
        <v>-1.2931391982717977</v>
      </c>
    </row>
    <row r="39" spans="1:52" x14ac:dyDescent="0.35">
      <c r="A39" s="2">
        <v>37622</v>
      </c>
      <c r="B39">
        <v>46.828499999999998</v>
      </c>
      <c r="C39">
        <v>4.2281159983943051E-2</v>
      </c>
      <c r="D39">
        <f t="shared" si="30"/>
        <v>1.979963300308077</v>
      </c>
      <c r="E39">
        <f t="shared" si="10"/>
        <v>1.6597577932417895</v>
      </c>
      <c r="F39">
        <f t="shared" si="2"/>
        <v>3.1383441347148655</v>
      </c>
      <c r="G39">
        <f t="shared" si="23"/>
        <v>0.52008380625185868</v>
      </c>
      <c r="I39">
        <v>54.845889999999997</v>
      </c>
      <c r="J39">
        <v>7.8586256276153066E-2</v>
      </c>
      <c r="K39">
        <f t="shared" si="3"/>
        <v>4.3101331672337002</v>
      </c>
      <c r="L39">
        <f t="shared" si="11"/>
        <v>-2.680833802960858</v>
      </c>
      <c r="M39">
        <f t="shared" si="4"/>
        <v>1.2022474614877821</v>
      </c>
      <c r="N39">
        <f t="shared" si="24"/>
        <v>0.53024394168065259</v>
      </c>
      <c r="P39">
        <v>36.673729999999999</v>
      </c>
      <c r="Q39">
        <v>0.11104697879796115</v>
      </c>
      <c r="R39">
        <f t="shared" si="5"/>
        <v>4.0725069177521513</v>
      </c>
      <c r="S39">
        <f t="shared" si="12"/>
        <v>-4.9800224428506628</v>
      </c>
      <c r="T39">
        <f t="shared" si="13"/>
        <v>3.5014361013775868</v>
      </c>
      <c r="U39">
        <f t="shared" si="25"/>
        <v>0.74474043388853595</v>
      </c>
      <c r="W39">
        <v>90.022000000000006</v>
      </c>
      <c r="X39">
        <v>7.8350951704660929E-2</v>
      </c>
      <c r="Y39">
        <f t="shared" si="6"/>
        <v>7.0533093743569868</v>
      </c>
      <c r="Z39">
        <f t="shared" si="14"/>
        <v>-2.6810125922696382</v>
      </c>
      <c r="AA39">
        <f t="shared" si="15"/>
        <v>1.2024262507965622</v>
      </c>
      <c r="AB39">
        <f t="shared" si="26"/>
        <v>1.1572153213688319</v>
      </c>
      <c r="AD39">
        <v>54.587800000000001</v>
      </c>
      <c r="AE39">
        <v>0.14669766515429727</v>
      </c>
      <c r="AF39">
        <f t="shared" si="7"/>
        <v>8.0079028059097492</v>
      </c>
      <c r="AG39">
        <f t="shared" si="16"/>
        <v>0.10522567036894692</v>
      </c>
      <c r="AH39">
        <f t="shared" si="17"/>
        <v>1.5838120118420229</v>
      </c>
      <c r="AI39">
        <f t="shared" si="27"/>
        <v>1.5838120118420229</v>
      </c>
      <c r="AK39">
        <v>57.52252</v>
      </c>
      <c r="AL39">
        <v>7.6539330839870287E-2</v>
      </c>
      <c r="AM39">
        <f t="shared" si="8"/>
        <v>4.4027351890230557</v>
      </c>
      <c r="AN39">
        <f t="shared" si="18"/>
        <v>-3.9223903302589957</v>
      </c>
      <c r="AO39">
        <f t="shared" si="19"/>
        <v>2.4438039887859198</v>
      </c>
      <c r="AP39">
        <f t="shared" si="28"/>
        <v>3.7369431870577174</v>
      </c>
      <c r="AR39">
        <v>47.349899999999998</v>
      </c>
      <c r="AS39">
        <v>0.46649765724311426</v>
      </c>
      <c r="AT39">
        <f t="shared" si="9"/>
        <v>22.088617420695734</v>
      </c>
      <c r="AU39">
        <f t="shared" si="20"/>
        <v>-0.36812320291385037</v>
      </c>
      <c r="AV39">
        <f t="shared" si="21"/>
        <v>1.1104631385592256</v>
      </c>
      <c r="AW39">
        <f t="shared" si="29"/>
        <v>1.1104631385592256</v>
      </c>
      <c r="AY39" s="4">
        <f t="shared" si="1"/>
        <v>51.915168175279454</v>
      </c>
      <c r="AZ39">
        <f t="shared" si="22"/>
        <v>-1.478586341473076</v>
      </c>
    </row>
    <row r="40" spans="1:52" x14ac:dyDescent="0.35">
      <c r="A40" s="2">
        <v>37653</v>
      </c>
      <c r="B40">
        <v>45.48057</v>
      </c>
      <c r="C40">
        <v>4.2281159983943051E-2</v>
      </c>
      <c r="D40">
        <f t="shared" si="30"/>
        <v>1.9229712563309207</v>
      </c>
      <c r="E40">
        <f t="shared" si="10"/>
        <v>-2.8784394118965939</v>
      </c>
      <c r="F40">
        <f t="shared" si="2"/>
        <v>2.2339012983129236</v>
      </c>
      <c r="G40">
        <f t="shared" si="23"/>
        <v>0.9044428364019419</v>
      </c>
      <c r="I40">
        <v>50.733519999999999</v>
      </c>
      <c r="J40">
        <v>7.8586256276153066E-2</v>
      </c>
      <c r="K40">
        <f t="shared" si="3"/>
        <v>3.9869574045113372</v>
      </c>
      <c r="L40">
        <f t="shared" si="11"/>
        <v>-7.4980458882151435</v>
      </c>
      <c r="M40">
        <f t="shared" si="4"/>
        <v>2.385705178005626</v>
      </c>
      <c r="N40">
        <f t="shared" si="24"/>
        <v>1.1834577165178439</v>
      </c>
      <c r="P40">
        <v>33.068629999999999</v>
      </c>
      <c r="Q40">
        <v>0.11104697879796115</v>
      </c>
      <c r="R40">
        <f t="shared" si="5"/>
        <v>3.6721714544876218</v>
      </c>
      <c r="S40">
        <f t="shared" si="12"/>
        <v>-9.830197255637751</v>
      </c>
      <c r="T40">
        <f t="shared" si="13"/>
        <v>4.7178565454282335</v>
      </c>
      <c r="U40">
        <f t="shared" si="25"/>
        <v>1.2164204440506468</v>
      </c>
      <c r="W40">
        <v>86.638689999999997</v>
      </c>
      <c r="X40">
        <v>7.8350951704660929E-2</v>
      </c>
      <c r="Y40">
        <f t="shared" si="6"/>
        <v>6.7882238159450896</v>
      </c>
      <c r="Z40">
        <f t="shared" si="14"/>
        <v>-3.7583146342005436</v>
      </c>
      <c r="AA40">
        <f t="shared" si="15"/>
        <v>1.354026076008974</v>
      </c>
      <c r="AB40">
        <f t="shared" si="26"/>
        <v>0.22978593583304896</v>
      </c>
      <c r="AD40">
        <v>54.263550000000002</v>
      </c>
      <c r="AE40">
        <v>0.14669766515429727</v>
      </c>
      <c r="AF40">
        <f t="shared" si="7"/>
        <v>7.9603360879834684</v>
      </c>
      <c r="AG40">
        <f t="shared" si="16"/>
        <v>-0.5939971935120969</v>
      </c>
      <c r="AH40">
        <f t="shared" si="17"/>
        <v>4.5183435166974206</v>
      </c>
      <c r="AI40">
        <f t="shared" si="27"/>
        <v>4.5183435166974206</v>
      </c>
      <c r="AK40">
        <v>55.254370000000002</v>
      </c>
      <c r="AL40">
        <v>7.6539330839870287E-2</v>
      </c>
      <c r="AM40">
        <f t="shared" si="8"/>
        <v>4.2291325057786038</v>
      </c>
      <c r="AN40">
        <f t="shared" si="18"/>
        <v>-3.9430643859135528</v>
      </c>
      <c r="AO40">
        <f t="shared" si="19"/>
        <v>1.1692763242959647</v>
      </c>
      <c r="AP40">
        <f t="shared" si="28"/>
        <v>2.6478626657690407</v>
      </c>
      <c r="AR40">
        <v>44.375990000000002</v>
      </c>
      <c r="AS40">
        <v>0.46649765724311426</v>
      </c>
      <c r="AT40">
        <f t="shared" si="9"/>
        <v>20.701295372843866</v>
      </c>
      <c r="AU40">
        <f t="shared" si="20"/>
        <v>-6.2807102021334664</v>
      </c>
      <c r="AV40">
        <f t="shared" si="21"/>
        <v>1.1683694919239489</v>
      </c>
      <c r="AW40">
        <f t="shared" si="29"/>
        <v>1.1683694919239489</v>
      </c>
      <c r="AY40" s="4">
        <f t="shared" si="1"/>
        <v>49.261087897880905</v>
      </c>
      <c r="AZ40">
        <f t="shared" si="22"/>
        <v>-5.1123407102095175</v>
      </c>
    </row>
    <row r="41" spans="1:52" x14ac:dyDescent="0.35">
      <c r="A41" s="2">
        <v>37681</v>
      </c>
      <c r="B41">
        <v>44.45478</v>
      </c>
      <c r="C41">
        <v>4.2281159983943051E-2</v>
      </c>
      <c r="D41">
        <f t="shared" si="30"/>
        <v>1.8795996652309919</v>
      </c>
      <c r="E41">
        <f t="shared" si="10"/>
        <v>-2.2554466665655304</v>
      </c>
      <c r="F41">
        <f t="shared" si="2"/>
        <v>0.1595244321990541</v>
      </c>
      <c r="G41">
        <f t="shared" si="23"/>
        <v>2.0743768661138695</v>
      </c>
      <c r="I41">
        <v>48.531649999999999</v>
      </c>
      <c r="J41">
        <v>7.8586256276153066E-2</v>
      </c>
      <c r="K41">
        <f t="shared" si="3"/>
        <v>3.8139206844045637</v>
      </c>
      <c r="L41">
        <f t="shared" si="11"/>
        <v>-4.3400694452109807</v>
      </c>
      <c r="M41">
        <f t="shared" si="4"/>
        <v>2.2441472108445044</v>
      </c>
      <c r="N41">
        <f t="shared" si="24"/>
        <v>0.14155796716112157</v>
      </c>
      <c r="P41">
        <v>31.589960000000001</v>
      </c>
      <c r="Q41">
        <v>0.11104697879796115</v>
      </c>
      <c r="R41">
        <f t="shared" si="5"/>
        <v>3.507969618348441</v>
      </c>
      <c r="S41">
        <f t="shared" si="12"/>
        <v>-4.4715187777661143</v>
      </c>
      <c r="T41">
        <f t="shared" si="13"/>
        <v>2.375596543399638</v>
      </c>
      <c r="U41">
        <f t="shared" si="25"/>
        <v>2.3422600020285955</v>
      </c>
      <c r="W41">
        <v>83.938630000000003</v>
      </c>
      <c r="X41">
        <v>7.8350951704660929E-2</v>
      </c>
      <c r="Y41">
        <f t="shared" si="6"/>
        <v>6.5766715452854037</v>
      </c>
      <c r="Z41">
        <f t="shared" si="14"/>
        <v>-3.1164598633705021</v>
      </c>
      <c r="AA41">
        <f t="shared" si="15"/>
        <v>1.0205376290040258</v>
      </c>
      <c r="AB41">
        <f t="shared" si="26"/>
        <v>3.4978058876933948</v>
      </c>
      <c r="AD41">
        <v>51.72439</v>
      </c>
      <c r="AE41">
        <v>0.14669766515429727</v>
      </c>
      <c r="AF41">
        <f t="shared" si="7"/>
        <v>7.5878472445302823</v>
      </c>
      <c r="AG41">
        <f t="shared" si="16"/>
        <v>-4.6793105132266533</v>
      </c>
      <c r="AH41">
        <f t="shared" si="17"/>
        <v>2.583388278860177</v>
      </c>
      <c r="AI41">
        <f t="shared" si="27"/>
        <v>2.583388278860177</v>
      </c>
      <c r="AK41">
        <v>55.16339</v>
      </c>
      <c r="AL41">
        <v>7.6539330839870287E-2</v>
      </c>
      <c r="AM41">
        <f t="shared" si="8"/>
        <v>4.2221689574587922</v>
      </c>
      <c r="AN41">
        <f t="shared" si="18"/>
        <v>-0.16465665973569577</v>
      </c>
      <c r="AO41">
        <f t="shared" si="19"/>
        <v>1.9312655746307805</v>
      </c>
      <c r="AP41">
        <f t="shared" si="28"/>
        <v>7.0436062848402976</v>
      </c>
      <c r="AR41">
        <v>44.245530000000002</v>
      </c>
      <c r="AS41">
        <v>0.46649765724311426</v>
      </c>
      <c r="AT41">
        <f t="shared" si="9"/>
        <v>20.64043608847993</v>
      </c>
      <c r="AU41">
        <f t="shared" si="20"/>
        <v>-0.29398780737061037</v>
      </c>
      <c r="AV41">
        <f t="shared" si="21"/>
        <v>1.8019344269958659</v>
      </c>
      <c r="AW41">
        <f t="shared" si="29"/>
        <v>1.8019344269958659</v>
      </c>
      <c r="AY41" s="4">
        <f t="shared" si="1"/>
        <v>48.228613803738405</v>
      </c>
      <c r="AZ41">
        <f t="shared" si="22"/>
        <v>-2.0959222343664763</v>
      </c>
    </row>
    <row r="42" spans="1:52" x14ac:dyDescent="0.35">
      <c r="A42" s="2">
        <v>37712</v>
      </c>
      <c r="B42">
        <v>45.233420000000002</v>
      </c>
      <c r="C42">
        <v>4.2281159983943051E-2</v>
      </c>
      <c r="D42">
        <f t="shared" si="30"/>
        <v>1.9125214676408895</v>
      </c>
      <c r="E42">
        <f t="shared" si="10"/>
        <v>1.7515326810750187</v>
      </c>
      <c r="F42">
        <f t="shared" si="2"/>
        <v>3.1160089482755504</v>
      </c>
      <c r="G42">
        <f t="shared" si="23"/>
        <v>2.9564845160764963</v>
      </c>
      <c r="I42">
        <v>51.736609999999999</v>
      </c>
      <c r="J42">
        <v>7.8586256276153066E-2</v>
      </c>
      <c r="K42">
        <f t="shared" si="3"/>
        <v>4.0657864923193836</v>
      </c>
      <c r="L42">
        <f t="shared" si="11"/>
        <v>6.6038554221832468</v>
      </c>
      <c r="M42">
        <f t="shared" si="4"/>
        <v>1.7363137928326777</v>
      </c>
      <c r="N42">
        <f t="shared" si="24"/>
        <v>0.50783341801182669</v>
      </c>
      <c r="P42">
        <v>35.17</v>
      </c>
      <c r="Q42">
        <v>0.11104697879796115</v>
      </c>
      <c r="R42">
        <f t="shared" si="5"/>
        <v>3.9055222443242936</v>
      </c>
      <c r="S42">
        <f t="shared" si="12"/>
        <v>11.332841193847676</v>
      </c>
      <c r="T42">
        <f t="shared" si="13"/>
        <v>6.4652995644971067</v>
      </c>
      <c r="U42">
        <f t="shared" si="25"/>
        <v>4.0897030210974687</v>
      </c>
      <c r="W42">
        <v>89.038390000000007</v>
      </c>
      <c r="X42">
        <v>7.8350951704660929E-2</v>
      </c>
      <c r="Y42">
        <f t="shared" si="6"/>
        <v>6.9762425947507651</v>
      </c>
      <c r="Z42">
        <f t="shared" si="14"/>
        <v>6.0755816481636638</v>
      </c>
      <c r="AA42">
        <f t="shared" si="15"/>
        <v>1.2080400188130946</v>
      </c>
      <c r="AB42">
        <f t="shared" si="26"/>
        <v>1.3753482600470823</v>
      </c>
      <c r="AD42">
        <v>50.970829999999999</v>
      </c>
      <c r="AE42">
        <v>0.14669766515429727</v>
      </c>
      <c r="AF42">
        <f t="shared" si="7"/>
        <v>7.4773017519766096</v>
      </c>
      <c r="AG42">
        <f t="shared" si="16"/>
        <v>-1.45687556682641</v>
      </c>
      <c r="AH42">
        <f t="shared" si="17"/>
        <v>6.3244171961769791</v>
      </c>
      <c r="AI42">
        <f t="shared" si="27"/>
        <v>6.3244171961769791</v>
      </c>
      <c r="AK42">
        <v>58.611870000000003</v>
      </c>
      <c r="AL42">
        <v>7.6539330839870287E-2</v>
      </c>
      <c r="AM42">
        <f t="shared" si="8"/>
        <v>4.4861133090734686</v>
      </c>
      <c r="AN42">
        <f t="shared" si="18"/>
        <v>6.2513924543071031</v>
      </c>
      <c r="AO42">
        <f t="shared" si="19"/>
        <v>1.383850824956534</v>
      </c>
      <c r="AP42">
        <f t="shared" si="28"/>
        <v>3.4797730593230103</v>
      </c>
      <c r="AR42">
        <v>46.629759999999997</v>
      </c>
      <c r="AS42">
        <v>0.46649765724311426</v>
      </c>
      <c r="AT42">
        <f t="shared" si="9"/>
        <v>21.752673797808679</v>
      </c>
      <c r="AU42">
        <f t="shared" si="20"/>
        <v>5.3886347389216382</v>
      </c>
      <c r="AV42">
        <f t="shared" si="21"/>
        <v>0.52109310957106914</v>
      </c>
      <c r="AW42">
        <f t="shared" si="29"/>
        <v>0.52109310957106914</v>
      </c>
      <c r="AY42" s="4">
        <f t="shared" si="1"/>
        <v>50.57616165789409</v>
      </c>
      <c r="AZ42">
        <f t="shared" si="22"/>
        <v>4.8675416293505691</v>
      </c>
    </row>
    <row r="43" spans="1:52" x14ac:dyDescent="0.35">
      <c r="A43" s="2">
        <v>37742</v>
      </c>
      <c r="B43">
        <v>46.93018</v>
      </c>
      <c r="C43">
        <v>4.2281159983943051E-2</v>
      </c>
      <c r="D43">
        <f t="shared" si="30"/>
        <v>1.9842624486552445</v>
      </c>
      <c r="E43">
        <f t="shared" si="10"/>
        <v>3.7511202999905846</v>
      </c>
      <c r="F43">
        <f t="shared" si="2"/>
        <v>0.7422228189111868</v>
      </c>
      <c r="G43">
        <f t="shared" si="23"/>
        <v>2.3737861293643636</v>
      </c>
      <c r="I43">
        <v>53.558959999999999</v>
      </c>
      <c r="J43">
        <v>7.8586256276153066E-2</v>
      </c>
      <c r="K43">
        <f t="shared" si="3"/>
        <v>4.2089981564442311</v>
      </c>
      <c r="L43">
        <f t="shared" si="11"/>
        <v>3.5223606649140704</v>
      </c>
      <c r="M43">
        <f t="shared" si="4"/>
        <v>0.970982453987701</v>
      </c>
      <c r="N43">
        <f t="shared" si="24"/>
        <v>0.76533133884497673</v>
      </c>
      <c r="P43">
        <v>36.390340000000002</v>
      </c>
      <c r="Q43">
        <v>0.11104697879796115</v>
      </c>
      <c r="R43">
        <f t="shared" si="5"/>
        <v>4.0410373144305973</v>
      </c>
      <c r="S43">
        <f t="shared" si="12"/>
        <v>3.4698322433892592</v>
      </c>
      <c r="T43">
        <f t="shared" si="13"/>
        <v>1.0235108755125122</v>
      </c>
      <c r="U43">
        <f t="shared" si="25"/>
        <v>5.4417886889845946</v>
      </c>
      <c r="W43">
        <v>91.991810000000001</v>
      </c>
      <c r="X43">
        <v>7.8350951704660929E-2</v>
      </c>
      <c r="Y43">
        <f t="shared" si="6"/>
        <v>7.2076458625343447</v>
      </c>
      <c r="Z43">
        <f t="shared" si="14"/>
        <v>3.317018647798986</v>
      </c>
      <c r="AA43">
        <f t="shared" si="15"/>
        <v>1.1763244711027854</v>
      </c>
      <c r="AB43">
        <f t="shared" si="26"/>
        <v>5.1480927250741937</v>
      </c>
      <c r="AD43">
        <v>52.840229999999998</v>
      </c>
      <c r="AE43">
        <v>0.14669766515429727</v>
      </c>
      <c r="AF43">
        <f t="shared" si="7"/>
        <v>7.7515383672160532</v>
      </c>
      <c r="AG43">
        <f t="shared" si="16"/>
        <v>3.6675879125374289</v>
      </c>
      <c r="AH43">
        <f t="shared" si="17"/>
        <v>0.82575520636434252</v>
      </c>
      <c r="AI43">
        <f t="shared" si="27"/>
        <v>0.82575520636434252</v>
      </c>
      <c r="AK43">
        <v>60.447560000000003</v>
      </c>
      <c r="AL43">
        <v>7.6539330839870287E-2</v>
      </c>
      <c r="AM43">
        <f t="shared" si="8"/>
        <v>4.6266157933029097</v>
      </c>
      <c r="AN43">
        <f t="shared" si="18"/>
        <v>3.1319423864142104</v>
      </c>
      <c r="AO43">
        <f t="shared" si="19"/>
        <v>1.361400732487561</v>
      </c>
      <c r="AP43">
        <f t="shared" si="28"/>
        <v>3.5061408968630081</v>
      </c>
      <c r="AR43">
        <v>49.364930000000001</v>
      </c>
      <c r="AS43">
        <v>0.46649765724311426</v>
      </c>
      <c r="AT43">
        <f t="shared" si="9"/>
        <v>23.02862419497033</v>
      </c>
      <c r="AU43">
        <f t="shared" si="20"/>
        <v>5.865717516024116</v>
      </c>
      <c r="AV43">
        <f t="shared" si="21"/>
        <v>1.3723743971223445</v>
      </c>
      <c r="AW43">
        <f t="shared" si="29"/>
        <v>1.3723743971223445</v>
      </c>
      <c r="AY43" s="4">
        <f t="shared" si="1"/>
        <v>52.848722137553708</v>
      </c>
      <c r="AZ43">
        <f t="shared" si="22"/>
        <v>4.4933431189017714</v>
      </c>
    </row>
    <row r="44" spans="1:52" x14ac:dyDescent="0.35">
      <c r="A44" s="2">
        <v>37773</v>
      </c>
      <c r="B44">
        <v>49.013159999999999</v>
      </c>
      <c r="C44">
        <v>4.2281159983943051E-2</v>
      </c>
      <c r="D44">
        <f t="shared" si="30"/>
        <v>2.0723332592785981</v>
      </c>
      <c r="E44">
        <f t="shared" si="10"/>
        <v>4.4384658230588458</v>
      </c>
      <c r="F44">
        <f t="shared" si="2"/>
        <v>1.3230123319864395</v>
      </c>
      <c r="G44">
        <f t="shared" si="23"/>
        <v>0.58078951307525273</v>
      </c>
      <c r="I44">
        <v>56.331989999999998</v>
      </c>
      <c r="J44">
        <v>7.8586256276153066E-2</v>
      </c>
      <c r="K44">
        <f t="shared" si="3"/>
        <v>4.4269202026856913</v>
      </c>
      <c r="L44">
        <f t="shared" si="11"/>
        <v>5.1775277189848312</v>
      </c>
      <c r="M44">
        <f t="shared" si="4"/>
        <v>0.58395043606045416</v>
      </c>
      <c r="N44">
        <f t="shared" si="24"/>
        <v>0.38703201792724684</v>
      </c>
      <c r="P44">
        <v>39.187660000000001</v>
      </c>
      <c r="Q44">
        <v>0.11104697879796115</v>
      </c>
      <c r="R44">
        <f t="shared" si="5"/>
        <v>4.3516712491617104</v>
      </c>
      <c r="S44">
        <f t="shared" si="12"/>
        <v>7.686985062519347</v>
      </c>
      <c r="T44">
        <f t="shared" si="13"/>
        <v>1.9255069074740616</v>
      </c>
      <c r="U44">
        <f t="shared" si="25"/>
        <v>0.90199603196154943</v>
      </c>
      <c r="W44">
        <v>96.398120000000006</v>
      </c>
      <c r="X44">
        <v>7.8350951704660929E-2</v>
      </c>
      <c r="Y44">
        <f t="shared" si="6"/>
        <v>7.5528844445401093</v>
      </c>
      <c r="Z44">
        <f t="shared" si="14"/>
        <v>4.7898937959803156</v>
      </c>
      <c r="AA44">
        <f t="shared" si="15"/>
        <v>0.97158435906496976</v>
      </c>
      <c r="AB44">
        <f t="shared" si="26"/>
        <v>0.14582915270062724</v>
      </c>
      <c r="AD44">
        <v>56.674430000000001</v>
      </c>
      <c r="AE44">
        <v>0.14669766515429727</v>
      </c>
      <c r="AF44">
        <f t="shared" si="7"/>
        <v>8.3140065549506605</v>
      </c>
      <c r="AG44">
        <f t="shared" si="16"/>
        <v>7.2562136841569425</v>
      </c>
      <c r="AH44">
        <f t="shared" si="17"/>
        <v>1.4947355291116571</v>
      </c>
      <c r="AI44">
        <f t="shared" si="27"/>
        <v>1.4947355291116571</v>
      </c>
      <c r="AK44">
        <v>62.468850000000003</v>
      </c>
      <c r="AL44">
        <v>7.6539330839870287E-2</v>
      </c>
      <c r="AM44">
        <f t="shared" si="8"/>
        <v>4.781323977336231</v>
      </c>
      <c r="AN44">
        <f t="shared" si="18"/>
        <v>3.3438735988681856</v>
      </c>
      <c r="AO44">
        <f t="shared" si="19"/>
        <v>2.4176045561770998</v>
      </c>
      <c r="AP44">
        <f t="shared" si="28"/>
        <v>2.0757385627246716</v>
      </c>
      <c r="AR44">
        <v>52.292760000000001</v>
      </c>
      <c r="AS44">
        <v>0.46649765724311426</v>
      </c>
      <c r="AT44">
        <f t="shared" si="9"/>
        <v>24.394450030776436</v>
      </c>
      <c r="AU44">
        <f t="shared" si="20"/>
        <v>5.9309919005253287</v>
      </c>
      <c r="AV44">
        <f t="shared" si="21"/>
        <v>0.16951374548004328</v>
      </c>
      <c r="AW44">
        <f t="shared" si="29"/>
        <v>0.16951374548004328</v>
      </c>
      <c r="AY44" s="4">
        <f t="shared" si="1"/>
        <v>55.893589718729444</v>
      </c>
      <c r="AZ44">
        <f t="shared" si="22"/>
        <v>5.7614781550452854</v>
      </c>
    </row>
    <row r="45" spans="1:52" x14ac:dyDescent="0.35">
      <c r="A45" s="2">
        <v>37803</v>
      </c>
      <c r="B45">
        <v>49.708739999999999</v>
      </c>
      <c r="C45">
        <v>4.2281159983943051E-2</v>
      </c>
      <c r="D45">
        <f t="shared" si="30"/>
        <v>2.1017431885402291</v>
      </c>
      <c r="E45">
        <f t="shared" si="10"/>
        <v>1.4191698719282719</v>
      </c>
      <c r="F45">
        <f t="shared" si="2"/>
        <v>0.10928699729901847</v>
      </c>
      <c r="G45">
        <f t="shared" si="23"/>
        <v>1.2137253346874211</v>
      </c>
      <c r="I45">
        <v>56.916060000000002</v>
      </c>
      <c r="J45">
        <v>7.8586256276153066E-2</v>
      </c>
      <c r="K45">
        <f t="shared" si="3"/>
        <v>4.4728200773889046</v>
      </c>
      <c r="L45">
        <f t="shared" si="11"/>
        <v>1.0368353754234505</v>
      </c>
      <c r="M45">
        <f t="shared" si="4"/>
        <v>0.27304749920580296</v>
      </c>
      <c r="N45">
        <f t="shared" si="24"/>
        <v>0.3109029368546512</v>
      </c>
      <c r="P45">
        <v>40.988289999999999</v>
      </c>
      <c r="Q45">
        <v>0.11104697879796115</v>
      </c>
      <c r="R45">
        <f t="shared" si="5"/>
        <v>4.5516257705946828</v>
      </c>
      <c r="S45">
        <f t="shared" si="12"/>
        <v>4.5948903302723387</v>
      </c>
      <c r="T45">
        <f t="shared" si="13"/>
        <v>3.2850074556430853</v>
      </c>
      <c r="U45">
        <f t="shared" si="25"/>
        <v>1.3595005481690237</v>
      </c>
      <c r="W45">
        <v>95.323570000000004</v>
      </c>
      <c r="X45">
        <v>7.8350951704660929E-2</v>
      </c>
      <c r="Y45">
        <f t="shared" si="6"/>
        <v>7.4686924293858654</v>
      </c>
      <c r="Z45">
        <f t="shared" si="14"/>
        <v>-1.1147001622023311</v>
      </c>
      <c r="AA45">
        <f t="shared" si="15"/>
        <v>2.4245830368315846</v>
      </c>
      <c r="AB45">
        <f t="shared" si="26"/>
        <v>0.92984750771992752</v>
      </c>
      <c r="AD45">
        <v>61.157130000000002</v>
      </c>
      <c r="AE45">
        <v>0.14669766515429727</v>
      </c>
      <c r="AF45">
        <f t="shared" si="7"/>
        <v>8.9716081785378297</v>
      </c>
      <c r="AG45">
        <f t="shared" si="16"/>
        <v>7.909563448631074</v>
      </c>
      <c r="AH45">
        <f t="shared" si="17"/>
        <v>6.5996805740018205</v>
      </c>
      <c r="AI45">
        <f t="shared" si="27"/>
        <v>6.5996805740018205</v>
      </c>
      <c r="AK45">
        <v>61.853360000000002</v>
      </c>
      <c r="AL45">
        <v>7.6539330839870287E-2</v>
      </c>
      <c r="AM45">
        <f t="shared" si="8"/>
        <v>4.734214784597599</v>
      </c>
      <c r="AN45">
        <f t="shared" si="18"/>
        <v>-0.98527506109045149</v>
      </c>
      <c r="AO45">
        <f t="shared" si="19"/>
        <v>2.2951579357197049</v>
      </c>
      <c r="AP45">
        <f t="shared" si="28"/>
        <v>3.4663202193255804</v>
      </c>
      <c r="AR45">
        <v>52.143940000000001</v>
      </c>
      <c r="AS45">
        <v>0.46649765724311426</v>
      </c>
      <c r="AT45">
        <f t="shared" si="9"/>
        <v>24.325025849425515</v>
      </c>
      <c r="AU45">
        <f t="shared" si="20"/>
        <v>-0.28459006562284728</v>
      </c>
      <c r="AV45">
        <f t="shared" si="21"/>
        <v>1.5944729402521007</v>
      </c>
      <c r="AW45">
        <f t="shared" si="29"/>
        <v>1.5944729402521007</v>
      </c>
      <c r="AY45" s="4">
        <f t="shared" si="1"/>
        <v>56.62573027847062</v>
      </c>
      <c r="AZ45">
        <f t="shared" si="22"/>
        <v>1.3098828746292535</v>
      </c>
    </row>
    <row r="46" spans="1:52" x14ac:dyDescent="0.35">
      <c r="A46" s="2">
        <v>37834</v>
      </c>
      <c r="B46">
        <v>51.40766</v>
      </c>
      <c r="C46">
        <v>4.2281159983943051E-2</v>
      </c>
      <c r="D46">
        <f t="shared" si="30"/>
        <v>2.1735754968601499</v>
      </c>
      <c r="E46">
        <f t="shared" si="10"/>
        <v>3.4177490718936054</v>
      </c>
      <c r="F46">
        <f t="shared" si="2"/>
        <v>1.9439339284671897</v>
      </c>
      <c r="G46">
        <f t="shared" si="23"/>
        <v>1.8346469311681712</v>
      </c>
      <c r="I46">
        <v>58.973849999999999</v>
      </c>
      <c r="J46">
        <v>7.8586256276153066E-2</v>
      </c>
      <c r="K46">
        <f t="shared" si="3"/>
        <v>4.6345340896914093</v>
      </c>
      <c r="L46">
        <f t="shared" si="11"/>
        <v>3.61548216795049</v>
      </c>
      <c r="M46">
        <f t="shared" si="4"/>
        <v>2.1416670245240743</v>
      </c>
      <c r="N46">
        <f t="shared" si="24"/>
        <v>1.8686195253182714</v>
      </c>
      <c r="P46">
        <v>42.463099999999997</v>
      </c>
      <c r="Q46">
        <v>0.11104697879796115</v>
      </c>
      <c r="R46">
        <f t="shared" si="5"/>
        <v>4.7153989653957034</v>
      </c>
      <c r="S46">
        <f t="shared" si="12"/>
        <v>3.5981252206422898</v>
      </c>
      <c r="T46">
        <f t="shared" si="13"/>
        <v>2.1243100772158741</v>
      </c>
      <c r="U46">
        <f t="shared" si="25"/>
        <v>1.1606973784272112</v>
      </c>
      <c r="W46">
        <v>96.580439999999996</v>
      </c>
      <c r="X46">
        <v>7.8350951704660929E-2</v>
      </c>
      <c r="Y46">
        <f t="shared" si="6"/>
        <v>7.567169390054902</v>
      </c>
      <c r="Z46">
        <f t="shared" si="14"/>
        <v>1.3185301389782023</v>
      </c>
      <c r="AA46">
        <f t="shared" si="15"/>
        <v>0.15528500444821347</v>
      </c>
      <c r="AB46">
        <f t="shared" si="26"/>
        <v>6.444395569553607</v>
      </c>
      <c r="AD46">
        <v>62.255560000000003</v>
      </c>
      <c r="AE46">
        <v>0.14669766515429727</v>
      </c>
      <c r="AF46">
        <f t="shared" si="7"/>
        <v>9.1327452948732635</v>
      </c>
      <c r="AG46">
        <f t="shared" si="16"/>
        <v>1.7960783967462257</v>
      </c>
      <c r="AH46">
        <f t="shared" si="17"/>
        <v>0.32226325331980998</v>
      </c>
      <c r="AI46">
        <f t="shared" si="27"/>
        <v>0.32226325331980998</v>
      </c>
      <c r="AK46">
        <v>63.412019999999998</v>
      </c>
      <c r="AL46">
        <v>7.6539330839870287E-2</v>
      </c>
      <c r="AM46">
        <f t="shared" si="8"/>
        <v>4.8535135780044714</v>
      </c>
      <c r="AN46">
        <f t="shared" si="18"/>
        <v>2.5199277775693973</v>
      </c>
      <c r="AO46">
        <f t="shared" si="19"/>
        <v>1.0461126341429816</v>
      </c>
      <c r="AP46">
        <f t="shared" si="28"/>
        <v>0.26377024048627185</v>
      </c>
      <c r="AR46">
        <v>52.268970000000003</v>
      </c>
      <c r="AS46">
        <v>0.46649765724311426</v>
      </c>
      <c r="AT46">
        <f t="shared" si="9"/>
        <v>24.383352051510624</v>
      </c>
      <c r="AU46">
        <f t="shared" si="20"/>
        <v>0.23977858213246606</v>
      </c>
      <c r="AV46">
        <f t="shared" si="21"/>
        <v>1.2340365612939497</v>
      </c>
      <c r="AW46">
        <f t="shared" si="29"/>
        <v>1.2340365612939497</v>
      </c>
      <c r="AY46" s="4">
        <f t="shared" si="1"/>
        <v>57.46028886639052</v>
      </c>
      <c r="AZ46">
        <f t="shared" si="22"/>
        <v>1.4738151434264157</v>
      </c>
    </row>
    <row r="47" spans="1:52" x14ac:dyDescent="0.35">
      <c r="A47" s="2">
        <v>37865</v>
      </c>
      <c r="B47">
        <v>52.776919999999997</v>
      </c>
      <c r="C47">
        <v>4.2281159983943051E-2</v>
      </c>
      <c r="D47">
        <f t="shared" si="30"/>
        <v>2.2314693979797635</v>
      </c>
      <c r="E47">
        <f t="shared" si="10"/>
        <v>2.6635330221215892</v>
      </c>
      <c r="F47">
        <f t="shared" si="2"/>
        <v>0.65236300632147692</v>
      </c>
      <c r="G47">
        <f t="shared" si="23"/>
        <v>1.2915709221457128</v>
      </c>
      <c r="I47">
        <v>60.809910000000002</v>
      </c>
      <c r="J47">
        <v>7.8586256276153066E-2</v>
      </c>
      <c r="K47">
        <f t="shared" si="3"/>
        <v>4.7788231713898028</v>
      </c>
      <c r="L47">
        <f t="shared" si="11"/>
        <v>3.1133459999644009</v>
      </c>
      <c r="M47">
        <f t="shared" si="4"/>
        <v>0.20255002847866521</v>
      </c>
      <c r="N47">
        <f t="shared" si="24"/>
        <v>1.9391169960454091</v>
      </c>
      <c r="P47">
        <v>43.392330000000001</v>
      </c>
      <c r="Q47">
        <v>0.11104697879796115</v>
      </c>
      <c r="R47">
        <f t="shared" si="5"/>
        <v>4.8185871495041335</v>
      </c>
      <c r="S47">
        <f t="shared" si="12"/>
        <v>2.1883235091173292</v>
      </c>
      <c r="T47">
        <f t="shared" si="13"/>
        <v>1.1275725193257369</v>
      </c>
      <c r="U47">
        <f t="shared" si="25"/>
        <v>0.99673755789013718</v>
      </c>
      <c r="W47">
        <v>98.295419999999993</v>
      </c>
      <c r="X47">
        <v>7.8350951704660929E-2</v>
      </c>
      <c r="Y47">
        <f t="shared" si="6"/>
        <v>7.7015397052093615</v>
      </c>
      <c r="Z47">
        <f t="shared" si="14"/>
        <v>1.7757011668201095</v>
      </c>
      <c r="AA47">
        <f t="shared" si="15"/>
        <v>1.5401948616229566</v>
      </c>
      <c r="AB47">
        <f t="shared" si="26"/>
        <v>1.2179316083031466</v>
      </c>
      <c r="AD47">
        <v>66.955489999999998</v>
      </c>
      <c r="AE47">
        <v>0.14669766515429727</v>
      </c>
      <c r="AF47">
        <f t="shared" si="7"/>
        <v>9.8222140522618986</v>
      </c>
      <c r="AG47">
        <f t="shared" si="16"/>
        <v>7.5494140603666438</v>
      </c>
      <c r="AH47">
        <f t="shared" si="17"/>
        <v>4.2335180319235777</v>
      </c>
      <c r="AI47">
        <f t="shared" si="27"/>
        <v>4.2335180319235777</v>
      </c>
      <c r="AK47">
        <v>64.216740000000001</v>
      </c>
      <c r="AL47">
        <v>7.6539330839870287E-2</v>
      </c>
      <c r="AM47">
        <f t="shared" si="8"/>
        <v>4.9151063083179318</v>
      </c>
      <c r="AN47">
        <f t="shared" si="18"/>
        <v>1.2690338519416366</v>
      </c>
      <c r="AO47">
        <f t="shared" si="19"/>
        <v>2.0468621765014294</v>
      </c>
      <c r="AP47">
        <f t="shared" si="28"/>
        <v>0.5730470330750137</v>
      </c>
      <c r="AR47">
        <v>53.800640000000001</v>
      </c>
      <c r="AS47">
        <v>0.46649765724311426</v>
      </c>
      <c r="AT47">
        <f t="shared" si="9"/>
        <v>25.097872518180182</v>
      </c>
      <c r="AU47">
        <f t="shared" si="20"/>
        <v>2.9303619336673359</v>
      </c>
      <c r="AV47">
        <f t="shared" si="21"/>
        <v>0.3855340947757302</v>
      </c>
      <c r="AW47">
        <f t="shared" si="29"/>
        <v>0.3855340947757302</v>
      </c>
      <c r="AY47" s="4">
        <f t="shared" si="1"/>
        <v>59.365612302843076</v>
      </c>
      <c r="AZ47">
        <f t="shared" si="22"/>
        <v>3.3158960284430661</v>
      </c>
    </row>
    <row r="48" spans="1:52" x14ac:dyDescent="0.35">
      <c r="A48" s="2">
        <v>37895</v>
      </c>
      <c r="B48">
        <v>53.447189999999999</v>
      </c>
      <c r="C48">
        <v>4.2281159983943051E-2</v>
      </c>
      <c r="D48">
        <f t="shared" si="30"/>
        <v>2.2598091910822014</v>
      </c>
      <c r="E48">
        <f t="shared" si="10"/>
        <v>1.270005904095961</v>
      </c>
      <c r="F48">
        <f t="shared" si="2"/>
        <v>0.37812151498903823</v>
      </c>
      <c r="G48">
        <f t="shared" si="23"/>
        <v>0.27424149133243869</v>
      </c>
      <c r="I48">
        <v>60.815019999999997</v>
      </c>
      <c r="J48">
        <v>7.8586256276153066E-2</v>
      </c>
      <c r="K48">
        <f t="shared" si="3"/>
        <v>4.7792247471593736</v>
      </c>
      <c r="L48">
        <f t="shared" si="11"/>
        <v>8.4032355910368395E-3</v>
      </c>
      <c r="M48">
        <f t="shared" si="4"/>
        <v>1.6397241834939624</v>
      </c>
      <c r="N48">
        <f t="shared" si="24"/>
        <v>1.4371741550152972</v>
      </c>
      <c r="P48">
        <v>43.409680000000002</v>
      </c>
      <c r="Q48">
        <v>0.11104697879796115</v>
      </c>
      <c r="R48">
        <f t="shared" si="5"/>
        <v>4.8205138145862785</v>
      </c>
      <c r="S48">
        <f t="shared" si="12"/>
        <v>3.9984024826500431E-2</v>
      </c>
      <c r="T48">
        <f t="shared" si="13"/>
        <v>1.6081433942584988</v>
      </c>
      <c r="U48">
        <f t="shared" si="25"/>
        <v>0.48057087493276196</v>
      </c>
      <c r="W48">
        <v>98.224329999999995</v>
      </c>
      <c r="X48">
        <v>7.8350951704660929E-2</v>
      </c>
      <c r="Y48">
        <f t="shared" si="6"/>
        <v>7.6959697360526773</v>
      </c>
      <c r="Z48">
        <f t="shared" si="14"/>
        <v>-7.2322799983959296E-2</v>
      </c>
      <c r="AA48">
        <f t="shared" si="15"/>
        <v>1.7204502190689586</v>
      </c>
      <c r="AB48">
        <f t="shared" si="26"/>
        <v>2.5130678128546191</v>
      </c>
      <c r="AD48">
        <v>68.548349999999999</v>
      </c>
      <c r="AE48">
        <v>0.14669766515429727</v>
      </c>
      <c r="AF48">
        <f t="shared" si="7"/>
        <v>10.055882895179574</v>
      </c>
      <c r="AG48">
        <f t="shared" si="16"/>
        <v>2.378983411218405</v>
      </c>
      <c r="AH48">
        <f t="shared" si="17"/>
        <v>0.73085599213340569</v>
      </c>
      <c r="AI48">
        <f t="shared" si="27"/>
        <v>0.73085599213340569</v>
      </c>
      <c r="AK48">
        <v>65.057860000000005</v>
      </c>
      <c r="AL48">
        <v>7.6539330839870287E-2</v>
      </c>
      <c r="AM48">
        <f t="shared" si="8"/>
        <v>4.9794850702739639</v>
      </c>
      <c r="AN48">
        <f t="shared" si="18"/>
        <v>1.3098142322391482</v>
      </c>
      <c r="AO48">
        <f t="shared" si="19"/>
        <v>0.3383131868458511</v>
      </c>
      <c r="AP48">
        <f t="shared" si="28"/>
        <v>2.977582841597215</v>
      </c>
      <c r="AR48">
        <v>55.205309999999997</v>
      </c>
      <c r="AS48">
        <v>0.46649765724311426</v>
      </c>
      <c r="AT48">
        <f t="shared" si="9"/>
        <v>25.753147782379866</v>
      </c>
      <c r="AU48">
        <f t="shared" si="20"/>
        <v>2.610879721876902</v>
      </c>
      <c r="AV48">
        <f t="shared" si="21"/>
        <v>0.96275230279190271</v>
      </c>
      <c r="AW48">
        <f t="shared" si="29"/>
        <v>0.96275230279190271</v>
      </c>
      <c r="AY48" s="4">
        <f t="shared" si="1"/>
        <v>60.344033236713926</v>
      </c>
      <c r="AZ48">
        <f t="shared" si="22"/>
        <v>1.6481274190849993</v>
      </c>
    </row>
    <row r="49" spans="1:52" x14ac:dyDescent="0.35">
      <c r="A49" s="2">
        <v>37926</v>
      </c>
      <c r="B49">
        <v>54.529890000000002</v>
      </c>
      <c r="C49">
        <v>4.2281159983943051E-2</v>
      </c>
      <c r="D49">
        <f t="shared" si="30"/>
        <v>2.3055870029968162</v>
      </c>
      <c r="E49">
        <f t="shared" si="10"/>
        <v>2.0257379293467048</v>
      </c>
      <c r="F49">
        <f t="shared" si="2"/>
        <v>0.82959433883202927</v>
      </c>
      <c r="G49">
        <f t="shared" si="23"/>
        <v>0.45147282384299103</v>
      </c>
      <c r="I49">
        <v>62.63467</v>
      </c>
      <c r="J49">
        <v>7.8586256276153066E-2</v>
      </c>
      <c r="K49">
        <f t="shared" si="3"/>
        <v>4.9222242283922766</v>
      </c>
      <c r="L49">
        <f t="shared" si="11"/>
        <v>2.9921062263894793</v>
      </c>
      <c r="M49">
        <f t="shared" si="4"/>
        <v>1.7959626358748038</v>
      </c>
      <c r="N49">
        <f t="shared" si="24"/>
        <v>0.15623845238084133</v>
      </c>
      <c r="P49">
        <v>46.010370000000002</v>
      </c>
      <c r="Q49">
        <v>0.11104697879796115</v>
      </c>
      <c r="R49">
        <f t="shared" si="5"/>
        <v>5.1093125818763481</v>
      </c>
      <c r="S49">
        <f t="shared" si="12"/>
        <v>5.991037022157264</v>
      </c>
      <c r="T49">
        <f t="shared" si="13"/>
        <v>4.7948934316425884</v>
      </c>
      <c r="U49">
        <f t="shared" si="25"/>
        <v>3.1867500373840896</v>
      </c>
      <c r="W49">
        <v>101.7257</v>
      </c>
      <c r="X49">
        <v>7.8350951704660929E-2</v>
      </c>
      <c r="Y49">
        <f t="shared" si="6"/>
        <v>7.9703054078228268</v>
      </c>
      <c r="Z49">
        <f t="shared" si="14"/>
        <v>3.5646667175026847</v>
      </c>
      <c r="AA49">
        <f t="shared" si="15"/>
        <v>2.3685231269880092</v>
      </c>
      <c r="AB49">
        <f t="shared" si="26"/>
        <v>1.6376671348546035</v>
      </c>
      <c r="AD49">
        <v>64.928160000000005</v>
      </c>
      <c r="AE49">
        <v>0.14669766515429727</v>
      </c>
      <c r="AF49">
        <f t="shared" si="7"/>
        <v>9.5248094747646395</v>
      </c>
      <c r="AG49">
        <f t="shared" si="16"/>
        <v>-5.2812212110138201</v>
      </c>
      <c r="AH49">
        <f t="shared" si="17"/>
        <v>6.4773648015284957</v>
      </c>
      <c r="AI49">
        <f t="shared" si="27"/>
        <v>6.4773648015284957</v>
      </c>
      <c r="AK49">
        <v>65.952349999999996</v>
      </c>
      <c r="AL49">
        <v>7.6539330839870287E-2</v>
      </c>
      <c r="AM49">
        <f t="shared" si="8"/>
        <v>5.0479487363169184</v>
      </c>
      <c r="AN49">
        <f t="shared" si="18"/>
        <v>1.3749145760404424</v>
      </c>
      <c r="AO49">
        <f t="shared" si="19"/>
        <v>0.17877098552576687</v>
      </c>
      <c r="AP49">
        <f t="shared" si="28"/>
        <v>1.4693564335592324</v>
      </c>
      <c r="AR49">
        <v>56.132429999999999</v>
      </c>
      <c r="AS49">
        <v>0.46649765724311426</v>
      </c>
      <c r="AT49">
        <f t="shared" si="9"/>
        <v>26.185647090363105</v>
      </c>
      <c r="AU49">
        <f t="shared" si="20"/>
        <v>1.6794036660603862</v>
      </c>
      <c r="AV49">
        <f t="shared" si="21"/>
        <v>0.4832600755457106</v>
      </c>
      <c r="AW49">
        <f t="shared" si="29"/>
        <v>0.4832600755457106</v>
      </c>
      <c r="AY49" s="4">
        <f t="shared" si="1"/>
        <v>61.065834522532924</v>
      </c>
      <c r="AZ49">
        <f t="shared" si="22"/>
        <v>1.1961435905146756</v>
      </c>
    </row>
    <row r="50" spans="1:52" x14ac:dyDescent="0.35">
      <c r="A50" s="2">
        <v>37956</v>
      </c>
      <c r="B50">
        <v>56.143940000000001</v>
      </c>
      <c r="C50">
        <v>4.2281159983943051E-2</v>
      </c>
      <c r="D50">
        <f t="shared" si="30"/>
        <v>2.3738309092688996</v>
      </c>
      <c r="E50">
        <f t="shared" si="10"/>
        <v>2.9599362844854316</v>
      </c>
      <c r="F50">
        <f t="shared" si="2"/>
        <v>9.4033763203738019E-2</v>
      </c>
      <c r="G50">
        <f t="shared" si="23"/>
        <v>0.73556057562829125</v>
      </c>
      <c r="I50">
        <v>63.894730000000003</v>
      </c>
      <c r="J50">
        <v>7.8586256276153066E-2</v>
      </c>
      <c r="K50">
        <f t="shared" si="3"/>
        <v>5.0212476264756054</v>
      </c>
      <c r="L50">
        <f t="shared" si="11"/>
        <v>2.011761217868635</v>
      </c>
      <c r="M50">
        <f t="shared" si="4"/>
        <v>0.85414130341305849</v>
      </c>
      <c r="N50">
        <f t="shared" si="24"/>
        <v>0.94182133246174526</v>
      </c>
      <c r="P50">
        <v>47.695320000000002</v>
      </c>
      <c r="Q50">
        <v>0.11104697879796115</v>
      </c>
      <c r="R50">
        <f t="shared" si="5"/>
        <v>5.2964211888019728</v>
      </c>
      <c r="S50">
        <f t="shared" si="12"/>
        <v>3.6621092158137358</v>
      </c>
      <c r="T50">
        <f t="shared" si="13"/>
        <v>0.79620669453204229</v>
      </c>
      <c r="U50">
        <f t="shared" si="25"/>
        <v>3.9986867371105461</v>
      </c>
      <c r="W50">
        <v>104.0496</v>
      </c>
      <c r="X50">
        <v>7.8350951704660929E-2</v>
      </c>
      <c r="Y50">
        <f t="shared" si="6"/>
        <v>8.1523851844892885</v>
      </c>
      <c r="Z50">
        <f t="shared" si="14"/>
        <v>2.2844767841361469</v>
      </c>
      <c r="AA50">
        <f t="shared" si="15"/>
        <v>0.58142573714554668</v>
      </c>
      <c r="AB50">
        <f t="shared" si="26"/>
        <v>5.895939064382949</v>
      </c>
      <c r="AD50">
        <v>65.233710000000002</v>
      </c>
      <c r="AE50">
        <v>0.14669766515429727</v>
      </c>
      <c r="AF50">
        <f t="shared" si="7"/>
        <v>9.5696329463525345</v>
      </c>
      <c r="AG50">
        <f t="shared" si="16"/>
        <v>0.47059704140699488</v>
      </c>
      <c r="AH50">
        <f t="shared" si="17"/>
        <v>2.3953054798746987</v>
      </c>
      <c r="AI50">
        <f t="shared" si="27"/>
        <v>2.3953054798746987</v>
      </c>
      <c r="AK50">
        <v>66.67201</v>
      </c>
      <c r="AL50">
        <v>7.6539330839870287E-2</v>
      </c>
      <c r="AM50">
        <f t="shared" si="8"/>
        <v>5.1030310311491398</v>
      </c>
      <c r="AN50">
        <f t="shared" si="18"/>
        <v>1.0911817395437895</v>
      </c>
      <c r="AO50">
        <f t="shared" si="19"/>
        <v>1.774720781737904</v>
      </c>
      <c r="AP50">
        <f t="shared" si="28"/>
        <v>0.57857719122322848</v>
      </c>
      <c r="AR50">
        <v>58.519849999999998</v>
      </c>
      <c r="AS50">
        <v>0.46649765724311426</v>
      </c>
      <c r="AT50">
        <f t="shared" si="9"/>
        <v>27.29937292721846</v>
      </c>
      <c r="AU50">
        <f t="shared" si="20"/>
        <v>4.2531919605119484</v>
      </c>
      <c r="AV50">
        <f t="shared" si="21"/>
        <v>1.3872894392302548</v>
      </c>
      <c r="AW50">
        <f t="shared" si="29"/>
        <v>1.3872894392302548</v>
      </c>
      <c r="AY50" s="4">
        <f t="shared" si="1"/>
        <v>62.815921813755899</v>
      </c>
      <c r="AZ50">
        <f t="shared" si="22"/>
        <v>2.8659025212816935</v>
      </c>
    </row>
    <row r="51" spans="1:52" x14ac:dyDescent="0.35">
      <c r="A51" s="2">
        <v>37987</v>
      </c>
      <c r="B51">
        <v>59.040289999999999</v>
      </c>
      <c r="C51">
        <v>4.2360701366170504E-2</v>
      </c>
      <c r="D51">
        <f t="shared" si="30"/>
        <v>2.5009880932621029</v>
      </c>
      <c r="E51">
        <f t="shared" si="10"/>
        <v>5.1587936293747694</v>
      </c>
      <c r="F51">
        <f t="shared" si="2"/>
        <v>1.0238862729080811</v>
      </c>
      <c r="G51">
        <f t="shared" si="23"/>
        <v>0.92985250970434308</v>
      </c>
      <c r="I51">
        <v>66.377200000000002</v>
      </c>
      <c r="J51">
        <v>7.8533534366918803E-2</v>
      </c>
      <c r="K51">
        <f t="shared" si="3"/>
        <v>5.212836117379843</v>
      </c>
      <c r="L51">
        <f t="shared" si="11"/>
        <v>3.8852500041865801</v>
      </c>
      <c r="M51">
        <f t="shared" si="4"/>
        <v>0.24965735228010821</v>
      </c>
      <c r="N51">
        <f t="shared" si="24"/>
        <v>0.60448395113295028</v>
      </c>
      <c r="P51">
        <v>50.064660000000003</v>
      </c>
      <c r="Q51">
        <v>0.10918678776822349</v>
      </c>
      <c r="R51">
        <f t="shared" si="5"/>
        <v>5.4663994061082679</v>
      </c>
      <c r="S51">
        <f t="shared" si="12"/>
        <v>4.9676572041030376</v>
      </c>
      <c r="T51">
        <f t="shared" si="13"/>
        <v>0.83274984763634929</v>
      </c>
      <c r="U51">
        <f t="shared" si="25"/>
        <v>3.6543153104307002E-2</v>
      </c>
      <c r="W51">
        <v>105.7908</v>
      </c>
      <c r="X51">
        <v>7.7227686216591721E-2</v>
      </c>
      <c r="Y51">
        <f t="shared" si="6"/>
        <v>8.1699787070022118</v>
      </c>
      <c r="Z51">
        <f t="shared" si="14"/>
        <v>1.6734326705724945</v>
      </c>
      <c r="AA51">
        <f t="shared" si="15"/>
        <v>2.4614746858941938</v>
      </c>
      <c r="AB51">
        <f t="shared" si="26"/>
        <v>6.6169206019495164E-2</v>
      </c>
      <c r="AD51">
        <v>68.328540000000004</v>
      </c>
      <c r="AE51">
        <v>0.1456816472017565</v>
      </c>
      <c r="AF51">
        <f t="shared" si="7"/>
        <v>9.9542142580911079</v>
      </c>
      <c r="AG51">
        <f t="shared" si="16"/>
        <v>4.7442189015464598</v>
      </c>
      <c r="AH51">
        <f t="shared" si="17"/>
        <v>0.60931154507977148</v>
      </c>
      <c r="AI51">
        <f t="shared" si="27"/>
        <v>0.60931154507977148</v>
      </c>
      <c r="AK51">
        <v>67.796689999999998</v>
      </c>
      <c r="AL51">
        <v>7.6188027479916362E-2</v>
      </c>
      <c r="AM51">
        <f t="shared" si="8"/>
        <v>5.1652960807673711</v>
      </c>
      <c r="AN51">
        <f t="shared" si="18"/>
        <v>1.6868847961835742</v>
      </c>
      <c r="AO51">
        <f t="shared" si="19"/>
        <v>2.448022560283114</v>
      </c>
      <c r="AP51">
        <f t="shared" si="28"/>
        <v>0.41787996099857949</v>
      </c>
      <c r="AR51">
        <v>61.474640000000001</v>
      </c>
      <c r="AS51">
        <v>0.47082161560042263</v>
      </c>
      <c r="AT51">
        <f t="shared" si="9"/>
        <v>28.943589323254365</v>
      </c>
      <c r="AU51">
        <f t="shared" si="20"/>
        <v>5.0492097980428863</v>
      </c>
      <c r="AV51">
        <f t="shared" si="21"/>
        <v>0.914302441576198</v>
      </c>
      <c r="AW51">
        <f t="shared" si="29"/>
        <v>0.914302441576198</v>
      </c>
      <c r="AY51" s="4">
        <f t="shared" si="1"/>
        <v>65.41330198586526</v>
      </c>
      <c r="AZ51">
        <f t="shared" si="22"/>
        <v>4.1349073564666883</v>
      </c>
    </row>
    <row r="52" spans="1:52" x14ac:dyDescent="0.35">
      <c r="A52" s="2">
        <v>38018</v>
      </c>
      <c r="B52">
        <v>60.53781</v>
      </c>
      <c r="C52">
        <v>4.2360701366170504E-2</v>
      </c>
      <c r="D52">
        <f t="shared" si="30"/>
        <v>2.5644240907719706</v>
      </c>
      <c r="E52">
        <f t="shared" si="10"/>
        <v>2.5364374057105676</v>
      </c>
      <c r="F52">
        <f t="shared" si="2"/>
        <v>1.8075221365912331</v>
      </c>
      <c r="G52">
        <f t="shared" si="23"/>
        <v>0.78363586368315197</v>
      </c>
      <c r="I52">
        <v>67.63</v>
      </c>
      <c r="J52">
        <v>7.8533534366918803E-2</v>
      </c>
      <c r="K52">
        <f t="shared" si="3"/>
        <v>5.3112229292347184</v>
      </c>
      <c r="L52">
        <f t="shared" si="11"/>
        <v>1.8873950693912844</v>
      </c>
      <c r="M52">
        <f t="shared" si="4"/>
        <v>1.1584798002719499</v>
      </c>
      <c r="N52">
        <f t="shared" si="24"/>
        <v>0.90882244799184164</v>
      </c>
      <c r="P52">
        <v>50.182259999999999</v>
      </c>
      <c r="Q52">
        <v>0.10918678776822349</v>
      </c>
      <c r="R52">
        <f t="shared" si="5"/>
        <v>5.4792397723498105</v>
      </c>
      <c r="S52">
        <f t="shared" si="12"/>
        <v>0.23489623219252742</v>
      </c>
      <c r="T52">
        <f t="shared" si="13"/>
        <v>0.49401903692680715</v>
      </c>
      <c r="U52">
        <f t="shared" si="25"/>
        <v>0.33873081070954214</v>
      </c>
      <c r="W52">
        <v>106.32299999999999</v>
      </c>
      <c r="X52">
        <v>7.7227686216591721E-2</v>
      </c>
      <c r="Y52">
        <f t="shared" si="6"/>
        <v>8.2110792816066809</v>
      </c>
      <c r="Z52">
        <f t="shared" si="14"/>
        <v>0.50306831974045174</v>
      </c>
      <c r="AA52">
        <f t="shared" si="15"/>
        <v>0.22584694937888283</v>
      </c>
      <c r="AB52">
        <f t="shared" si="26"/>
        <v>0.38346459570088864</v>
      </c>
      <c r="AD52">
        <v>67.342259999999996</v>
      </c>
      <c r="AE52">
        <v>0.1456816472017565</v>
      </c>
      <c r="AF52">
        <f t="shared" si="7"/>
        <v>9.8105313630889572</v>
      </c>
      <c r="AG52">
        <f t="shared" si="16"/>
        <v>-1.4434378372492729</v>
      </c>
      <c r="AH52">
        <f t="shared" si="17"/>
        <v>2.1723531063686075</v>
      </c>
      <c r="AI52">
        <f t="shared" si="27"/>
        <v>2.1723531063686075</v>
      </c>
      <c r="AK52">
        <v>67.373180000000005</v>
      </c>
      <c r="AL52">
        <v>7.6188027479916362E-2</v>
      </c>
      <c r="AM52">
        <f t="shared" si="8"/>
        <v>5.1330296892493514</v>
      </c>
      <c r="AN52">
        <f t="shared" si="18"/>
        <v>-0.62467651444338967</v>
      </c>
      <c r="AO52">
        <f t="shared" si="19"/>
        <v>1.3535917835627242</v>
      </c>
      <c r="AP52">
        <f t="shared" si="28"/>
        <v>2.781315572903964</v>
      </c>
      <c r="AR52">
        <v>62.402790000000003</v>
      </c>
      <c r="AS52">
        <v>0.47082161560042263</v>
      </c>
      <c r="AT52">
        <f t="shared" si="9"/>
        <v>29.3805824057739</v>
      </c>
      <c r="AU52">
        <f t="shared" si="20"/>
        <v>1.5098095735086803</v>
      </c>
      <c r="AV52">
        <f t="shared" si="21"/>
        <v>0.78089430438934571</v>
      </c>
      <c r="AW52">
        <f t="shared" si="29"/>
        <v>0.78089430438934571</v>
      </c>
      <c r="AY52" s="4">
        <f t="shared" si="1"/>
        <v>65.890109532075371</v>
      </c>
      <c r="AZ52">
        <f t="shared" si="22"/>
        <v>0.72891526911933457</v>
      </c>
    </row>
    <row r="53" spans="1:52" x14ac:dyDescent="0.35">
      <c r="A53" s="2">
        <v>38047</v>
      </c>
      <c r="B53">
        <v>60.087919999999997</v>
      </c>
      <c r="C53">
        <v>4.2360701366170504E-2</v>
      </c>
      <c r="D53">
        <f t="shared" si="30"/>
        <v>2.5453664348343437</v>
      </c>
      <c r="E53">
        <f t="shared" si="10"/>
        <v>-0.74315539329883329</v>
      </c>
      <c r="F53">
        <f t="shared" si="2"/>
        <v>1.0567814604129699</v>
      </c>
      <c r="G53">
        <f t="shared" si="23"/>
        <v>0.75074067617826312</v>
      </c>
      <c r="I53">
        <v>67.382990000000007</v>
      </c>
      <c r="J53">
        <v>7.8533534366918803E-2</v>
      </c>
      <c r="K53">
        <f t="shared" si="3"/>
        <v>5.2918243609107467</v>
      </c>
      <c r="L53">
        <f t="shared" si="11"/>
        <v>-0.36523732071563897</v>
      </c>
      <c r="M53">
        <f t="shared" si="4"/>
        <v>0.67886338782977562</v>
      </c>
      <c r="N53">
        <f t="shared" si="24"/>
        <v>0.47961641244217423</v>
      </c>
      <c r="P53">
        <v>48.622619999999998</v>
      </c>
      <c r="Q53">
        <v>0.10918678776822349</v>
      </c>
      <c r="R53">
        <f t="shared" si="5"/>
        <v>5.3089476906749784</v>
      </c>
      <c r="S53">
        <f t="shared" si="12"/>
        <v>-3.1079508973888448</v>
      </c>
      <c r="T53">
        <f t="shared" si="13"/>
        <v>3.4215769645029814</v>
      </c>
      <c r="U53">
        <f t="shared" si="25"/>
        <v>2.9275579275761743</v>
      </c>
      <c r="W53">
        <v>105.3738</v>
      </c>
      <c r="X53">
        <v>7.7227686216591721E-2</v>
      </c>
      <c r="Y53">
        <f t="shared" si="6"/>
        <v>8.1377747618498937</v>
      </c>
      <c r="Z53">
        <f t="shared" si="14"/>
        <v>-0.89275133320164679</v>
      </c>
      <c r="AA53">
        <f t="shared" si="15"/>
        <v>1.2063774003157834</v>
      </c>
      <c r="AB53">
        <f t="shared" si="26"/>
        <v>0.96597570605282401</v>
      </c>
      <c r="AD53">
        <v>73.335949999999997</v>
      </c>
      <c r="AE53">
        <v>0.1456816472017565</v>
      </c>
      <c r="AF53">
        <f t="shared" si="7"/>
        <v>10.683701995105654</v>
      </c>
      <c r="AG53">
        <f t="shared" si="16"/>
        <v>8.9003398460342673</v>
      </c>
      <c r="AH53">
        <f t="shared" si="17"/>
        <v>8.5867137789201315</v>
      </c>
      <c r="AI53">
        <f t="shared" si="27"/>
        <v>8.5867137789201315</v>
      </c>
      <c r="AK53">
        <v>67.427610000000001</v>
      </c>
      <c r="AL53">
        <v>7.6188027479916362E-2</v>
      </c>
      <c r="AM53">
        <f t="shared" si="8"/>
        <v>5.1371766035850834</v>
      </c>
      <c r="AN53">
        <f t="shared" si="18"/>
        <v>8.0788824276956106E-2</v>
      </c>
      <c r="AO53">
        <f t="shared" si="19"/>
        <v>0.23283724283718055</v>
      </c>
      <c r="AP53">
        <f t="shared" si="28"/>
        <v>0.49607802628215403</v>
      </c>
      <c r="AR53">
        <v>61.577390000000001</v>
      </c>
      <c r="AS53">
        <v>0.47082161560042263</v>
      </c>
      <c r="AT53">
        <f t="shared" si="9"/>
        <v>28.991966244257309</v>
      </c>
      <c r="AU53">
        <f t="shared" si="20"/>
        <v>-1.3226972704265316</v>
      </c>
      <c r="AV53">
        <f t="shared" si="21"/>
        <v>1.6363233375406683</v>
      </c>
      <c r="AW53">
        <f t="shared" si="29"/>
        <v>1.6363233375406683</v>
      </c>
      <c r="AY53" s="4">
        <f t="shared" si="1"/>
        <v>66.096758091218021</v>
      </c>
      <c r="AZ53">
        <f t="shared" si="22"/>
        <v>0.31362606711413665</v>
      </c>
    </row>
    <row r="54" spans="1:52" x14ac:dyDescent="0.35">
      <c r="A54" s="2">
        <v>38078</v>
      </c>
      <c r="B54">
        <v>60.337310000000002</v>
      </c>
      <c r="C54">
        <v>4.2360701366170504E-2</v>
      </c>
      <c r="D54">
        <f t="shared" si="30"/>
        <v>2.5559307701480534</v>
      </c>
      <c r="E54">
        <f t="shared" si="10"/>
        <v>0.41504182537854817</v>
      </c>
      <c r="F54">
        <f t="shared" si="2"/>
        <v>1.5459734696246175</v>
      </c>
      <c r="G54">
        <f t="shared" si="23"/>
        <v>0.48919200921164752</v>
      </c>
      <c r="I54">
        <v>68.792760000000001</v>
      </c>
      <c r="J54">
        <v>7.8533534366918803E-2</v>
      </c>
      <c r="K54">
        <f t="shared" si="3"/>
        <v>5.4025385816551976</v>
      </c>
      <c r="L54">
        <f t="shared" si="11"/>
        <v>2.0921748945839314</v>
      </c>
      <c r="M54">
        <f t="shared" si="4"/>
        <v>0.13115959958076573</v>
      </c>
      <c r="N54">
        <f t="shared" si="24"/>
        <v>0.54770378824900989</v>
      </c>
      <c r="P54">
        <v>49.86609</v>
      </c>
      <c r="Q54">
        <v>0.10918678776822349</v>
      </c>
      <c r="R54">
        <f t="shared" si="5"/>
        <v>5.4447181856611317</v>
      </c>
      <c r="S54">
        <f t="shared" si="12"/>
        <v>2.5573899555392243</v>
      </c>
      <c r="T54">
        <f t="shared" si="13"/>
        <v>0.5963746605360587</v>
      </c>
      <c r="U54">
        <f t="shared" si="25"/>
        <v>2.8252023039669227</v>
      </c>
      <c r="W54">
        <v>108.4726</v>
      </c>
      <c r="X54">
        <v>7.7227686216591721E-2</v>
      </c>
      <c r="Y54">
        <f t="shared" si="6"/>
        <v>8.3770879158978673</v>
      </c>
      <c r="Z54">
        <f t="shared" si="14"/>
        <v>2.9407689577485074</v>
      </c>
      <c r="AA54">
        <f t="shared" si="15"/>
        <v>0.97975366274534181</v>
      </c>
      <c r="AB54">
        <f t="shared" si="26"/>
        <v>7.6069601161747897</v>
      </c>
      <c r="AD54">
        <v>77.435739999999996</v>
      </c>
      <c r="AE54">
        <v>0.1456816472017565</v>
      </c>
      <c r="AF54">
        <f t="shared" si="7"/>
        <v>11.280966155486944</v>
      </c>
      <c r="AG54">
        <f t="shared" si="16"/>
        <v>5.590423250806742</v>
      </c>
      <c r="AH54">
        <f t="shared" si="17"/>
        <v>3.6294079558035763</v>
      </c>
      <c r="AI54">
        <f t="shared" si="27"/>
        <v>3.6294079558035763</v>
      </c>
      <c r="AK54">
        <v>68.435379999999995</v>
      </c>
      <c r="AL54">
        <v>7.6188027479916362E-2</v>
      </c>
      <c r="AM54">
        <f t="shared" si="8"/>
        <v>5.2139566120385181</v>
      </c>
      <c r="AN54">
        <f t="shared" si="18"/>
        <v>1.4945954631937708</v>
      </c>
      <c r="AO54">
        <f t="shared" si="19"/>
        <v>0.46641983180939484</v>
      </c>
      <c r="AP54">
        <f t="shared" si="28"/>
        <v>0.15279376469525818</v>
      </c>
      <c r="AR54">
        <v>61.844499999999996</v>
      </c>
      <c r="AS54">
        <v>0.47082161560042263</v>
      </c>
      <c r="AT54">
        <f t="shared" si="9"/>
        <v>29.117727406000334</v>
      </c>
      <c r="AU54">
        <f t="shared" si="20"/>
        <v>0.43377934660757678</v>
      </c>
      <c r="AV54">
        <f t="shared" si="21"/>
        <v>1.5272359483955888</v>
      </c>
      <c r="AW54">
        <f t="shared" si="29"/>
        <v>1.5272359483955888</v>
      </c>
      <c r="AY54" s="4">
        <f t="shared" si="1"/>
        <v>67.392925626888044</v>
      </c>
      <c r="AZ54">
        <f t="shared" si="22"/>
        <v>1.9610152950031656</v>
      </c>
    </row>
    <row r="55" spans="1:52" x14ac:dyDescent="0.35">
      <c r="A55" s="2">
        <v>38108</v>
      </c>
      <c r="B55">
        <v>57.648989999999998</v>
      </c>
      <c r="C55">
        <v>4.2360701366170504E-2</v>
      </c>
      <c r="D55">
        <f t="shared" si="30"/>
        <v>2.4420516494513498</v>
      </c>
      <c r="E55">
        <f t="shared" si="10"/>
        <v>-4.4554853373476639</v>
      </c>
      <c r="F55">
        <f t="shared" si="2"/>
        <v>0.6984167716389984</v>
      </c>
      <c r="G55">
        <f t="shared" si="23"/>
        <v>0.84755669798561906</v>
      </c>
      <c r="I55">
        <v>66.466710000000006</v>
      </c>
      <c r="J55">
        <v>7.8533534366918803E-2</v>
      </c>
      <c r="K55">
        <f t="shared" si="3"/>
        <v>5.2198656540410262</v>
      </c>
      <c r="L55">
        <f t="shared" si="11"/>
        <v>-3.3812424446991174</v>
      </c>
      <c r="M55">
        <f t="shared" si="4"/>
        <v>0.37582612100954815</v>
      </c>
      <c r="N55">
        <f t="shared" si="24"/>
        <v>0.24466652142878242</v>
      </c>
      <c r="P55">
        <v>47.487110000000001</v>
      </c>
      <c r="Q55">
        <v>0.10918678776822349</v>
      </c>
      <c r="R55">
        <f t="shared" si="5"/>
        <v>5.184965001296284</v>
      </c>
      <c r="S55">
        <f t="shared" si="12"/>
        <v>-4.7707369878007277</v>
      </c>
      <c r="T55">
        <f t="shared" si="13"/>
        <v>1.0136684220920622</v>
      </c>
      <c r="U55">
        <f t="shared" si="25"/>
        <v>0.41729376155600351</v>
      </c>
      <c r="W55">
        <v>106.07859999999999</v>
      </c>
      <c r="X55">
        <v>7.7227686216591721E-2</v>
      </c>
      <c r="Y55">
        <f t="shared" si="6"/>
        <v>8.192204835095346</v>
      </c>
      <c r="Z55">
        <f t="shared" si="14"/>
        <v>-2.2070089589444786</v>
      </c>
      <c r="AA55">
        <f t="shared" si="15"/>
        <v>1.550059606764187</v>
      </c>
      <c r="AB55">
        <f t="shared" si="26"/>
        <v>2.0793483490393894</v>
      </c>
      <c r="AD55">
        <v>72.468289999999996</v>
      </c>
      <c r="AE55">
        <v>0.1456816472017565</v>
      </c>
      <c r="AF55">
        <f t="shared" si="7"/>
        <v>10.557299857094577</v>
      </c>
      <c r="AG55">
        <f t="shared" si="16"/>
        <v>-6.4149319164509837</v>
      </c>
      <c r="AH55">
        <f t="shared" si="17"/>
        <v>2.6578633507423182</v>
      </c>
      <c r="AI55">
        <f t="shared" si="27"/>
        <v>2.6578633507423182</v>
      </c>
      <c r="AK55">
        <v>67.534520000000001</v>
      </c>
      <c r="AL55">
        <v>7.6188027479916362E-2</v>
      </c>
      <c r="AM55">
        <f t="shared" si="8"/>
        <v>5.1453218656029609</v>
      </c>
      <c r="AN55">
        <f t="shared" si="18"/>
        <v>-1.3163658914438603</v>
      </c>
      <c r="AO55">
        <f t="shared" si="19"/>
        <v>2.4407026742648052</v>
      </c>
      <c r="AP55">
        <f t="shared" si="28"/>
        <v>0.47968737926163962</v>
      </c>
      <c r="AR55">
        <v>59.72372</v>
      </c>
      <c r="AS55">
        <v>0.47082161560042263</v>
      </c>
      <c r="AT55">
        <f t="shared" si="9"/>
        <v>28.119218340067274</v>
      </c>
      <c r="AU55">
        <f t="shared" si="20"/>
        <v>-3.4292135921545119</v>
      </c>
      <c r="AV55">
        <f t="shared" si="21"/>
        <v>0.32785497355415361</v>
      </c>
      <c r="AW55">
        <f t="shared" si="29"/>
        <v>0.32785497355415361</v>
      </c>
      <c r="AY55" s="4">
        <f t="shared" si="1"/>
        <v>64.86092720264881</v>
      </c>
      <c r="AZ55">
        <f t="shared" si="22"/>
        <v>-3.7570685657086655</v>
      </c>
    </row>
    <row r="56" spans="1:52" x14ac:dyDescent="0.35">
      <c r="A56" s="2">
        <v>38139</v>
      </c>
      <c r="B56">
        <v>58.805549999999997</v>
      </c>
      <c r="C56">
        <v>4.2360701366170504E-2</v>
      </c>
      <c r="D56">
        <f t="shared" si="30"/>
        <v>2.4910443422234079</v>
      </c>
      <c r="E56">
        <f t="shared" si="10"/>
        <v>2.0062103429739242</v>
      </c>
      <c r="F56">
        <f t="shared" si="2"/>
        <v>0.36471658533285822</v>
      </c>
      <c r="G56">
        <f t="shared" si="23"/>
        <v>0.33370018630614018</v>
      </c>
      <c r="I56">
        <v>67.852279999999993</v>
      </c>
      <c r="J56">
        <v>7.8533534366918803E-2</v>
      </c>
      <c r="K56">
        <f t="shared" si="3"/>
        <v>5.328679363253797</v>
      </c>
      <c r="L56">
        <f t="shared" si="11"/>
        <v>2.0846074674073511</v>
      </c>
      <c r="M56">
        <f t="shared" si="4"/>
        <v>0.28631946089943128</v>
      </c>
      <c r="N56">
        <f t="shared" si="24"/>
        <v>8.9506660110116876E-2</v>
      </c>
      <c r="P56">
        <v>48.682380000000002</v>
      </c>
      <c r="Q56">
        <v>0.10918678776822349</v>
      </c>
      <c r="R56">
        <f t="shared" si="5"/>
        <v>5.3154726931120084</v>
      </c>
      <c r="S56">
        <f t="shared" si="12"/>
        <v>2.517040940162496</v>
      </c>
      <c r="T56">
        <f t="shared" si="13"/>
        <v>0.1461140118557136</v>
      </c>
      <c r="U56">
        <f t="shared" si="25"/>
        <v>0.86755441023634861</v>
      </c>
      <c r="W56">
        <v>107.89</v>
      </c>
      <c r="X56">
        <v>7.7227686216591721E-2</v>
      </c>
      <c r="Y56">
        <f t="shared" si="6"/>
        <v>8.3320950659080815</v>
      </c>
      <c r="Z56">
        <f t="shared" si="14"/>
        <v>1.7076017217421802</v>
      </c>
      <c r="AA56">
        <f t="shared" si="15"/>
        <v>0.66332520656460225</v>
      </c>
      <c r="AB56">
        <f t="shared" si="26"/>
        <v>1.9945381441777159</v>
      </c>
      <c r="AD56">
        <v>74.694810000000004</v>
      </c>
      <c r="AE56">
        <v>0.1456816472017565</v>
      </c>
      <c r="AF56">
        <f t="shared" si="7"/>
        <v>10.881662958222234</v>
      </c>
      <c r="AG56">
        <f t="shared" si="16"/>
        <v>3.0724058757285455</v>
      </c>
      <c r="AH56">
        <f t="shared" si="17"/>
        <v>0.70147894742176309</v>
      </c>
      <c r="AI56">
        <f t="shared" si="27"/>
        <v>0.70147894742176309</v>
      </c>
      <c r="AK56">
        <v>67.906930000000003</v>
      </c>
      <c r="AL56">
        <v>7.6188027479916362E-2</v>
      </c>
      <c r="AM56">
        <f t="shared" si="8"/>
        <v>5.1736950489167572</v>
      </c>
      <c r="AN56">
        <f t="shared" si="18"/>
        <v>0.5514365098026941</v>
      </c>
      <c r="AO56">
        <f t="shared" si="19"/>
        <v>1.8194904185040883</v>
      </c>
      <c r="AP56">
        <f t="shared" si="28"/>
        <v>5.5765589842127543</v>
      </c>
      <c r="AR56">
        <v>61.33126</v>
      </c>
      <c r="AS56">
        <v>0.47082161560042263</v>
      </c>
      <c r="AT56">
        <f t="shared" si="9"/>
        <v>28.876082920009576</v>
      </c>
      <c r="AU56">
        <f t="shared" si="20"/>
        <v>2.691627380210071</v>
      </c>
      <c r="AV56">
        <f t="shared" si="21"/>
        <v>0.32070045190328855</v>
      </c>
      <c r="AW56">
        <f t="shared" si="29"/>
        <v>0.32070045190328855</v>
      </c>
      <c r="AY56" s="4">
        <f t="shared" si="1"/>
        <v>66.398732391645865</v>
      </c>
      <c r="AZ56">
        <f t="shared" si="22"/>
        <v>2.3709269283067824</v>
      </c>
    </row>
    <row r="57" spans="1:52" x14ac:dyDescent="0.35">
      <c r="A57" s="2">
        <v>38169</v>
      </c>
      <c r="B57">
        <v>58.769840000000002</v>
      </c>
      <c r="C57">
        <v>4.2360701366170504E-2</v>
      </c>
      <c r="D57">
        <f t="shared" si="30"/>
        <v>2.4895316415776221</v>
      </c>
      <c r="E57">
        <f t="shared" si="10"/>
        <v>-6.0725560767638243E-2</v>
      </c>
      <c r="F57">
        <f t="shared" si="2"/>
        <v>1.4174288248658962</v>
      </c>
      <c r="G57">
        <f t="shared" si="23"/>
        <v>1.0527122395330379</v>
      </c>
      <c r="I57">
        <v>66.760490000000004</v>
      </c>
      <c r="J57">
        <v>7.8533534366918803E-2</v>
      </c>
      <c r="K57">
        <f t="shared" si="3"/>
        <v>5.2429372357673394</v>
      </c>
      <c r="L57">
        <f t="shared" si="11"/>
        <v>-1.6090689951759773</v>
      </c>
      <c r="M57">
        <f t="shared" si="4"/>
        <v>0.13091460954244294</v>
      </c>
      <c r="N57">
        <f t="shared" si="24"/>
        <v>0.15540485135698834</v>
      </c>
      <c r="P57">
        <v>47.500610000000002</v>
      </c>
      <c r="Q57">
        <v>0.10918678776822349</v>
      </c>
      <c r="R57">
        <f t="shared" si="5"/>
        <v>5.1864390229311548</v>
      </c>
      <c r="S57">
        <f t="shared" si="12"/>
        <v>-2.4275107338630475</v>
      </c>
      <c r="T57">
        <f t="shared" si="13"/>
        <v>0.94935634822951309</v>
      </c>
      <c r="U57">
        <f t="shared" si="25"/>
        <v>0.80324233637379949</v>
      </c>
      <c r="W57">
        <v>106.9152</v>
      </c>
      <c r="X57">
        <v>7.7227686216591721E-2</v>
      </c>
      <c r="Y57">
        <f t="shared" si="6"/>
        <v>8.2568135173841473</v>
      </c>
      <c r="Z57">
        <f t="shared" si="14"/>
        <v>-0.90351283714894537</v>
      </c>
      <c r="AA57">
        <f t="shared" si="15"/>
        <v>0.57464154848458904</v>
      </c>
      <c r="AB57">
        <f t="shared" si="26"/>
        <v>0.12683739893717405</v>
      </c>
      <c r="AD57">
        <v>73.918689999999998</v>
      </c>
      <c r="AE57">
        <v>0.1456816472017565</v>
      </c>
      <c r="AF57">
        <f t="shared" si="7"/>
        <v>10.768596518196006</v>
      </c>
      <c r="AG57">
        <f t="shared" si="16"/>
        <v>-1.0390547884116752</v>
      </c>
      <c r="AH57">
        <f t="shared" si="17"/>
        <v>0.43909959722185921</v>
      </c>
      <c r="AI57">
        <f t="shared" si="27"/>
        <v>0.43909959722185921</v>
      </c>
      <c r="AK57">
        <v>66.153580000000005</v>
      </c>
      <c r="AL57">
        <v>7.6188027479916362E-2</v>
      </c>
      <c r="AM57">
        <f t="shared" si="8"/>
        <v>5.0401107709348461</v>
      </c>
      <c r="AN57">
        <f t="shared" si="18"/>
        <v>-2.5819897910272172</v>
      </c>
      <c r="AO57">
        <f t="shared" si="19"/>
        <v>1.1038354053936827</v>
      </c>
      <c r="AP57">
        <f t="shared" si="28"/>
        <v>1.2670915229130997</v>
      </c>
      <c r="AR57">
        <v>60.389809999999997</v>
      </c>
      <c r="AS57">
        <v>0.47082161560042263</v>
      </c>
      <c r="AT57">
        <f t="shared" si="9"/>
        <v>28.432827910002558</v>
      </c>
      <c r="AU57">
        <f t="shared" si="20"/>
        <v>-1.5350247165964004</v>
      </c>
      <c r="AV57">
        <f t="shared" si="21"/>
        <v>5.6870330962865978E-2</v>
      </c>
      <c r="AW57">
        <f t="shared" si="29"/>
        <v>5.6870330962865978E-2</v>
      </c>
      <c r="AY57" s="4">
        <f t="shared" si="1"/>
        <v>65.417256616793679</v>
      </c>
      <c r="AZ57">
        <f t="shared" si="22"/>
        <v>-1.4781543856335344</v>
      </c>
    </row>
    <row r="58" spans="1:52" x14ac:dyDescent="0.35">
      <c r="A58" s="2">
        <v>38200</v>
      </c>
      <c r="B58">
        <v>57.788260000000001</v>
      </c>
      <c r="C58">
        <v>4.2360701366170504E-2</v>
      </c>
      <c r="D58">
        <f t="shared" si="30"/>
        <v>2.4479512243306165</v>
      </c>
      <c r="E58">
        <f t="shared" si="10"/>
        <v>-1.6702104344677449</v>
      </c>
      <c r="F58">
        <f t="shared" si="2"/>
        <v>0.17377983110261619</v>
      </c>
      <c r="G58">
        <f t="shared" si="23"/>
        <v>1.24364899376328</v>
      </c>
      <c r="I58">
        <v>65.605260000000001</v>
      </c>
      <c r="J58">
        <v>7.8533534366918803E-2</v>
      </c>
      <c r="K58">
        <f t="shared" si="3"/>
        <v>5.1522129408606432</v>
      </c>
      <c r="L58">
        <f t="shared" si="11"/>
        <v>-1.7304097078975955</v>
      </c>
      <c r="M58">
        <f t="shared" si="4"/>
        <v>0.11358055767276554</v>
      </c>
      <c r="N58">
        <f t="shared" si="24"/>
        <v>1.7334051869677403E-2</v>
      </c>
      <c r="P58">
        <v>45.929400000000001</v>
      </c>
      <c r="Q58">
        <v>0.10918678776822349</v>
      </c>
      <c r="R58">
        <f t="shared" si="5"/>
        <v>5.0148836501218446</v>
      </c>
      <c r="S58">
        <f t="shared" si="12"/>
        <v>-3.3077680476103377</v>
      </c>
      <c r="T58">
        <f t="shared" si="13"/>
        <v>1.4637777820399767</v>
      </c>
      <c r="U58">
        <f t="shared" si="25"/>
        <v>0.51442143381046357</v>
      </c>
      <c r="W58">
        <v>104.1712</v>
      </c>
      <c r="X58">
        <v>7.7227686216591721E-2</v>
      </c>
      <c r="Y58">
        <f t="shared" si="6"/>
        <v>8.0449007464058191</v>
      </c>
      <c r="Z58">
        <f t="shared" si="14"/>
        <v>-2.5665200083804685</v>
      </c>
      <c r="AA58">
        <f t="shared" si="15"/>
        <v>0.7225297428101074</v>
      </c>
      <c r="AB58">
        <f t="shared" si="26"/>
        <v>0.28343014558824819</v>
      </c>
      <c r="AD58">
        <v>71.861059999999995</v>
      </c>
      <c r="AE58">
        <v>0.1456816472017565</v>
      </c>
      <c r="AF58">
        <f t="shared" si="7"/>
        <v>10.468837590464256</v>
      </c>
      <c r="AG58">
        <f t="shared" si="16"/>
        <v>-2.7836396992425128</v>
      </c>
      <c r="AH58">
        <f t="shared" si="17"/>
        <v>0.9396494336721517</v>
      </c>
      <c r="AI58">
        <f t="shared" si="27"/>
        <v>0.9396494336721517</v>
      </c>
      <c r="AK58">
        <v>66.530079999999998</v>
      </c>
      <c r="AL58">
        <v>7.6188027479916362E-2</v>
      </c>
      <c r="AM58">
        <f t="shared" si="8"/>
        <v>5.068795563281034</v>
      </c>
      <c r="AN58">
        <f t="shared" si="18"/>
        <v>0.56913019673310306</v>
      </c>
      <c r="AO58">
        <f t="shared" si="19"/>
        <v>2.4131204623034641</v>
      </c>
      <c r="AP58">
        <f t="shared" si="28"/>
        <v>3.8912748479369985</v>
      </c>
      <c r="AR58">
        <v>59.498939999999997</v>
      </c>
      <c r="AS58">
        <v>0.47082161560042263</v>
      </c>
      <c r="AT58">
        <f t="shared" si="9"/>
        <v>28.01338705731261</v>
      </c>
      <c r="AU58">
        <f t="shared" si="20"/>
        <v>-1.4751992099329314</v>
      </c>
      <c r="AV58">
        <f t="shared" si="21"/>
        <v>0.36879105563742964</v>
      </c>
      <c r="AW58">
        <f t="shared" si="29"/>
        <v>0.36879105563742964</v>
      </c>
      <c r="AY58" s="4">
        <f t="shared" si="1"/>
        <v>64.210968772776823</v>
      </c>
      <c r="AZ58">
        <f t="shared" si="22"/>
        <v>-1.8439902655703611</v>
      </c>
    </row>
    <row r="59" spans="1:52" x14ac:dyDescent="0.35">
      <c r="A59" s="2">
        <v>38231</v>
      </c>
      <c r="B59">
        <v>59.226979999999998</v>
      </c>
      <c r="C59">
        <v>4.2360701366170504E-2</v>
      </c>
      <c r="D59">
        <f t="shared" si="30"/>
        <v>2.5088964126001532</v>
      </c>
      <c r="E59">
        <f t="shared" si="10"/>
        <v>2.4896406294288687</v>
      </c>
      <c r="F59">
        <f t="shared" si="2"/>
        <v>0.34500199891558392</v>
      </c>
      <c r="G59">
        <f t="shared" si="23"/>
        <v>0.17122216781296773</v>
      </c>
      <c r="I59">
        <v>67.485659999999996</v>
      </c>
      <c r="J59">
        <v>7.8533534366918803E-2</v>
      </c>
      <c r="K59">
        <f t="shared" si="3"/>
        <v>5.2998873988841977</v>
      </c>
      <c r="L59">
        <f t="shared" si="11"/>
        <v>2.8662335916357806</v>
      </c>
      <c r="M59">
        <f t="shared" si="4"/>
        <v>3.1590963291328045E-2</v>
      </c>
      <c r="N59">
        <f t="shared" si="24"/>
        <v>8.1989594381437492E-2</v>
      </c>
      <c r="P59">
        <v>47.649050000000003</v>
      </c>
      <c r="Q59">
        <v>0.10918678776822349</v>
      </c>
      <c r="R59">
        <f t="shared" si="5"/>
        <v>5.2026467097074702</v>
      </c>
      <c r="S59">
        <f t="shared" si="12"/>
        <v>3.7441159692920056</v>
      </c>
      <c r="T59">
        <f t="shared" si="13"/>
        <v>0.90947334094755306</v>
      </c>
      <c r="U59">
        <f t="shared" si="25"/>
        <v>0.55430444109242361</v>
      </c>
      <c r="W59">
        <v>107.89870000000001</v>
      </c>
      <c r="X59">
        <v>7.7227686216591721E-2</v>
      </c>
      <c r="Y59">
        <f t="shared" si="6"/>
        <v>8.3327669467781647</v>
      </c>
      <c r="Z59">
        <f t="shared" si="14"/>
        <v>3.5782442748091725</v>
      </c>
      <c r="AA59">
        <f t="shared" si="15"/>
        <v>0.74360164646471993</v>
      </c>
      <c r="AB59">
        <f t="shared" si="26"/>
        <v>0.19604778720743177</v>
      </c>
      <c r="AD59">
        <v>72.316159999999996</v>
      </c>
      <c r="AE59">
        <v>0.1456816472017565</v>
      </c>
      <c r="AF59">
        <f t="shared" si="7"/>
        <v>10.535137308105774</v>
      </c>
      <c r="AG59">
        <f t="shared" si="16"/>
        <v>0.63330543690838237</v>
      </c>
      <c r="AH59">
        <f t="shared" si="17"/>
        <v>2.2013371914360702</v>
      </c>
      <c r="AI59">
        <f t="shared" si="27"/>
        <v>2.2013371914360702</v>
      </c>
      <c r="AK59">
        <v>69.156710000000004</v>
      </c>
      <c r="AL59">
        <v>7.6188027479916362E-2</v>
      </c>
      <c r="AM59">
        <f t="shared" si="8"/>
        <v>5.268913321900607</v>
      </c>
      <c r="AN59">
        <f t="shared" si="18"/>
        <v>3.9480337315091152</v>
      </c>
      <c r="AO59">
        <f t="shared" si="19"/>
        <v>1.1133911031646626</v>
      </c>
      <c r="AP59">
        <f t="shared" si="28"/>
        <v>2.9573813687350237</v>
      </c>
      <c r="AR59">
        <v>61.345680000000002</v>
      </c>
      <c r="AS59">
        <v>0.47082161560042263</v>
      </c>
      <c r="AT59">
        <f t="shared" si="9"/>
        <v>28.882872167706534</v>
      </c>
      <c r="AU59">
        <f t="shared" si="20"/>
        <v>3.1038200008269179</v>
      </c>
      <c r="AV59">
        <f t="shared" si="21"/>
        <v>0.26917737248246532</v>
      </c>
      <c r="AW59">
        <f t="shared" si="29"/>
        <v>0.26917737248246532</v>
      </c>
      <c r="AY59" s="4">
        <f t="shared" si="1"/>
        <v>66.031120265682901</v>
      </c>
      <c r="AZ59">
        <f t="shared" si="22"/>
        <v>2.8346426283444526</v>
      </c>
    </row>
    <row r="60" spans="1:52" x14ac:dyDescent="0.35">
      <c r="A60" s="2">
        <v>38261</v>
      </c>
      <c r="B60">
        <v>61.327399999999997</v>
      </c>
      <c r="C60">
        <v>4.2360701366170504E-2</v>
      </c>
      <c r="D60">
        <f t="shared" si="30"/>
        <v>2.5978716769636847</v>
      </c>
      <c r="E60">
        <f t="shared" si="10"/>
        <v>3.5463905132424367</v>
      </c>
      <c r="F60">
        <f t="shared" si="2"/>
        <v>2.5212095674461921</v>
      </c>
      <c r="G60">
        <f t="shared" si="23"/>
        <v>2.1762075685306081</v>
      </c>
      <c r="I60">
        <v>68.060320000000004</v>
      </c>
      <c r="J60">
        <v>7.8533534366918803E-2</v>
      </c>
      <c r="K60">
        <f t="shared" si="3"/>
        <v>5.3450174797434915</v>
      </c>
      <c r="L60">
        <f t="shared" si="11"/>
        <v>0.85152905076428809</v>
      </c>
      <c r="M60">
        <f t="shared" si="4"/>
        <v>0.17365189503195655</v>
      </c>
      <c r="N60">
        <f t="shared" si="24"/>
        <v>0.1420609317406285</v>
      </c>
      <c r="P60">
        <v>48.327660000000002</v>
      </c>
      <c r="Q60">
        <v>0.10918678776822349</v>
      </c>
      <c r="R60">
        <f t="shared" si="5"/>
        <v>5.276741955754864</v>
      </c>
      <c r="S60">
        <f t="shared" si="12"/>
        <v>1.4241836930641849</v>
      </c>
      <c r="T60">
        <f t="shared" si="13"/>
        <v>0.39900274726794027</v>
      </c>
      <c r="U60">
        <f t="shared" si="25"/>
        <v>0.51047059367961278</v>
      </c>
      <c r="W60">
        <v>110.7677</v>
      </c>
      <c r="X60">
        <v>7.7227686216591721E-2</v>
      </c>
      <c r="Y60">
        <f t="shared" si="6"/>
        <v>8.5543331785335663</v>
      </c>
      <c r="Z60">
        <f t="shared" si="14"/>
        <v>2.6589755020218098</v>
      </c>
      <c r="AA60">
        <f t="shared" si="15"/>
        <v>1.6337945562255651</v>
      </c>
      <c r="AB60">
        <f t="shared" si="26"/>
        <v>0.56754263521050508</v>
      </c>
      <c r="AD60">
        <v>71.552279999999996</v>
      </c>
      <c r="AE60">
        <v>0.1456816472017565</v>
      </c>
      <c r="AF60">
        <f t="shared" si="7"/>
        <v>10.423854011441296</v>
      </c>
      <c r="AG60">
        <f t="shared" si="16"/>
        <v>-1.056306087048875</v>
      </c>
      <c r="AH60">
        <f t="shared" si="17"/>
        <v>2.0814870328451196</v>
      </c>
      <c r="AI60">
        <f t="shared" si="27"/>
        <v>2.0814870328451196</v>
      </c>
      <c r="AK60">
        <v>70.436959999999999</v>
      </c>
      <c r="AL60">
        <v>7.6188027479916362E-2</v>
      </c>
      <c r="AM60">
        <f t="shared" si="8"/>
        <v>5.3664530440817693</v>
      </c>
      <c r="AN60">
        <f t="shared" si="18"/>
        <v>1.8512303433751987</v>
      </c>
      <c r="AO60">
        <f t="shared" si="19"/>
        <v>0.82604939757895401</v>
      </c>
      <c r="AP60">
        <f t="shared" si="28"/>
        <v>2.0085932307654986</v>
      </c>
      <c r="AR60">
        <v>61.899850000000001</v>
      </c>
      <c r="AS60">
        <v>0.47082161560042263</v>
      </c>
      <c r="AT60">
        <f t="shared" si="9"/>
        <v>29.14378738242382</v>
      </c>
      <c r="AU60">
        <f t="shared" si="20"/>
        <v>0.90335619394878997</v>
      </c>
      <c r="AV60">
        <f t="shared" si="21"/>
        <v>0.12182475184745467</v>
      </c>
      <c r="AW60">
        <f t="shared" si="29"/>
        <v>0.12182475184745467</v>
      </c>
      <c r="AY60" s="4">
        <f t="shared" si="1"/>
        <v>66.70805872894249</v>
      </c>
      <c r="AZ60">
        <f t="shared" si="22"/>
        <v>1.0251809457962446</v>
      </c>
    </row>
    <row r="61" spans="1:52" x14ac:dyDescent="0.35">
      <c r="A61" s="2">
        <v>38292</v>
      </c>
      <c r="B61">
        <v>62.303260000000002</v>
      </c>
      <c r="C61">
        <v>4.2360701366170504E-2</v>
      </c>
      <c r="D61">
        <f t="shared" si="30"/>
        <v>2.6392097909988763</v>
      </c>
      <c r="E61">
        <f t="shared" si="10"/>
        <v>1.591230021165102</v>
      </c>
      <c r="F61">
        <f t="shared" si="2"/>
        <v>1.6099339141429692</v>
      </c>
      <c r="G61">
        <f t="shared" si="23"/>
        <v>0.91127565330322291</v>
      </c>
      <c r="I61">
        <v>69.657160000000005</v>
      </c>
      <c r="J61">
        <v>7.8533534366918803E-2</v>
      </c>
      <c r="K61">
        <f t="shared" si="3"/>
        <v>5.4704229687619623</v>
      </c>
      <c r="L61">
        <f t="shared" si="11"/>
        <v>2.3462128888021683</v>
      </c>
      <c r="M61">
        <f t="shared" si="4"/>
        <v>0.85495104650590292</v>
      </c>
      <c r="N61">
        <f t="shared" si="24"/>
        <v>0.68129915147394637</v>
      </c>
      <c r="P61">
        <v>49.974049999999998</v>
      </c>
      <c r="Q61">
        <v>0.10918678776822349</v>
      </c>
      <c r="R61">
        <f t="shared" si="5"/>
        <v>5.4565059912685889</v>
      </c>
      <c r="S61">
        <f t="shared" si="12"/>
        <v>3.4067240168466517</v>
      </c>
      <c r="T61">
        <f t="shared" si="13"/>
        <v>0.20556008153858052</v>
      </c>
      <c r="U61">
        <f t="shared" si="25"/>
        <v>0.19344266572935975</v>
      </c>
      <c r="W61">
        <v>114.81740000000001</v>
      </c>
      <c r="X61">
        <v>7.7227686216591721E-2</v>
      </c>
      <c r="Y61">
        <f t="shared" si="6"/>
        <v>8.8670821394048982</v>
      </c>
      <c r="Z61">
        <f t="shared" si="14"/>
        <v>3.6560296909658785</v>
      </c>
      <c r="AA61">
        <f t="shared" si="15"/>
        <v>0.45486575565780729</v>
      </c>
      <c r="AB61">
        <f t="shared" si="26"/>
        <v>1.6266212771873123</v>
      </c>
      <c r="AD61">
        <v>70.967609999999993</v>
      </c>
      <c r="AE61">
        <v>0.1456816472017565</v>
      </c>
      <c r="AF61">
        <f t="shared" si="7"/>
        <v>10.338678322771845</v>
      </c>
      <c r="AG61">
        <f t="shared" si="16"/>
        <v>-0.81712280866521603</v>
      </c>
      <c r="AH61">
        <f t="shared" si="17"/>
        <v>4.0182867439732872</v>
      </c>
      <c r="AI61">
        <f t="shared" si="27"/>
        <v>4.0182867439732872</v>
      </c>
      <c r="AK61">
        <v>71.937839999999994</v>
      </c>
      <c r="AL61">
        <v>7.6188027479916362E-2</v>
      </c>
      <c r="AM61">
        <f t="shared" si="8"/>
        <v>5.4808021307658263</v>
      </c>
      <c r="AN61">
        <f t="shared" si="18"/>
        <v>2.1308131412826281</v>
      </c>
      <c r="AO61">
        <f t="shared" si="19"/>
        <v>1.0703507940254431</v>
      </c>
      <c r="AP61">
        <f t="shared" si="28"/>
        <v>4.516984822919845E-2</v>
      </c>
      <c r="AR61">
        <v>64.973209999999995</v>
      </c>
      <c r="AS61">
        <v>0.47082161560042263</v>
      </c>
      <c r="AT61">
        <f t="shared" si="9"/>
        <v>30.590791702945534</v>
      </c>
      <c r="AU61">
        <f t="shared" si="20"/>
        <v>4.9650524193515677</v>
      </c>
      <c r="AV61">
        <f t="shared" si="21"/>
        <v>1.7638884840434965</v>
      </c>
      <c r="AW61">
        <f t="shared" si="29"/>
        <v>1.7638884840434965</v>
      </c>
      <c r="AY61" s="4">
        <f t="shared" si="1"/>
        <v>68.84349304691753</v>
      </c>
      <c r="AZ61">
        <f t="shared" si="22"/>
        <v>3.2011639353080712</v>
      </c>
    </row>
    <row r="62" spans="1:52" x14ac:dyDescent="0.35">
      <c r="A62" s="2">
        <v>38322</v>
      </c>
      <c r="B62">
        <v>63.723779999999998</v>
      </c>
      <c r="C62">
        <v>4.2360701366170504E-2</v>
      </c>
      <c r="D62">
        <f t="shared" si="30"/>
        <v>2.6993840145035484</v>
      </c>
      <c r="E62">
        <f t="shared" si="10"/>
        <v>2.2800091038574832</v>
      </c>
      <c r="F62">
        <f t="shared" si="2"/>
        <v>8.1844936150154979E-3</v>
      </c>
      <c r="G62">
        <f t="shared" si="23"/>
        <v>1.6017494205279537</v>
      </c>
      <c r="I62">
        <v>70.152249999999995</v>
      </c>
      <c r="J62">
        <v>7.8533534366918803E-2</v>
      </c>
      <c r="K62">
        <f t="shared" si="3"/>
        <v>5.5093041362916795</v>
      </c>
      <c r="L62">
        <f t="shared" si="11"/>
        <v>0.71075249120118311</v>
      </c>
      <c r="M62">
        <f t="shared" si="4"/>
        <v>1.5774411062713156</v>
      </c>
      <c r="N62">
        <f t="shared" si="24"/>
        <v>0.7224900597654127</v>
      </c>
      <c r="P62">
        <v>51.294640000000001</v>
      </c>
      <c r="Q62">
        <v>0.10918678776822349</v>
      </c>
      <c r="R62">
        <f t="shared" si="5"/>
        <v>5.6006969713274275</v>
      </c>
      <c r="S62">
        <f t="shared" si="12"/>
        <v>2.6425514842203235</v>
      </c>
      <c r="T62">
        <f t="shared" si="13"/>
        <v>0.35435788674782476</v>
      </c>
      <c r="U62">
        <f t="shared" si="25"/>
        <v>0.14879780520924424</v>
      </c>
      <c r="W62">
        <v>119.10429999999999</v>
      </c>
      <c r="X62">
        <v>7.7227686216591721E-2</v>
      </c>
      <c r="Y62">
        <f t="shared" si="6"/>
        <v>9.1981495074468054</v>
      </c>
      <c r="Z62">
        <f t="shared" si="14"/>
        <v>3.7336675451629997</v>
      </c>
      <c r="AA62">
        <f t="shared" si="15"/>
        <v>1.445473947690501</v>
      </c>
      <c r="AB62">
        <f t="shared" si="26"/>
        <v>2.5728127962827863</v>
      </c>
      <c r="AD62">
        <v>71.721819999999994</v>
      </c>
      <c r="AE62">
        <v>0.1456816472017565</v>
      </c>
      <c r="AF62">
        <f t="shared" si="7"/>
        <v>10.448552877907883</v>
      </c>
      <c r="AG62">
        <f t="shared" si="16"/>
        <v>1.06275243029883</v>
      </c>
      <c r="AH62">
        <f t="shared" si="17"/>
        <v>1.2254411671736687</v>
      </c>
      <c r="AI62">
        <f t="shared" si="27"/>
        <v>1.2254411671736687</v>
      </c>
      <c r="AK62">
        <v>72.039590000000004</v>
      </c>
      <c r="AL62">
        <v>7.6188027479916362E-2</v>
      </c>
      <c r="AM62">
        <f t="shared" si="8"/>
        <v>5.4885542625619079</v>
      </c>
      <c r="AN62">
        <f t="shared" si="18"/>
        <v>0.14144155565416483</v>
      </c>
      <c r="AO62">
        <f t="shared" si="19"/>
        <v>2.1467520418183339</v>
      </c>
      <c r="AP62">
        <f t="shared" si="28"/>
        <v>1.0544118934897373</v>
      </c>
      <c r="AR62">
        <v>66.849360000000004</v>
      </c>
      <c r="AS62">
        <v>0.47082161560042263</v>
      </c>
      <c r="AT62">
        <f t="shared" si="9"/>
        <v>31.474123677054269</v>
      </c>
      <c r="AU62">
        <f t="shared" si="20"/>
        <v>2.8875747404199403</v>
      </c>
      <c r="AV62">
        <f t="shared" si="21"/>
        <v>0.5993811429474416</v>
      </c>
      <c r="AW62">
        <f t="shared" si="29"/>
        <v>0.5993811429474416</v>
      </c>
      <c r="AY62" s="4">
        <f t="shared" si="1"/>
        <v>70.41876544709352</v>
      </c>
      <c r="AZ62">
        <f t="shared" si="22"/>
        <v>2.2881935974724987</v>
      </c>
    </row>
    <row r="63" spans="1:52" x14ac:dyDescent="0.35">
      <c r="A63" s="2">
        <v>38353</v>
      </c>
      <c r="B63">
        <v>63.429130000000001</v>
      </c>
      <c r="C63">
        <v>4.2645532980783794E-2</v>
      </c>
      <c r="D63">
        <f t="shared" si="30"/>
        <v>2.7049690553574228</v>
      </c>
      <c r="E63">
        <f t="shared" si="10"/>
        <v>-0.46238625517820431</v>
      </c>
      <c r="F63">
        <f t="shared" si="2"/>
        <v>1.0572631947290079</v>
      </c>
      <c r="G63">
        <f t="shared" si="23"/>
        <v>1.0490787011139924</v>
      </c>
      <c r="I63">
        <v>71.678399999999996</v>
      </c>
      <c r="J63">
        <v>7.7876373373934632E-2</v>
      </c>
      <c r="K63">
        <f t="shared" si="3"/>
        <v>5.5820538412462355</v>
      </c>
      <c r="L63">
        <f t="shared" si="11"/>
        <v>2.1754826110352843</v>
      </c>
      <c r="M63">
        <f t="shared" si="4"/>
        <v>1.5806056714844807</v>
      </c>
      <c r="N63">
        <f t="shared" si="24"/>
        <v>3.1645652131651048E-3</v>
      </c>
      <c r="P63">
        <v>51.826729999999998</v>
      </c>
      <c r="Q63">
        <v>0.1072810457378425</v>
      </c>
      <c r="R63">
        <f t="shared" si="5"/>
        <v>5.560025791572814</v>
      </c>
      <c r="S63">
        <f t="shared" si="12"/>
        <v>1.0373208584756544</v>
      </c>
      <c r="T63">
        <f t="shared" si="13"/>
        <v>0.4424439189248508</v>
      </c>
      <c r="U63">
        <f t="shared" si="25"/>
        <v>8.8086032177026041E-2</v>
      </c>
      <c r="W63">
        <v>122.7159</v>
      </c>
      <c r="X63">
        <v>7.5944646521990414E-2</v>
      </c>
      <c r="Y63">
        <f t="shared" si="6"/>
        <v>9.3196156481279235</v>
      </c>
      <c r="Z63">
        <f t="shared" si="14"/>
        <v>3.0323002611996497</v>
      </c>
      <c r="AA63">
        <f t="shared" si="15"/>
        <v>2.4374233216488461</v>
      </c>
      <c r="AB63">
        <f t="shared" si="26"/>
        <v>1.2119821544751774</v>
      </c>
      <c r="AD63">
        <v>73.772360000000006</v>
      </c>
      <c r="AE63">
        <v>0.14466250370557376</v>
      </c>
      <c r="AF63">
        <f t="shared" si="7"/>
        <v>10.672094301868922</v>
      </c>
      <c r="AG63">
        <f t="shared" si="16"/>
        <v>2.8590183573144357</v>
      </c>
      <c r="AH63">
        <f t="shared" si="17"/>
        <v>2.2641414177636321</v>
      </c>
      <c r="AI63">
        <f t="shared" si="27"/>
        <v>2.2641414177636321</v>
      </c>
      <c r="AK63">
        <v>73.177599999999998</v>
      </c>
      <c r="AL63">
        <v>7.6349836673602081E-2</v>
      </c>
      <c r="AM63">
        <f t="shared" si="8"/>
        <v>5.5870978081661837</v>
      </c>
      <c r="AN63">
        <f t="shared" si="18"/>
        <v>1.5797008283917169</v>
      </c>
      <c r="AO63">
        <f t="shared" si="19"/>
        <v>0.98482388884091332</v>
      </c>
      <c r="AP63">
        <f t="shared" si="28"/>
        <v>1.3033697086315854</v>
      </c>
      <c r="AR63">
        <v>66.096729999999994</v>
      </c>
      <c r="AS63">
        <v>0.47524006100627281</v>
      </c>
      <c r="AT63">
        <f t="shared" si="9"/>
        <v>31.411813997515139</v>
      </c>
      <c r="AU63">
        <f t="shared" si="20"/>
        <v>-1.1258596940943222</v>
      </c>
      <c r="AV63">
        <f t="shared" si="21"/>
        <v>1.7207366336451257</v>
      </c>
      <c r="AW63">
        <f t="shared" si="29"/>
        <v>1.7207366336451257</v>
      </c>
      <c r="AY63" s="4">
        <f t="shared" si="1"/>
        <v>70.837670443854648</v>
      </c>
      <c r="AZ63">
        <f t="shared" si="22"/>
        <v>0.59487693955080356</v>
      </c>
    </row>
    <row r="64" spans="1:52" x14ac:dyDescent="0.35">
      <c r="A64" s="2">
        <v>38384</v>
      </c>
      <c r="B64">
        <v>66.460560000000001</v>
      </c>
      <c r="C64">
        <v>4.2645532980783794E-2</v>
      </c>
      <c r="D64">
        <f t="shared" si="30"/>
        <v>2.8342460034013603</v>
      </c>
      <c r="E64">
        <f t="shared" si="10"/>
        <v>4.7792394440850705</v>
      </c>
      <c r="F64">
        <f t="shared" si="2"/>
        <v>2.0873993314690642</v>
      </c>
      <c r="G64">
        <f t="shared" si="23"/>
        <v>1.0301361367400563</v>
      </c>
      <c r="I64">
        <v>74.368380000000002</v>
      </c>
      <c r="J64">
        <v>7.7876373373934632E-2</v>
      </c>
      <c r="K64">
        <f t="shared" si="3"/>
        <v>5.7915397280946532</v>
      </c>
      <c r="L64">
        <f t="shared" si="11"/>
        <v>3.7528460456706769</v>
      </c>
      <c r="M64">
        <f t="shared" si="4"/>
        <v>1.0610059330546706</v>
      </c>
      <c r="N64">
        <f t="shared" si="24"/>
        <v>0.51959973842981011</v>
      </c>
      <c r="P64">
        <v>53.037430000000001</v>
      </c>
      <c r="Q64">
        <v>0.1072810457378425</v>
      </c>
      <c r="R64">
        <f t="shared" si="5"/>
        <v>5.6899109536476198</v>
      </c>
      <c r="S64">
        <f t="shared" si="12"/>
        <v>2.3360532296751169</v>
      </c>
      <c r="T64">
        <f t="shared" si="13"/>
        <v>0.35578688294088945</v>
      </c>
      <c r="U64">
        <f t="shared" si="25"/>
        <v>8.665703598396135E-2</v>
      </c>
      <c r="W64">
        <v>126.1795</v>
      </c>
      <c r="X64">
        <v>7.5944646521990414E-2</v>
      </c>
      <c r="Y64">
        <f t="shared" si="6"/>
        <v>9.5826575258214906</v>
      </c>
      <c r="Z64">
        <f t="shared" si="14"/>
        <v>2.8224541400095671</v>
      </c>
      <c r="AA64">
        <f t="shared" si="15"/>
        <v>0.13061402739356076</v>
      </c>
      <c r="AB64">
        <f t="shared" si="26"/>
        <v>2.1335273903700713</v>
      </c>
      <c r="AD64">
        <v>74.760570000000001</v>
      </c>
      <c r="AE64">
        <v>0.14466250370557376</v>
      </c>
      <c r="AF64">
        <f t="shared" si="7"/>
        <v>10.815051234655806</v>
      </c>
      <c r="AG64">
        <f t="shared" si="16"/>
        <v>1.3395396324585418</v>
      </c>
      <c r="AH64">
        <f t="shared" si="17"/>
        <v>1.3523004801574645</v>
      </c>
      <c r="AI64">
        <f t="shared" si="27"/>
        <v>1.3523004801574645</v>
      </c>
      <c r="AK64">
        <v>75.802250000000001</v>
      </c>
      <c r="AL64">
        <v>7.6349836673602081E-2</v>
      </c>
      <c r="AM64">
        <f t="shared" si="8"/>
        <v>5.7874894069915532</v>
      </c>
      <c r="AN64">
        <f t="shared" si="18"/>
        <v>3.5866849965016545</v>
      </c>
      <c r="AO64">
        <f t="shared" si="19"/>
        <v>0.8948448838856482</v>
      </c>
      <c r="AP64">
        <f t="shared" si="28"/>
        <v>0.29996794433484464</v>
      </c>
      <c r="AR64">
        <v>67.846999999999994</v>
      </c>
      <c r="AS64">
        <v>0.47524006100627281</v>
      </c>
      <c r="AT64">
        <f t="shared" si="9"/>
        <v>32.243612419092585</v>
      </c>
      <c r="AU64">
        <f t="shared" si="20"/>
        <v>2.6480432541821752</v>
      </c>
      <c r="AV64">
        <f t="shared" si="21"/>
        <v>4.3796858433831076E-2</v>
      </c>
      <c r="AW64">
        <f t="shared" si="29"/>
        <v>4.3796858433831076E-2</v>
      </c>
      <c r="AY64" s="4">
        <f t="shared" si="1"/>
        <v>72.744507271705061</v>
      </c>
      <c r="AZ64">
        <f t="shared" si="22"/>
        <v>2.6918401126160063</v>
      </c>
    </row>
    <row r="65" spans="1:52" x14ac:dyDescent="0.35">
      <c r="A65" s="2">
        <v>38412</v>
      </c>
      <c r="B65">
        <v>67.576740000000001</v>
      </c>
      <c r="C65">
        <v>4.2645532980783794E-2</v>
      </c>
      <c r="D65">
        <f t="shared" si="30"/>
        <v>2.8818460944038513</v>
      </c>
      <c r="E65">
        <f t="shared" si="10"/>
        <v>1.6794622254161062</v>
      </c>
      <c r="F65">
        <f t="shared" si="2"/>
        <v>1.0020670325332492</v>
      </c>
      <c r="G65">
        <f t="shared" si="23"/>
        <v>1.085332298935815</v>
      </c>
      <c r="I65">
        <v>75.58381</v>
      </c>
      <c r="J65">
        <v>7.7876373373934632E-2</v>
      </c>
      <c r="K65">
        <f t="shared" si="3"/>
        <v>5.8861930085845344</v>
      </c>
      <c r="L65">
        <f t="shared" si="11"/>
        <v>1.6343370663714829</v>
      </c>
      <c r="M65">
        <f t="shared" si="4"/>
        <v>0.95694187348862592</v>
      </c>
      <c r="N65">
        <f t="shared" si="24"/>
        <v>0.1040640595660447</v>
      </c>
      <c r="P65">
        <v>53.241779999999999</v>
      </c>
      <c r="Q65">
        <v>0.1072810457378425</v>
      </c>
      <c r="R65">
        <f t="shared" si="5"/>
        <v>5.711833835344148</v>
      </c>
      <c r="S65">
        <f t="shared" si="12"/>
        <v>0.38529393298278869</v>
      </c>
      <c r="T65">
        <f t="shared" si="13"/>
        <v>0.2921012599000683</v>
      </c>
      <c r="U65">
        <f t="shared" si="25"/>
        <v>6.3685623040821149E-2</v>
      </c>
      <c r="W65">
        <v>125.664</v>
      </c>
      <c r="X65">
        <v>7.5944646521990414E-2</v>
      </c>
      <c r="Y65">
        <f t="shared" si="6"/>
        <v>9.5435080605394038</v>
      </c>
      <c r="Z65">
        <f t="shared" si="14"/>
        <v>-0.40854496966623577</v>
      </c>
      <c r="AA65">
        <f t="shared" si="15"/>
        <v>1.0859401625490928</v>
      </c>
      <c r="AB65">
        <f t="shared" si="26"/>
        <v>0.26636031760837175</v>
      </c>
      <c r="AD65">
        <v>76.859449999999995</v>
      </c>
      <c r="AE65">
        <v>0.14466250370557376</v>
      </c>
      <c r="AF65">
        <f t="shared" si="7"/>
        <v>11.118680470433361</v>
      </c>
      <c r="AG65">
        <f t="shared" si="16"/>
        <v>2.8074692314411065</v>
      </c>
      <c r="AH65">
        <f t="shared" si="17"/>
        <v>2.1300740385582495</v>
      </c>
      <c r="AI65">
        <f t="shared" si="27"/>
        <v>2.1300740385582495</v>
      </c>
      <c r="AK65">
        <v>75.186920000000001</v>
      </c>
      <c r="AL65">
        <v>7.6349836673602081E-2</v>
      </c>
      <c r="AM65">
        <f t="shared" si="8"/>
        <v>5.7405090619911858</v>
      </c>
      <c r="AN65">
        <f t="shared" si="18"/>
        <v>-0.8117569069519659</v>
      </c>
      <c r="AO65">
        <f t="shared" si="19"/>
        <v>1.4891520998348229</v>
      </c>
      <c r="AP65">
        <f t="shared" si="28"/>
        <v>1.2026880127811834</v>
      </c>
      <c r="AR65">
        <v>68.080759999999998</v>
      </c>
      <c r="AS65">
        <v>0.47524006100627281</v>
      </c>
      <c r="AT65">
        <f t="shared" si="9"/>
        <v>32.354704535753413</v>
      </c>
      <c r="AU65">
        <f t="shared" si="20"/>
        <v>0.34453992070393458</v>
      </c>
      <c r="AV65">
        <f t="shared" si="21"/>
        <v>0.33285527217892241</v>
      </c>
      <c r="AW65">
        <f t="shared" si="29"/>
        <v>0.33285527217892241</v>
      </c>
      <c r="AY65" s="4">
        <f t="shared" si="1"/>
        <v>73.237275067049907</v>
      </c>
      <c r="AZ65">
        <f t="shared" si="22"/>
        <v>0.67739519288285699</v>
      </c>
    </row>
    <row r="66" spans="1:52" x14ac:dyDescent="0.35">
      <c r="A66" s="2">
        <v>38443</v>
      </c>
      <c r="B66">
        <v>66.07714</v>
      </c>
      <c r="C66">
        <v>4.2645532980783794E-2</v>
      </c>
      <c r="D66">
        <f t="shared" si="30"/>
        <v>2.8178948531458681</v>
      </c>
      <c r="E66">
        <f t="shared" si="10"/>
        <v>-2.2191067518202323</v>
      </c>
      <c r="F66">
        <f t="shared" si="2"/>
        <v>0.19569420898817302</v>
      </c>
      <c r="G66">
        <f t="shared" si="23"/>
        <v>0.80637282354507622</v>
      </c>
      <c r="I66">
        <v>74.974209999999999</v>
      </c>
      <c r="J66">
        <v>7.7876373373934632E-2</v>
      </c>
      <c r="K66">
        <f t="shared" si="3"/>
        <v>5.8387195713757833</v>
      </c>
      <c r="L66">
        <f t="shared" si="11"/>
        <v>-0.80652192579336868</v>
      </c>
      <c r="M66">
        <f t="shared" si="4"/>
        <v>1.2168906170386906</v>
      </c>
      <c r="N66">
        <f t="shared" si="24"/>
        <v>0.2599487435500647</v>
      </c>
      <c r="P66">
        <v>52.372309999999999</v>
      </c>
      <c r="Q66">
        <v>0.1072810457378425</v>
      </c>
      <c r="R66">
        <f t="shared" si="5"/>
        <v>5.618556184506466</v>
      </c>
      <c r="S66">
        <f t="shared" si="12"/>
        <v>-1.6330596009374587</v>
      </c>
      <c r="T66">
        <f t="shared" si="13"/>
        <v>0.39035294189460057</v>
      </c>
      <c r="U66">
        <f t="shared" si="25"/>
        <v>9.8251681994532269E-2</v>
      </c>
      <c r="W66">
        <v>125.47929999999999</v>
      </c>
      <c r="X66">
        <v>7.5944646521990414E-2</v>
      </c>
      <c r="Y66">
        <f t="shared" si="6"/>
        <v>9.5294810843267914</v>
      </c>
      <c r="Z66">
        <f t="shared" si="14"/>
        <v>-0.14697924624396119</v>
      </c>
      <c r="AA66">
        <f t="shared" si="15"/>
        <v>1.8764332965880981</v>
      </c>
      <c r="AB66">
        <f t="shared" si="26"/>
        <v>0.25364074197015141</v>
      </c>
      <c r="AD66">
        <v>74.574259999999995</v>
      </c>
      <c r="AE66">
        <v>0.14466250370557376</v>
      </c>
      <c r="AF66">
        <f t="shared" si="7"/>
        <v>10.78809916359042</v>
      </c>
      <c r="AG66">
        <f t="shared" si="16"/>
        <v>-2.9732062875807763</v>
      </c>
      <c r="AH66">
        <f t="shared" si="17"/>
        <v>0.94979374474871703</v>
      </c>
      <c r="AI66">
        <f t="shared" si="27"/>
        <v>0.94979374474871703</v>
      </c>
      <c r="AK66">
        <v>74.116380000000007</v>
      </c>
      <c r="AL66">
        <v>7.6349836673602081E-2</v>
      </c>
      <c r="AM66">
        <f t="shared" si="8"/>
        <v>5.6587735078386281</v>
      </c>
      <c r="AN66">
        <f t="shared" si="18"/>
        <v>-1.4238380824749708</v>
      </c>
      <c r="AO66">
        <f t="shared" si="19"/>
        <v>0.5995744603570885</v>
      </c>
      <c r="AP66">
        <f t="shared" si="28"/>
        <v>7.7820732525768488E-2</v>
      </c>
      <c r="AR66">
        <v>66.290409999999994</v>
      </c>
      <c r="AS66">
        <v>0.47524006100627281</v>
      </c>
      <c r="AT66">
        <f t="shared" si="9"/>
        <v>31.503858492530835</v>
      </c>
      <c r="AU66">
        <f t="shared" si="20"/>
        <v>-2.6297444388106217</v>
      </c>
      <c r="AV66">
        <f t="shared" si="21"/>
        <v>0.60633189597856241</v>
      </c>
      <c r="AW66">
        <f t="shared" si="29"/>
        <v>0.60633189597856241</v>
      </c>
      <c r="AY66" s="4">
        <f t="shared" si="1"/>
        <v>71.7553828573148</v>
      </c>
      <c r="AZ66">
        <f t="shared" si="22"/>
        <v>-2.0234125428320593</v>
      </c>
    </row>
    <row r="67" spans="1:52" x14ac:dyDescent="0.35">
      <c r="A67" s="2">
        <v>38473</v>
      </c>
      <c r="B67">
        <v>66.052250000000001</v>
      </c>
      <c r="C67">
        <v>4.2645532980783794E-2</v>
      </c>
      <c r="D67">
        <f t="shared" si="30"/>
        <v>2.8168334058299762</v>
      </c>
      <c r="E67">
        <f t="shared" si="10"/>
        <v>-3.7668095199039353E-2</v>
      </c>
      <c r="F67">
        <f t="shared" si="2"/>
        <v>0.27105836397488536</v>
      </c>
      <c r="G67">
        <f t="shared" si="23"/>
        <v>7.5364154986712339E-2</v>
      </c>
      <c r="I67">
        <v>75.27122</v>
      </c>
      <c r="J67">
        <v>7.7876373373934632E-2</v>
      </c>
      <c r="K67">
        <f t="shared" si="3"/>
        <v>5.8618496330315759</v>
      </c>
      <c r="L67">
        <f t="shared" si="11"/>
        <v>0.39614955596063428</v>
      </c>
      <c r="M67">
        <f t="shared" si="4"/>
        <v>0.704876015134559</v>
      </c>
      <c r="N67">
        <f t="shared" si="24"/>
        <v>0.51201460190413162</v>
      </c>
      <c r="P67">
        <v>52.042650000000002</v>
      </c>
      <c r="Q67">
        <v>0.1072810457378425</v>
      </c>
      <c r="R67">
        <f t="shared" si="5"/>
        <v>5.5831899149685293</v>
      </c>
      <c r="S67">
        <f t="shared" si="12"/>
        <v>-0.62945476340454665</v>
      </c>
      <c r="T67">
        <f t="shared" si="13"/>
        <v>0.32072830423062193</v>
      </c>
      <c r="U67">
        <f t="shared" si="25"/>
        <v>6.9624637663978639E-2</v>
      </c>
      <c r="W67">
        <v>123.7911</v>
      </c>
      <c r="X67">
        <v>7.5944646521990414E-2</v>
      </c>
      <c r="Y67">
        <f t="shared" si="6"/>
        <v>9.401271332068367</v>
      </c>
      <c r="Z67">
        <f t="shared" si="14"/>
        <v>-1.3454011936630095</v>
      </c>
      <c r="AA67">
        <f t="shared" si="15"/>
        <v>1.0366747344890848</v>
      </c>
      <c r="AB67">
        <f t="shared" si="26"/>
        <v>8.6880989740367731E-2</v>
      </c>
      <c r="AD67">
        <v>73.096789999999999</v>
      </c>
      <c r="AE67">
        <v>0.14466250370557376</v>
      </c>
      <c r="AF67">
        <f t="shared" si="7"/>
        <v>10.574364654240547</v>
      </c>
      <c r="AG67">
        <f t="shared" si="16"/>
        <v>-1.9812063840794369</v>
      </c>
      <c r="AH67">
        <f t="shared" si="17"/>
        <v>1.6724799249055122</v>
      </c>
      <c r="AI67">
        <f t="shared" si="27"/>
        <v>1.6724799249055122</v>
      </c>
      <c r="AK67">
        <v>74.691220000000001</v>
      </c>
      <c r="AL67">
        <v>7.6349836673602081E-2</v>
      </c>
      <c r="AM67">
        <f t="shared" si="8"/>
        <v>5.7026624479520818</v>
      </c>
      <c r="AN67">
        <f t="shared" si="18"/>
        <v>0.77559103669120333</v>
      </c>
      <c r="AO67">
        <f t="shared" si="19"/>
        <v>1.084317495865128</v>
      </c>
      <c r="AP67">
        <f t="shared" si="28"/>
        <v>3.1077300386971873</v>
      </c>
      <c r="AR67">
        <v>66.479420000000005</v>
      </c>
      <c r="AS67">
        <v>0.47524006100627281</v>
      </c>
      <c r="AT67">
        <f t="shared" si="9"/>
        <v>31.593683616461636</v>
      </c>
      <c r="AU67">
        <f t="shared" si="20"/>
        <v>0.28512419820605484</v>
      </c>
      <c r="AV67">
        <f t="shared" si="21"/>
        <v>0.59385065737997955</v>
      </c>
      <c r="AW67">
        <f t="shared" si="29"/>
        <v>0.59385065737997955</v>
      </c>
      <c r="AY67" s="4">
        <f t="shared" ref="AY67:AY130" si="31">AT67+AM67+AF67+Y67+R67+K67+D67</f>
        <v>71.53385500455272</v>
      </c>
      <c r="AZ67">
        <f t="shared" si="22"/>
        <v>-0.30872645917392472</v>
      </c>
    </row>
    <row r="68" spans="1:52" x14ac:dyDescent="0.35">
      <c r="A68" s="2">
        <v>38504</v>
      </c>
      <c r="B68">
        <v>68.764269999999996</v>
      </c>
      <c r="C68">
        <v>4.2645532980783794E-2</v>
      </c>
      <c r="D68">
        <f t="shared" si="30"/>
        <v>2.9324889441845214</v>
      </c>
      <c r="E68">
        <f t="shared" si="10"/>
        <v>4.1058707311257381</v>
      </c>
      <c r="F68">
        <f t="shared" ref="F68:F131" si="32">ABS(E68-$AZ68)</f>
        <v>1.4659382247282249</v>
      </c>
      <c r="G68">
        <f t="shared" si="23"/>
        <v>1.1948798607533395</v>
      </c>
      <c r="I68">
        <v>78.197460000000007</v>
      </c>
      <c r="J68">
        <v>7.7876373373934632E-2</v>
      </c>
      <c r="K68">
        <f t="shared" ref="K68:K131" si="33">I68*J68</f>
        <v>6.0897345918533192</v>
      </c>
      <c r="L68">
        <f t="shared" si="11"/>
        <v>3.8875947540109035</v>
      </c>
      <c r="M68">
        <f t="shared" ref="M68:M131" si="34">ABS(L68-$AZ68)</f>
        <v>1.2476622476133903</v>
      </c>
      <c r="N68">
        <f t="shared" si="24"/>
        <v>0.54278623247883129</v>
      </c>
      <c r="P68">
        <v>54.812989999999999</v>
      </c>
      <c r="Q68">
        <v>0.1072810457378425</v>
      </c>
      <c r="R68">
        <f t="shared" ref="R68:R131" si="35">P68*Q68</f>
        <v>5.8803948872179035</v>
      </c>
      <c r="S68">
        <f t="shared" si="12"/>
        <v>5.3232108664720057</v>
      </c>
      <c r="T68">
        <f t="shared" si="13"/>
        <v>2.6832783600744925</v>
      </c>
      <c r="U68">
        <f t="shared" si="25"/>
        <v>2.3625500558438706</v>
      </c>
      <c r="W68">
        <v>126.9499</v>
      </c>
      <c r="X68">
        <v>7.5944646521990414E-2</v>
      </c>
      <c r="Y68">
        <f t="shared" ref="Y68:Y131" si="36">W68*X68</f>
        <v>9.6411652815020314</v>
      </c>
      <c r="Z68">
        <f t="shared" si="14"/>
        <v>2.5517181768317743</v>
      </c>
      <c r="AA68">
        <f t="shared" si="15"/>
        <v>8.8214329565738936E-2</v>
      </c>
      <c r="AB68">
        <f t="shared" si="26"/>
        <v>1.5842655953397733</v>
      </c>
      <c r="AD68">
        <v>74.734129999999993</v>
      </c>
      <c r="AE68">
        <v>0.14466250370557376</v>
      </c>
      <c r="AF68">
        <f t="shared" ref="AF68:AF131" si="37">AD68*AE68</f>
        <v>10.81122635805783</v>
      </c>
      <c r="AG68">
        <f t="shared" si="16"/>
        <v>2.2399615632916259</v>
      </c>
      <c r="AH68">
        <f t="shared" si="17"/>
        <v>0.39997094310588732</v>
      </c>
      <c r="AI68">
        <f t="shared" si="27"/>
        <v>0.39997094310588732</v>
      </c>
      <c r="AK68">
        <v>76.579989999999995</v>
      </c>
      <c r="AL68">
        <v>7.6349836673602081E-2</v>
      </c>
      <c r="AM68">
        <f t="shared" ref="AM68:AM131" si="38">AK68*AL68</f>
        <v>5.8468697289660803</v>
      </c>
      <c r="AN68">
        <f t="shared" si="18"/>
        <v>2.5287711192828244</v>
      </c>
      <c r="AO68">
        <f t="shared" si="19"/>
        <v>0.11116138711468881</v>
      </c>
      <c r="AP68">
        <f t="shared" si="28"/>
        <v>0.41988784628861353</v>
      </c>
      <c r="AR68">
        <v>67.798199999999994</v>
      </c>
      <c r="AS68">
        <v>0.47524006100627281</v>
      </c>
      <c r="AT68">
        <f t="shared" ref="AT68:AT131" si="39">AR68*AS68</f>
        <v>32.220420704115483</v>
      </c>
      <c r="AU68">
        <f t="shared" si="20"/>
        <v>1.9837417354122477</v>
      </c>
      <c r="AV68">
        <f t="shared" si="21"/>
        <v>0.65619077098526546</v>
      </c>
      <c r="AW68">
        <f t="shared" si="29"/>
        <v>0.65619077098526546</v>
      </c>
      <c r="AY68" s="4">
        <f t="shared" si="31"/>
        <v>73.422300495897176</v>
      </c>
      <c r="AZ68">
        <f t="shared" si="22"/>
        <v>2.6399325063975132</v>
      </c>
    </row>
    <row r="69" spans="1:52" x14ac:dyDescent="0.35">
      <c r="A69" s="2">
        <v>38534</v>
      </c>
      <c r="B69">
        <v>71.350769999999997</v>
      </c>
      <c r="C69">
        <v>4.2645532980783794E-2</v>
      </c>
      <c r="D69">
        <f t="shared" si="30"/>
        <v>3.0427916152393188</v>
      </c>
      <c r="E69">
        <f t="shared" ref="E69:E132" si="40">((B69/B68)-1)*100</f>
        <v>3.7614010880941517</v>
      </c>
      <c r="F69">
        <f t="shared" si="32"/>
        <v>1.0596012670092358</v>
      </c>
      <c r="G69">
        <f t="shared" si="23"/>
        <v>0.40633695771898903</v>
      </c>
      <c r="I69">
        <v>81.405640000000005</v>
      </c>
      <c r="J69">
        <v>7.7876373373934632E-2</v>
      </c>
      <c r="K69">
        <f t="shared" si="33"/>
        <v>6.3395760153841083</v>
      </c>
      <c r="L69">
        <f t="shared" ref="L69:L132" si="41">((I69/I68)-1)*100</f>
        <v>4.1026652272337261</v>
      </c>
      <c r="M69">
        <f t="shared" si="34"/>
        <v>1.4008654061488102</v>
      </c>
      <c r="N69">
        <f t="shared" si="24"/>
        <v>0.15320315853541988</v>
      </c>
      <c r="P69">
        <v>56.885440000000003</v>
      </c>
      <c r="Q69">
        <v>0.1072810457378425</v>
      </c>
      <c r="R69">
        <f t="shared" si="35"/>
        <v>6.1027294904572953</v>
      </c>
      <c r="S69">
        <f t="shared" ref="S69:S132" si="42">((P69/P68)-1)*100</f>
        <v>3.7809468157091963</v>
      </c>
      <c r="T69">
        <f t="shared" ref="T69:T132" si="43">ABS(S69-$AZ69)</f>
        <v>1.0791469946242804</v>
      </c>
      <c r="U69">
        <f t="shared" si="25"/>
        <v>1.6041313654502121</v>
      </c>
      <c r="W69">
        <v>130.57050000000001</v>
      </c>
      <c r="X69">
        <v>7.5944646521990414E-2</v>
      </c>
      <c r="Y69">
        <f t="shared" si="36"/>
        <v>9.9161304686995493</v>
      </c>
      <c r="Z69">
        <f t="shared" ref="Z69:Z132" si="44">((W69/W68)-1)*100</f>
        <v>2.8519912185830831</v>
      </c>
      <c r="AA69">
        <f t="shared" ref="AA69:AA132" si="45">ABS(Z69-$AZ69)</f>
        <v>0.15019139749816723</v>
      </c>
      <c r="AB69">
        <f t="shared" si="26"/>
        <v>0.24977954560772009</v>
      </c>
      <c r="AD69">
        <v>76.684110000000004</v>
      </c>
      <c r="AE69">
        <v>0.14466250370557376</v>
      </c>
      <c r="AF69">
        <f t="shared" si="37"/>
        <v>11.093315347033627</v>
      </c>
      <c r="AG69">
        <f t="shared" ref="AG69:AG132" si="46">((AD69/AD68)-1)*100</f>
        <v>2.6092228544040141</v>
      </c>
      <c r="AH69">
        <f t="shared" ref="AH69:AH132" si="47">ABS(AG69-$AZ69)</f>
        <v>9.2576966680901762E-2</v>
      </c>
      <c r="AI69">
        <f t="shared" si="27"/>
        <v>9.2576966680901762E-2</v>
      </c>
      <c r="AK69">
        <v>79.275300000000001</v>
      </c>
      <c r="AL69">
        <v>7.6349836673602081E-2</v>
      </c>
      <c r="AM69">
        <f t="shared" si="38"/>
        <v>6.0526562072508074</v>
      </c>
      <c r="AN69">
        <f t="shared" ref="AN69:AN132" si="48">((AK69/AK68)-1)*100</f>
        <v>3.5196008774615928</v>
      </c>
      <c r="AO69">
        <f t="shared" ref="AO69:AO132" si="49">ABS(AN69-$AZ69)</f>
        <v>0.81780105637667688</v>
      </c>
      <c r="AP69">
        <f t="shared" si="28"/>
        <v>1.8221314500208363</v>
      </c>
      <c r="AR69">
        <v>69.141530000000003</v>
      </c>
      <c r="AS69">
        <v>0.47524006100627281</v>
      </c>
      <c r="AT69">
        <f t="shared" si="39"/>
        <v>32.858824935267045</v>
      </c>
      <c r="AU69">
        <f t="shared" ref="AU69:AU132" si="50">((AR69/AR68)-1)*100</f>
        <v>1.981365286984027</v>
      </c>
      <c r="AV69">
        <f t="shared" ref="AV69:AV132" si="51">ABS(AU69-$AZ69)</f>
        <v>0.72043453410088887</v>
      </c>
      <c r="AW69">
        <f t="shared" si="29"/>
        <v>0.72043453410088887</v>
      </c>
      <c r="AY69" s="4">
        <f t="shared" si="31"/>
        <v>75.406024079331758</v>
      </c>
      <c r="AZ69">
        <f t="shared" ref="AZ69:AZ132" si="52">((AY69/AY68)-1)*100</f>
        <v>2.7017998210849159</v>
      </c>
    </row>
    <row r="70" spans="1:52" x14ac:dyDescent="0.35">
      <c r="A70" s="2">
        <v>38565</v>
      </c>
      <c r="B70">
        <v>73.679150000000007</v>
      </c>
      <c r="C70">
        <v>4.2645532980783794E-2</v>
      </c>
      <c r="D70">
        <f t="shared" si="30"/>
        <v>3.1420866213211167</v>
      </c>
      <c r="E70">
        <f t="shared" si="40"/>
        <v>3.2632864368527637</v>
      </c>
      <c r="F70">
        <f t="shared" si="32"/>
        <v>1.126154140479807</v>
      </c>
      <c r="G70">
        <f t="shared" ref="G70:G133" si="53">ABS(F70-F69)</f>
        <v>6.655287347057115E-2</v>
      </c>
      <c r="I70">
        <v>83.105959999999996</v>
      </c>
      <c r="J70">
        <v>7.7876373373934632E-2</v>
      </c>
      <c r="K70">
        <f t="shared" si="33"/>
        <v>6.4719907705592759</v>
      </c>
      <c r="L70">
        <f t="shared" si="41"/>
        <v>2.0887004880742799</v>
      </c>
      <c r="M70">
        <f t="shared" si="34"/>
        <v>4.8431808298676771E-2</v>
      </c>
      <c r="N70">
        <f t="shared" ref="N70:N133" si="54">ABS(M70-M69)</f>
        <v>1.3524335978501334</v>
      </c>
      <c r="P70">
        <v>58.809449999999998</v>
      </c>
      <c r="Q70">
        <v>0.1072810457378425</v>
      </c>
      <c r="R70">
        <f t="shared" si="35"/>
        <v>6.3091392952673617</v>
      </c>
      <c r="S70">
        <f t="shared" si="42"/>
        <v>3.3822538772662947</v>
      </c>
      <c r="T70">
        <f t="shared" si="43"/>
        <v>1.245121580893338</v>
      </c>
      <c r="U70">
        <f t="shared" ref="U70:U133" si="55">ABS(T70-T69)</f>
        <v>0.16597458626905759</v>
      </c>
      <c r="W70">
        <v>132.5326</v>
      </c>
      <c r="X70">
        <v>7.5944646521990414E-2</v>
      </c>
      <c r="Y70">
        <f t="shared" si="36"/>
        <v>10.065141459640348</v>
      </c>
      <c r="Z70">
        <f t="shared" si="44"/>
        <v>1.5027130936926758</v>
      </c>
      <c r="AA70">
        <f t="shared" si="45"/>
        <v>0.63441920268028085</v>
      </c>
      <c r="AB70">
        <f t="shared" ref="AB70:AB133" si="56">ABS(AA70-AH69)</f>
        <v>0.54184223599937908</v>
      </c>
      <c r="AD70">
        <v>80.036789999999996</v>
      </c>
      <c r="AE70">
        <v>0.14466250370557376</v>
      </c>
      <c r="AF70">
        <f t="shared" si="37"/>
        <v>11.578322429957229</v>
      </c>
      <c r="AG70">
        <f t="shared" si="46"/>
        <v>4.3720661294758267</v>
      </c>
      <c r="AH70">
        <f t="shared" si="47"/>
        <v>2.2349338331028701</v>
      </c>
      <c r="AI70">
        <f t="shared" ref="AI70:AI133" si="57">ABS(AH70-AQ69)</f>
        <v>2.2349338331028701</v>
      </c>
      <c r="AK70">
        <v>80.478819999999999</v>
      </c>
      <c r="AL70">
        <v>7.6349836673602081E-2</v>
      </c>
      <c r="AM70">
        <f t="shared" si="38"/>
        <v>6.1445447626842205</v>
      </c>
      <c r="AN70">
        <f t="shared" si="48"/>
        <v>1.5181525645440619</v>
      </c>
      <c r="AO70">
        <f t="shared" si="49"/>
        <v>0.61897973182889476</v>
      </c>
      <c r="AP70">
        <f t="shared" ref="AP70:AP133" si="58">ABS(AO70-AZ69)</f>
        <v>2.0828200892560211</v>
      </c>
      <c r="AR70">
        <v>70.083160000000007</v>
      </c>
      <c r="AS70">
        <v>0.47524006100627281</v>
      </c>
      <c r="AT70">
        <f t="shared" si="39"/>
        <v>33.306325233912382</v>
      </c>
      <c r="AU70">
        <f t="shared" si="50"/>
        <v>1.3618877106132965</v>
      </c>
      <c r="AV70">
        <f t="shared" si="51"/>
        <v>0.77524458575966015</v>
      </c>
      <c r="AW70">
        <f t="shared" ref="AW70:AW133" si="59">ABS(AV70-BG69)</f>
        <v>0.77524458575966015</v>
      </c>
      <c r="AY70" s="4">
        <f t="shared" si="31"/>
        <v>77.017550573341921</v>
      </c>
      <c r="AZ70">
        <f t="shared" si="52"/>
        <v>2.1371322963729567</v>
      </c>
    </row>
    <row r="71" spans="1:52" x14ac:dyDescent="0.35">
      <c r="A71" s="2">
        <v>38596</v>
      </c>
      <c r="B71">
        <v>76.093959999999996</v>
      </c>
      <c r="C71">
        <v>4.2645532980783794E-2</v>
      </c>
      <c r="D71">
        <f t="shared" si="30"/>
        <v>3.2450674808184425</v>
      </c>
      <c r="E71">
        <f t="shared" si="40"/>
        <v>3.277467234624698</v>
      </c>
      <c r="F71">
        <f t="shared" si="32"/>
        <v>0.73380708453627541</v>
      </c>
      <c r="G71">
        <f t="shared" si="53"/>
        <v>0.39234705594353159</v>
      </c>
      <c r="I71">
        <v>84.384029999999996</v>
      </c>
      <c r="J71">
        <v>7.7876373373934632E-2</v>
      </c>
      <c r="K71">
        <f t="shared" si="33"/>
        <v>6.5715222270773008</v>
      </c>
      <c r="L71">
        <f t="shared" si="41"/>
        <v>1.5378800750271093</v>
      </c>
      <c r="M71">
        <f t="shared" si="34"/>
        <v>1.0057800750613133</v>
      </c>
      <c r="N71">
        <f t="shared" si="54"/>
        <v>0.95734826676263651</v>
      </c>
      <c r="P71">
        <v>59.703980000000001</v>
      </c>
      <c r="Q71">
        <v>0.1072810457378425</v>
      </c>
      <c r="R71">
        <f t="shared" si="35"/>
        <v>6.4051054091112345</v>
      </c>
      <c r="S71">
        <f t="shared" si="42"/>
        <v>1.5210650669237769</v>
      </c>
      <c r="T71">
        <f t="shared" si="43"/>
        <v>1.0225950831646458</v>
      </c>
      <c r="U71">
        <f t="shared" si="55"/>
        <v>0.22252649772869226</v>
      </c>
      <c r="W71">
        <v>135.9606</v>
      </c>
      <c r="X71">
        <v>7.5944646521990414E-2</v>
      </c>
      <c r="Y71">
        <f t="shared" si="36"/>
        <v>10.325479707917729</v>
      </c>
      <c r="Z71">
        <f t="shared" si="44"/>
        <v>2.5865334264927986</v>
      </c>
      <c r="AA71">
        <f t="shared" si="45"/>
        <v>4.2873276404375993E-2</v>
      </c>
      <c r="AB71">
        <f t="shared" si="56"/>
        <v>2.1920605566984941</v>
      </c>
      <c r="AD71">
        <v>85.984700000000004</v>
      </c>
      <c r="AE71">
        <v>0.14466250370557376</v>
      </c>
      <c r="AF71">
        <f t="shared" si="37"/>
        <v>12.438761982372649</v>
      </c>
      <c r="AG71">
        <f t="shared" si="46"/>
        <v>7.4314699527554762</v>
      </c>
      <c r="AH71">
        <f t="shared" si="47"/>
        <v>4.8878098026670536</v>
      </c>
      <c r="AI71">
        <f t="shared" si="57"/>
        <v>4.8878098026670536</v>
      </c>
      <c r="AK71">
        <v>81.77</v>
      </c>
      <c r="AL71">
        <v>7.6349836673602081E-2</v>
      </c>
      <c r="AM71">
        <f t="shared" si="38"/>
        <v>6.243126144800442</v>
      </c>
      <c r="AN71">
        <f t="shared" si="48"/>
        <v>1.6043724299138473</v>
      </c>
      <c r="AO71">
        <f t="shared" si="49"/>
        <v>0.93928772017457529</v>
      </c>
      <c r="AP71">
        <f t="shared" si="58"/>
        <v>1.1978445761983814</v>
      </c>
      <c r="AR71">
        <v>71.011589999999998</v>
      </c>
      <c r="AS71">
        <v>0.47524006100627281</v>
      </c>
      <c r="AT71">
        <f t="shared" si="39"/>
        <v>33.747552363752433</v>
      </c>
      <c r="AU71">
        <f t="shared" si="50"/>
        <v>1.324754762770386</v>
      </c>
      <c r="AV71">
        <f t="shared" si="51"/>
        <v>1.2189053873180367</v>
      </c>
      <c r="AW71">
        <f t="shared" si="59"/>
        <v>1.2189053873180367</v>
      </c>
      <c r="AY71" s="4">
        <f t="shared" si="31"/>
        <v>78.976615315850225</v>
      </c>
      <c r="AZ71">
        <f t="shared" si="52"/>
        <v>2.5436601500884226</v>
      </c>
    </row>
    <row r="72" spans="1:52" x14ac:dyDescent="0.35">
      <c r="A72" s="2">
        <v>38626</v>
      </c>
      <c r="B72">
        <v>73.181139999999999</v>
      </c>
      <c r="C72">
        <v>4.2645532980783794E-2</v>
      </c>
      <c r="D72">
        <f t="shared" si="30"/>
        <v>3.1208487194413563</v>
      </c>
      <c r="E72">
        <f t="shared" si="40"/>
        <v>-3.8279253701607785</v>
      </c>
      <c r="F72">
        <f t="shared" si="32"/>
        <v>2.6497686524521669</v>
      </c>
      <c r="G72">
        <f t="shared" si="53"/>
        <v>1.9159615679158915</v>
      </c>
      <c r="I72">
        <v>83.935159999999996</v>
      </c>
      <c r="J72">
        <v>7.7876373373934632E-2</v>
      </c>
      <c r="K72">
        <f t="shared" si="33"/>
        <v>6.5365658593609428</v>
      </c>
      <c r="L72">
        <f t="shared" si="41"/>
        <v>-0.53193714497873357</v>
      </c>
      <c r="M72">
        <f t="shared" si="34"/>
        <v>0.64621957272987807</v>
      </c>
      <c r="N72">
        <f t="shared" si="54"/>
        <v>0.35956050233143522</v>
      </c>
      <c r="P72">
        <v>59.60951</v>
      </c>
      <c r="Q72">
        <v>0.1072810457378425</v>
      </c>
      <c r="R72">
        <f t="shared" si="35"/>
        <v>6.3949705687203799</v>
      </c>
      <c r="S72">
        <f t="shared" si="42"/>
        <v>-0.15823065731966901</v>
      </c>
      <c r="T72">
        <f t="shared" si="43"/>
        <v>1.0199260603889426</v>
      </c>
      <c r="U72">
        <f t="shared" si="55"/>
        <v>2.6690227757031337E-3</v>
      </c>
      <c r="W72">
        <v>131.6987</v>
      </c>
      <c r="X72">
        <v>7.5944646521990414E-2</v>
      </c>
      <c r="Y72">
        <f t="shared" si="36"/>
        <v>10.00181121890566</v>
      </c>
      <c r="Z72">
        <f t="shared" si="44"/>
        <v>-3.1346581288991038</v>
      </c>
      <c r="AA72">
        <f t="shared" si="45"/>
        <v>1.9565014111904921</v>
      </c>
      <c r="AB72">
        <f t="shared" si="56"/>
        <v>2.9313083914765614</v>
      </c>
      <c r="AD72">
        <v>90.183120000000002</v>
      </c>
      <c r="AE72">
        <v>0.14466250370557376</v>
      </c>
      <c r="AF72">
        <f t="shared" si="37"/>
        <v>13.046115931180204</v>
      </c>
      <c r="AG72">
        <f t="shared" si="46"/>
        <v>4.8827523966473052</v>
      </c>
      <c r="AH72">
        <f t="shared" si="47"/>
        <v>6.0609091143559173</v>
      </c>
      <c r="AI72">
        <f t="shared" si="57"/>
        <v>6.0609091143559173</v>
      </c>
      <c r="AK72">
        <v>80.259249999999994</v>
      </c>
      <c r="AL72">
        <v>7.6349836673602081E-2</v>
      </c>
      <c r="AM72">
        <f t="shared" si="38"/>
        <v>6.1277806290457972</v>
      </c>
      <c r="AN72">
        <f t="shared" si="48"/>
        <v>-1.8475602299131699</v>
      </c>
      <c r="AO72">
        <f t="shared" si="49"/>
        <v>0.66940351220455829</v>
      </c>
      <c r="AP72">
        <f t="shared" si="58"/>
        <v>1.8742566378838643</v>
      </c>
      <c r="AR72">
        <v>69.05574</v>
      </c>
      <c r="AS72">
        <v>0.47524006100627281</v>
      </c>
      <c r="AT72">
        <f t="shared" si="39"/>
        <v>32.818054090433314</v>
      </c>
      <c r="AU72">
        <f t="shared" si="50"/>
        <v>-2.7542687045875147</v>
      </c>
      <c r="AV72">
        <f t="shared" si="51"/>
        <v>1.5761119868789031</v>
      </c>
      <c r="AW72">
        <f t="shared" si="59"/>
        <v>1.5761119868789031</v>
      </c>
      <c r="AY72" s="4">
        <f t="shared" si="31"/>
        <v>78.046147017087648</v>
      </c>
      <c r="AZ72">
        <f t="shared" si="52"/>
        <v>-1.1781567177086116</v>
      </c>
    </row>
    <row r="73" spans="1:52" x14ac:dyDescent="0.35">
      <c r="A73" s="2">
        <v>38657</v>
      </c>
      <c r="B73">
        <v>74.947230000000005</v>
      </c>
      <c r="C73">
        <v>4.2645532980783794E-2</v>
      </c>
      <c r="D73">
        <f t="shared" si="30"/>
        <v>3.1961645687833888</v>
      </c>
      <c r="E73">
        <f t="shared" si="40"/>
        <v>2.413313047596688</v>
      </c>
      <c r="F73">
        <f t="shared" si="32"/>
        <v>0.8395505047471552</v>
      </c>
      <c r="G73">
        <f t="shared" si="53"/>
        <v>1.8102181477050117</v>
      </c>
      <c r="I73">
        <v>84.994429999999994</v>
      </c>
      <c r="J73">
        <v>7.7876373373934632E-2</v>
      </c>
      <c r="K73">
        <f t="shared" si="33"/>
        <v>6.6190579653847506</v>
      </c>
      <c r="L73">
        <f t="shared" si="41"/>
        <v>1.2620098657106338</v>
      </c>
      <c r="M73">
        <f t="shared" si="34"/>
        <v>1.9908536866332094</v>
      </c>
      <c r="N73">
        <f t="shared" si="54"/>
        <v>1.3446341139033313</v>
      </c>
      <c r="P73">
        <v>61.134450000000001</v>
      </c>
      <c r="Q73">
        <v>0.1072810457378425</v>
      </c>
      <c r="R73">
        <f t="shared" si="35"/>
        <v>6.5585677266078459</v>
      </c>
      <c r="S73">
        <f t="shared" si="42"/>
        <v>2.5582159625200829</v>
      </c>
      <c r="T73">
        <f t="shared" si="43"/>
        <v>0.69464758982376029</v>
      </c>
      <c r="U73">
        <f t="shared" si="55"/>
        <v>0.32527847056518233</v>
      </c>
      <c r="W73">
        <v>132.46690000000001</v>
      </c>
      <c r="X73">
        <v>7.5944646521990414E-2</v>
      </c>
      <c r="Y73">
        <f t="shared" si="36"/>
        <v>10.060151896363852</v>
      </c>
      <c r="Z73">
        <f t="shared" si="44"/>
        <v>0.58330112597921868</v>
      </c>
      <c r="AA73">
        <f t="shared" si="45"/>
        <v>2.6695624263646245</v>
      </c>
      <c r="AB73">
        <f t="shared" si="56"/>
        <v>3.3913466879912928</v>
      </c>
      <c r="AD73">
        <v>97.025769999999994</v>
      </c>
      <c r="AE73">
        <v>0.14466250370557376</v>
      </c>
      <c r="AF73">
        <f t="shared" si="37"/>
        <v>14.035990812161147</v>
      </c>
      <c r="AG73">
        <f t="shared" si="46"/>
        <v>7.5875063980931134</v>
      </c>
      <c r="AH73">
        <f t="shared" si="47"/>
        <v>4.3346428457492703</v>
      </c>
      <c r="AI73">
        <f t="shared" si="57"/>
        <v>4.3346428457492703</v>
      </c>
      <c r="AK73">
        <v>82.765169999999998</v>
      </c>
      <c r="AL73">
        <v>7.6349836673602081E-2</v>
      </c>
      <c r="AM73">
        <f t="shared" si="38"/>
        <v>6.319107211762911</v>
      </c>
      <c r="AN73">
        <f t="shared" si="48"/>
        <v>3.1222818553624743</v>
      </c>
      <c r="AO73">
        <f t="shared" si="49"/>
        <v>0.1305816969813689</v>
      </c>
      <c r="AP73">
        <f t="shared" si="58"/>
        <v>1.3087384146899805</v>
      </c>
      <c r="AR73">
        <v>71.113200000000006</v>
      </c>
      <c r="AS73">
        <v>0.47524006100627281</v>
      </c>
      <c r="AT73">
        <f t="shared" si="39"/>
        <v>33.79584150635128</v>
      </c>
      <c r="AU73">
        <f t="shared" si="50"/>
        <v>2.9794192343750137</v>
      </c>
      <c r="AV73">
        <f t="shared" si="51"/>
        <v>0.27344431796882951</v>
      </c>
      <c r="AW73">
        <f t="shared" si="59"/>
        <v>0.27344431796882951</v>
      </c>
      <c r="AY73" s="4">
        <f t="shared" si="31"/>
        <v>80.584881687415177</v>
      </c>
      <c r="AZ73">
        <f t="shared" si="52"/>
        <v>3.2528635523438432</v>
      </c>
    </row>
    <row r="74" spans="1:52" x14ac:dyDescent="0.35">
      <c r="A74" s="2">
        <v>38687</v>
      </c>
      <c r="B74">
        <v>77.824889999999996</v>
      </c>
      <c r="C74">
        <v>4.2645532980783794E-2</v>
      </c>
      <c r="D74">
        <f t="shared" si="30"/>
        <v>3.318883913220871</v>
      </c>
      <c r="E74">
        <f t="shared" si="40"/>
        <v>3.8395815295641844</v>
      </c>
      <c r="F74">
        <f t="shared" si="32"/>
        <v>8.9935358609416483E-2</v>
      </c>
      <c r="G74">
        <f t="shared" si="53"/>
        <v>0.74961514613773872</v>
      </c>
      <c r="I74">
        <v>88.352329999999995</v>
      </c>
      <c r="J74">
        <v>7.7876373373934632E-2</v>
      </c>
      <c r="K74">
        <f t="shared" si="33"/>
        <v>6.8805590395370855</v>
      </c>
      <c r="L74">
        <f t="shared" si="41"/>
        <v>3.9507294772139767</v>
      </c>
      <c r="M74">
        <f t="shared" si="34"/>
        <v>0.20108330625920878</v>
      </c>
      <c r="N74">
        <f t="shared" si="54"/>
        <v>1.7897703803740006</v>
      </c>
      <c r="P74">
        <v>63.95299</v>
      </c>
      <c r="Q74">
        <v>0.1072810457378425</v>
      </c>
      <c r="R74">
        <f t="shared" si="35"/>
        <v>6.8609436452617842</v>
      </c>
      <c r="S74">
        <f t="shared" si="42"/>
        <v>4.6103956116395839</v>
      </c>
      <c r="T74">
        <f t="shared" si="43"/>
        <v>0.86074944068481596</v>
      </c>
      <c r="U74">
        <f t="shared" si="55"/>
        <v>0.16610185086105567</v>
      </c>
      <c r="W74">
        <v>137.09700000000001</v>
      </c>
      <c r="X74">
        <v>7.5944646521990414E-2</v>
      </c>
      <c r="Y74">
        <f t="shared" si="36"/>
        <v>10.411783204225321</v>
      </c>
      <c r="Z74">
        <f t="shared" si="44"/>
        <v>3.4952882569154964</v>
      </c>
      <c r="AA74">
        <f t="shared" si="45"/>
        <v>0.25435791403927155</v>
      </c>
      <c r="AB74">
        <f t="shared" si="56"/>
        <v>4.0802849317099987</v>
      </c>
      <c r="AD74">
        <v>103.9335</v>
      </c>
      <c r="AE74">
        <v>0.14466250370557376</v>
      </c>
      <c r="AF74">
        <f t="shared" si="37"/>
        <v>15.03528032888325</v>
      </c>
      <c r="AG74">
        <f t="shared" si="46"/>
        <v>7.1194797011144617</v>
      </c>
      <c r="AH74">
        <f t="shared" si="47"/>
        <v>3.3698335301596938</v>
      </c>
      <c r="AI74">
        <f t="shared" si="57"/>
        <v>3.3698335301596938</v>
      </c>
      <c r="AK74">
        <v>84.182040000000001</v>
      </c>
      <c r="AL74">
        <v>7.6349836673602081E-2</v>
      </c>
      <c r="AM74">
        <f t="shared" si="38"/>
        <v>6.4272850048506376</v>
      </c>
      <c r="AN74">
        <f t="shared" si="48"/>
        <v>1.7119157732655044</v>
      </c>
      <c r="AO74">
        <f t="shared" si="49"/>
        <v>2.0377303976892636</v>
      </c>
      <c r="AP74">
        <f t="shared" si="58"/>
        <v>1.2151331546545796</v>
      </c>
      <c r="AR74">
        <v>72.956379999999996</v>
      </c>
      <c r="AS74">
        <v>0.47524006100627281</v>
      </c>
      <c r="AT74">
        <f t="shared" si="39"/>
        <v>34.67179448199682</v>
      </c>
      <c r="AU74">
        <f t="shared" si="50"/>
        <v>2.5918957380626884</v>
      </c>
      <c r="AV74">
        <f t="shared" si="51"/>
        <v>1.1577504328920796</v>
      </c>
      <c r="AW74">
        <f t="shared" si="59"/>
        <v>1.1577504328920796</v>
      </c>
      <c r="AY74" s="4">
        <f t="shared" si="31"/>
        <v>83.606529617975767</v>
      </c>
      <c r="AZ74">
        <f t="shared" si="52"/>
        <v>3.7496461709547679</v>
      </c>
    </row>
    <row r="75" spans="1:52" x14ac:dyDescent="0.35">
      <c r="A75" s="2">
        <v>38718</v>
      </c>
      <c r="B75">
        <v>81.208160000000007</v>
      </c>
      <c r="C75">
        <v>4.2681320068901615E-2</v>
      </c>
      <c r="D75">
        <f t="shared" si="30"/>
        <v>3.4660714691665735</v>
      </c>
      <c r="E75">
        <f t="shared" si="40"/>
        <v>4.3472852965163344</v>
      </c>
      <c r="F75">
        <f t="shared" si="32"/>
        <v>1.5759162141791849</v>
      </c>
      <c r="G75">
        <f t="shared" si="53"/>
        <v>1.4859808555697684</v>
      </c>
      <c r="I75">
        <v>91.278559999999999</v>
      </c>
      <c r="J75">
        <v>7.7798489952434449E-2</v>
      </c>
      <c r="K75">
        <f t="shared" si="33"/>
        <v>7.1013341330326849</v>
      </c>
      <c r="L75">
        <f t="shared" si="41"/>
        <v>3.3120009398733607</v>
      </c>
      <c r="M75">
        <f t="shared" si="34"/>
        <v>0.54063185753621124</v>
      </c>
      <c r="N75">
        <f t="shared" si="54"/>
        <v>0.33954855127700245</v>
      </c>
      <c r="P75">
        <v>66.11412</v>
      </c>
      <c r="Q75">
        <v>0.10860391769963755</v>
      </c>
      <c r="R75">
        <f t="shared" si="35"/>
        <v>7.1802524472639613</v>
      </c>
      <c r="S75">
        <f t="shared" si="42"/>
        <v>3.3792477881018579</v>
      </c>
      <c r="T75">
        <f t="shared" si="43"/>
        <v>0.60787870576470837</v>
      </c>
      <c r="U75">
        <f t="shared" si="55"/>
        <v>0.25287073492010759</v>
      </c>
      <c r="W75">
        <v>141.27010000000001</v>
      </c>
      <c r="X75">
        <v>7.5380907599609137E-2</v>
      </c>
      <c r="Y75">
        <f t="shared" si="36"/>
        <v>10.649068354687543</v>
      </c>
      <c r="Z75">
        <f t="shared" si="44"/>
        <v>3.0439032218064543</v>
      </c>
      <c r="AA75">
        <f t="shared" si="45"/>
        <v>0.27253413946930483</v>
      </c>
      <c r="AB75">
        <f t="shared" si="56"/>
        <v>3.097299390690389</v>
      </c>
      <c r="AD75">
        <v>106.6951</v>
      </c>
      <c r="AE75">
        <v>0.14299861976460571</v>
      </c>
      <c r="AF75">
        <f t="shared" si="37"/>
        <v>15.257252035646582</v>
      </c>
      <c r="AG75">
        <f t="shared" si="46"/>
        <v>2.6570836159659716</v>
      </c>
      <c r="AH75">
        <f t="shared" si="47"/>
        <v>0.11428546637117787</v>
      </c>
      <c r="AI75">
        <f t="shared" si="57"/>
        <v>0.11428546637117787</v>
      </c>
      <c r="AK75">
        <v>86.537239999999997</v>
      </c>
      <c r="AL75">
        <v>7.62265405428902E-2</v>
      </c>
      <c r="AM75">
        <f t="shared" si="38"/>
        <v>6.5964344333298195</v>
      </c>
      <c r="AN75">
        <f t="shared" si="48"/>
        <v>2.7977464076660574</v>
      </c>
      <c r="AO75">
        <f t="shared" si="49"/>
        <v>2.6377325328907908E-2</v>
      </c>
      <c r="AP75">
        <f t="shared" si="58"/>
        <v>3.72326884562586</v>
      </c>
      <c r="AR75">
        <v>74.894810000000007</v>
      </c>
      <c r="AS75">
        <v>0.47631020437192134</v>
      </c>
      <c r="AT75">
        <f t="shared" si="39"/>
        <v>35.673162257496223</v>
      </c>
      <c r="AU75">
        <f t="shared" si="50"/>
        <v>2.6569711929237849</v>
      </c>
      <c r="AV75">
        <f t="shared" si="51"/>
        <v>0.1143978894133646</v>
      </c>
      <c r="AW75">
        <f t="shared" si="59"/>
        <v>0.1143978894133646</v>
      </c>
      <c r="AY75" s="4">
        <f t="shared" si="31"/>
        <v>85.923575130623391</v>
      </c>
      <c r="AZ75">
        <f t="shared" si="52"/>
        <v>2.7713690823371495</v>
      </c>
    </row>
    <row r="76" spans="1:52" x14ac:dyDescent="0.35">
      <c r="A76" s="2">
        <v>38749</v>
      </c>
      <c r="B76">
        <v>82.0852</v>
      </c>
      <c r="C76">
        <v>4.2681320068901615E-2</v>
      </c>
      <c r="D76">
        <f t="shared" si="30"/>
        <v>3.5035046941198029</v>
      </c>
      <c r="E76">
        <f t="shared" si="40"/>
        <v>1.079989991153596</v>
      </c>
      <c r="F76">
        <f t="shared" si="32"/>
        <v>0.47045680246231569</v>
      </c>
      <c r="G76">
        <f t="shared" si="53"/>
        <v>1.1054594117168692</v>
      </c>
      <c r="I76">
        <v>94.037080000000003</v>
      </c>
      <c r="J76">
        <v>7.7798489952434449E-2</v>
      </c>
      <c r="K76">
        <f t="shared" si="33"/>
        <v>7.3159428235362745</v>
      </c>
      <c r="L76">
        <f t="shared" si="41"/>
        <v>3.0220897437470473</v>
      </c>
      <c r="M76">
        <f t="shared" si="34"/>
        <v>1.4716429501311357</v>
      </c>
      <c r="N76">
        <f t="shared" si="54"/>
        <v>0.93101109259492443</v>
      </c>
      <c r="P76">
        <v>69.636319999999998</v>
      </c>
      <c r="Q76">
        <v>0.10860391769963755</v>
      </c>
      <c r="R76">
        <f t="shared" si="35"/>
        <v>7.562777166185624</v>
      </c>
      <c r="S76">
        <f t="shared" si="42"/>
        <v>5.3274550126357179</v>
      </c>
      <c r="T76">
        <f t="shared" si="43"/>
        <v>3.7770082190198062</v>
      </c>
      <c r="U76">
        <f t="shared" si="55"/>
        <v>3.1691295132550978</v>
      </c>
      <c r="W76">
        <v>146.22720000000001</v>
      </c>
      <c r="X76">
        <v>7.5380907599609137E-2</v>
      </c>
      <c r="Y76">
        <f t="shared" si="36"/>
        <v>11.022739051749566</v>
      </c>
      <c r="Z76">
        <f t="shared" si="44"/>
        <v>3.5089520004586872</v>
      </c>
      <c r="AA76">
        <f t="shared" si="45"/>
        <v>1.9585052068427755</v>
      </c>
      <c r="AB76">
        <f t="shared" si="56"/>
        <v>1.8442197404715976</v>
      </c>
      <c r="AD76">
        <v>106.5771</v>
      </c>
      <c r="AE76">
        <v>0.14299861976460571</v>
      </c>
      <c r="AF76">
        <f t="shared" si="37"/>
        <v>15.240378198514358</v>
      </c>
      <c r="AG76">
        <f t="shared" si="46"/>
        <v>-0.11059551938186196</v>
      </c>
      <c r="AH76">
        <f t="shared" si="47"/>
        <v>1.6610423129977736</v>
      </c>
      <c r="AI76">
        <f t="shared" si="57"/>
        <v>1.6610423129977736</v>
      </c>
      <c r="AK76">
        <v>88.050250000000005</v>
      </c>
      <c r="AL76">
        <v>7.62265405428902E-2</v>
      </c>
      <c r="AM76">
        <f t="shared" si="38"/>
        <v>6.7117659514366181</v>
      </c>
      <c r="AN76">
        <f t="shared" si="48"/>
        <v>1.7483917906325752</v>
      </c>
      <c r="AO76">
        <f t="shared" si="49"/>
        <v>0.19794499701666357</v>
      </c>
      <c r="AP76">
        <f t="shared" si="58"/>
        <v>2.5734240853204859</v>
      </c>
      <c r="AR76">
        <v>75.368250000000003</v>
      </c>
      <c r="AS76">
        <v>0.47631020437192134</v>
      </c>
      <c r="AT76">
        <f t="shared" si="39"/>
        <v>35.898666560654064</v>
      </c>
      <c r="AU76">
        <f t="shared" si="50"/>
        <v>0.63213993065740492</v>
      </c>
      <c r="AV76">
        <f t="shared" si="51"/>
        <v>0.91830686295850672</v>
      </c>
      <c r="AW76">
        <f t="shared" si="59"/>
        <v>0.91830686295850672</v>
      </c>
      <c r="AY76" s="4">
        <f t="shared" si="31"/>
        <v>87.255774446196298</v>
      </c>
      <c r="AZ76">
        <f t="shared" si="52"/>
        <v>1.5504467936159116</v>
      </c>
    </row>
    <row r="77" spans="1:52" x14ac:dyDescent="0.35">
      <c r="A77" s="2">
        <v>38777</v>
      </c>
      <c r="B77">
        <v>83.490170000000006</v>
      </c>
      <c r="C77">
        <v>4.2681320068901615E-2</v>
      </c>
      <c r="D77">
        <f t="shared" si="30"/>
        <v>3.5634706683770077</v>
      </c>
      <c r="E77">
        <f t="shared" si="40"/>
        <v>1.7115996549926349</v>
      </c>
      <c r="F77">
        <f t="shared" si="32"/>
        <v>0.13207891160791352</v>
      </c>
      <c r="G77">
        <f t="shared" si="53"/>
        <v>0.33837789085440217</v>
      </c>
      <c r="I77">
        <v>96.84693</v>
      </c>
      <c r="J77">
        <v>7.7798489952434449E-2</v>
      </c>
      <c r="K77">
        <f t="shared" si="33"/>
        <v>7.5345449105291227</v>
      </c>
      <c r="L77">
        <f t="shared" si="41"/>
        <v>2.9880234477718703</v>
      </c>
      <c r="M77">
        <f t="shared" si="34"/>
        <v>1.1443448811713219</v>
      </c>
      <c r="N77">
        <f t="shared" si="54"/>
        <v>0.32729806895981373</v>
      </c>
      <c r="P77">
        <v>71.124629999999996</v>
      </c>
      <c r="Q77">
        <v>0.10860391769963755</v>
      </c>
      <c r="R77">
        <f t="shared" si="35"/>
        <v>7.7244134629371715</v>
      </c>
      <c r="S77">
        <f t="shared" si="42"/>
        <v>2.1372611303986266</v>
      </c>
      <c r="T77">
        <f t="shared" si="43"/>
        <v>0.29358256379807823</v>
      </c>
      <c r="U77">
        <f t="shared" si="55"/>
        <v>3.483425655221728</v>
      </c>
      <c r="W77">
        <v>150.61959999999999</v>
      </c>
      <c r="X77">
        <v>7.5380907599609137E-2</v>
      </c>
      <c r="Y77">
        <f t="shared" si="36"/>
        <v>11.353842150290088</v>
      </c>
      <c r="Z77">
        <f t="shared" si="44"/>
        <v>3.0038187149859841</v>
      </c>
      <c r="AA77">
        <f t="shared" si="45"/>
        <v>1.1601401483854357</v>
      </c>
      <c r="AB77">
        <f t="shared" si="56"/>
        <v>0.50090216461233794</v>
      </c>
      <c r="AD77">
        <v>107.4003</v>
      </c>
      <c r="AE77">
        <v>0.14299861976460571</v>
      </c>
      <c r="AF77">
        <f t="shared" si="37"/>
        <v>15.358094662304582</v>
      </c>
      <c r="AG77">
        <f t="shared" si="46"/>
        <v>0.77239857342712437</v>
      </c>
      <c r="AH77">
        <f t="shared" si="47"/>
        <v>1.071279993173424</v>
      </c>
      <c r="AI77">
        <f t="shared" si="57"/>
        <v>1.071279993173424</v>
      </c>
      <c r="AK77">
        <v>90.052890000000005</v>
      </c>
      <c r="AL77">
        <v>7.62265405428902E-2</v>
      </c>
      <c r="AM77">
        <f t="shared" si="38"/>
        <v>6.8644202705894317</v>
      </c>
      <c r="AN77">
        <f t="shared" si="48"/>
        <v>2.2744285223494476</v>
      </c>
      <c r="AO77">
        <f t="shared" si="49"/>
        <v>0.43074995574889918</v>
      </c>
      <c r="AP77">
        <f t="shared" si="58"/>
        <v>1.1196968378670125</v>
      </c>
      <c r="AR77">
        <v>76.558729999999997</v>
      </c>
      <c r="AS77">
        <v>0.47631020437192134</v>
      </c>
      <c r="AT77">
        <f t="shared" si="39"/>
        <v>36.465704332754747</v>
      </c>
      <c r="AU77">
        <f t="shared" si="50"/>
        <v>1.5795510709085026</v>
      </c>
      <c r="AV77">
        <f t="shared" si="51"/>
        <v>0.26412749569204585</v>
      </c>
      <c r="AW77">
        <f t="shared" si="59"/>
        <v>0.26412749569204585</v>
      </c>
      <c r="AY77" s="4">
        <f t="shared" si="31"/>
        <v>88.864490457782139</v>
      </c>
      <c r="AZ77">
        <f t="shared" si="52"/>
        <v>1.8436785666005484</v>
      </c>
    </row>
    <row r="78" spans="1:52" x14ac:dyDescent="0.35">
      <c r="A78" s="2">
        <v>38808</v>
      </c>
      <c r="B78">
        <v>85.702380000000005</v>
      </c>
      <c r="C78">
        <v>4.2681320068901615E-2</v>
      </c>
      <c r="D78">
        <f t="shared" si="30"/>
        <v>3.6578907114466328</v>
      </c>
      <c r="E78">
        <f t="shared" si="40"/>
        <v>2.6496652240617147</v>
      </c>
      <c r="F78">
        <f t="shared" si="32"/>
        <v>0.23694991026630419</v>
      </c>
      <c r="G78">
        <f t="shared" si="53"/>
        <v>0.10487099865839067</v>
      </c>
      <c r="I78">
        <v>98.476029999999994</v>
      </c>
      <c r="J78">
        <v>7.7798489952434449E-2</v>
      </c>
      <c r="K78">
        <f t="shared" si="33"/>
        <v>7.661286430510633</v>
      </c>
      <c r="L78">
        <f t="shared" si="41"/>
        <v>1.6821390208238807</v>
      </c>
      <c r="M78">
        <f t="shared" si="34"/>
        <v>0.73057629297152982</v>
      </c>
      <c r="N78">
        <f t="shared" si="54"/>
        <v>0.41376858819979212</v>
      </c>
      <c r="P78">
        <v>72.761390000000006</v>
      </c>
      <c r="Q78">
        <v>0.10860391769963755</v>
      </c>
      <c r="R78">
        <f t="shared" si="35"/>
        <v>7.9021720112712313</v>
      </c>
      <c r="S78">
        <f t="shared" si="42"/>
        <v>2.3012562596107733</v>
      </c>
      <c r="T78">
        <f t="shared" si="43"/>
        <v>0.1114590541846372</v>
      </c>
      <c r="U78">
        <f t="shared" si="55"/>
        <v>0.18212350961344104</v>
      </c>
      <c r="W78">
        <v>152.28110000000001</v>
      </c>
      <c r="X78">
        <v>7.5380907599609137E-2</v>
      </c>
      <c r="Y78">
        <f t="shared" si="36"/>
        <v>11.47908752826684</v>
      </c>
      <c r="Z78">
        <f t="shared" si="44"/>
        <v>1.103110086602288</v>
      </c>
      <c r="AA78">
        <f t="shared" si="45"/>
        <v>1.3096052271931224</v>
      </c>
      <c r="AB78">
        <f t="shared" si="56"/>
        <v>0.23832523401969841</v>
      </c>
      <c r="AD78">
        <v>112.4864</v>
      </c>
      <c r="AE78">
        <v>0.14299861976460571</v>
      </c>
      <c r="AF78">
        <f t="shared" si="37"/>
        <v>16.085399942289342</v>
      </c>
      <c r="AG78">
        <f t="shared" si="46"/>
        <v>4.7356478520078626</v>
      </c>
      <c r="AH78">
        <f t="shared" si="47"/>
        <v>2.3229325382124522</v>
      </c>
      <c r="AI78">
        <f t="shared" si="57"/>
        <v>2.3229325382124522</v>
      </c>
      <c r="AK78">
        <v>91.767880000000005</v>
      </c>
      <c r="AL78">
        <v>7.62265405428902E-2</v>
      </c>
      <c r="AM78">
        <f t="shared" si="38"/>
        <v>6.9951480253550828</v>
      </c>
      <c r="AN78">
        <f t="shared" si="48"/>
        <v>1.9044252771898806</v>
      </c>
      <c r="AO78">
        <f t="shared" si="49"/>
        <v>0.50829003660552985</v>
      </c>
      <c r="AP78">
        <f t="shared" si="58"/>
        <v>1.3353885299950186</v>
      </c>
      <c r="AR78">
        <v>78.158209999999997</v>
      </c>
      <c r="AS78">
        <v>0.47631020437192134</v>
      </c>
      <c r="AT78">
        <f t="shared" si="39"/>
        <v>37.227552978443548</v>
      </c>
      <c r="AU78">
        <f t="shared" si="50"/>
        <v>2.0892196095729343</v>
      </c>
      <c r="AV78">
        <f t="shared" si="51"/>
        <v>0.3234957042224762</v>
      </c>
      <c r="AW78">
        <f t="shared" si="59"/>
        <v>0.3234957042224762</v>
      </c>
      <c r="AY78" s="4">
        <f t="shared" si="31"/>
        <v>91.008537627583308</v>
      </c>
      <c r="AZ78">
        <f t="shared" si="52"/>
        <v>2.4127153137954105</v>
      </c>
    </row>
    <row r="79" spans="1:52" x14ac:dyDescent="0.35">
      <c r="A79" s="2">
        <v>38838</v>
      </c>
      <c r="B79">
        <v>83.035889999999995</v>
      </c>
      <c r="C79">
        <v>4.2681320068901615E-2</v>
      </c>
      <c r="D79">
        <f t="shared" si="30"/>
        <v>3.5440813982961066</v>
      </c>
      <c r="E79">
        <f t="shared" si="40"/>
        <v>-3.1113371647321975</v>
      </c>
      <c r="F79">
        <f t="shared" si="32"/>
        <v>1.1263330692749096</v>
      </c>
      <c r="G79">
        <f t="shared" si="53"/>
        <v>0.88938315900860543</v>
      </c>
      <c r="I79">
        <v>96.270939999999996</v>
      </c>
      <c r="J79">
        <v>7.7798489952434449E-2</v>
      </c>
      <c r="K79">
        <f t="shared" si="33"/>
        <v>7.4897337583014192</v>
      </c>
      <c r="L79">
        <f t="shared" si="41"/>
        <v>-2.2392149642913139</v>
      </c>
      <c r="M79">
        <f t="shared" si="34"/>
        <v>0.2542108688340261</v>
      </c>
      <c r="N79">
        <f t="shared" si="54"/>
        <v>0.47636542413750371</v>
      </c>
      <c r="P79">
        <v>70.181910000000002</v>
      </c>
      <c r="Q79">
        <v>0.10860391769963755</v>
      </c>
      <c r="R79">
        <f t="shared" si="35"/>
        <v>7.6220303776433695</v>
      </c>
      <c r="S79">
        <f t="shared" si="42"/>
        <v>-3.545121938984408</v>
      </c>
      <c r="T79">
        <f t="shared" si="43"/>
        <v>1.5601178435271201</v>
      </c>
      <c r="U79">
        <f t="shared" si="55"/>
        <v>1.4486587893424829</v>
      </c>
      <c r="W79">
        <v>148.149</v>
      </c>
      <c r="X79">
        <v>7.5380907599609137E-2</v>
      </c>
      <c r="Y79">
        <f t="shared" si="36"/>
        <v>11.167606079974494</v>
      </c>
      <c r="Z79">
        <f t="shared" si="44"/>
        <v>-2.7134687101682431</v>
      </c>
      <c r="AA79">
        <f t="shared" si="45"/>
        <v>0.72846461471095525</v>
      </c>
      <c r="AB79">
        <f t="shared" si="56"/>
        <v>1.5944679235014969</v>
      </c>
      <c r="AD79">
        <v>107.50020000000001</v>
      </c>
      <c r="AE79">
        <v>0.14299861976460571</v>
      </c>
      <c r="AF79">
        <f t="shared" si="37"/>
        <v>15.372380224419068</v>
      </c>
      <c r="AG79">
        <f t="shared" si="46"/>
        <v>-4.432713643604913</v>
      </c>
      <c r="AH79">
        <f t="shared" si="47"/>
        <v>2.4477095481476252</v>
      </c>
      <c r="AI79">
        <f t="shared" si="57"/>
        <v>2.4477095481476252</v>
      </c>
      <c r="AK79">
        <v>88.726089999999999</v>
      </c>
      <c r="AL79">
        <v>7.62265405428902E-2</v>
      </c>
      <c r="AM79">
        <f t="shared" si="38"/>
        <v>6.7632828965971248</v>
      </c>
      <c r="AN79">
        <f t="shared" si="48"/>
        <v>-3.3146565007277085</v>
      </c>
      <c r="AO79">
        <f t="shared" si="49"/>
        <v>1.3296524052704206</v>
      </c>
      <c r="AP79">
        <f t="shared" si="58"/>
        <v>1.0830629085249899</v>
      </c>
      <c r="AR79">
        <v>78.190430000000006</v>
      </c>
      <c r="AS79">
        <v>0.47631020437192134</v>
      </c>
      <c r="AT79">
        <f t="shared" si="39"/>
        <v>37.242899693228409</v>
      </c>
      <c r="AU79">
        <f t="shared" si="50"/>
        <v>4.1224076139934063E-2</v>
      </c>
      <c r="AV79">
        <f t="shared" si="51"/>
        <v>2.0262281715972219</v>
      </c>
      <c r="AW79">
        <f t="shared" si="59"/>
        <v>2.0262281715972219</v>
      </c>
      <c r="AY79" s="4">
        <f t="shared" si="31"/>
        <v>89.202014428459989</v>
      </c>
      <c r="AZ79">
        <f t="shared" si="52"/>
        <v>-1.9850040954572878</v>
      </c>
    </row>
    <row r="80" spans="1:52" x14ac:dyDescent="0.35">
      <c r="A80" s="2">
        <v>38869</v>
      </c>
      <c r="B80">
        <v>79.091909999999999</v>
      </c>
      <c r="C80">
        <v>4.2681320068901615E-2</v>
      </c>
      <c r="D80">
        <f t="shared" ref="D80:D143" si="60">B80*C80</f>
        <v>3.3757471255707605</v>
      </c>
      <c r="E80">
        <f t="shared" si="40"/>
        <v>-4.7497293037986328</v>
      </c>
      <c r="F80">
        <f t="shared" si="32"/>
        <v>0.60962301779253814</v>
      </c>
      <c r="G80">
        <f t="shared" si="53"/>
        <v>0.51671005148237148</v>
      </c>
      <c r="I80">
        <v>90.706329999999994</v>
      </c>
      <c r="J80">
        <v>7.7798489952434449E-2</v>
      </c>
      <c r="K80">
        <f t="shared" si="33"/>
        <v>7.0568155031272033</v>
      </c>
      <c r="L80">
        <f t="shared" si="41"/>
        <v>-5.7801554653979732</v>
      </c>
      <c r="M80">
        <f t="shared" si="34"/>
        <v>0.42080314380680228</v>
      </c>
      <c r="N80">
        <f t="shared" si="54"/>
        <v>0.16659227497277618</v>
      </c>
      <c r="P80">
        <v>65.236949999999993</v>
      </c>
      <c r="Q80">
        <v>0.10860391769963755</v>
      </c>
      <c r="R80">
        <f t="shared" si="35"/>
        <v>7.0849883487753695</v>
      </c>
      <c r="S80">
        <f t="shared" si="42"/>
        <v>-7.045918243034432</v>
      </c>
      <c r="T80">
        <f t="shared" si="43"/>
        <v>1.6865659214432611</v>
      </c>
      <c r="U80">
        <f t="shared" si="55"/>
        <v>0.12644807791614099</v>
      </c>
      <c r="W80">
        <v>140.60759999999999</v>
      </c>
      <c r="X80">
        <v>7.5380907599609137E-2</v>
      </c>
      <c r="Y80">
        <f t="shared" si="36"/>
        <v>10.599128503402801</v>
      </c>
      <c r="Z80">
        <f t="shared" si="44"/>
        <v>-5.0904157301095543</v>
      </c>
      <c r="AA80">
        <f t="shared" si="45"/>
        <v>0.26893659148161664</v>
      </c>
      <c r="AB80">
        <f t="shared" si="56"/>
        <v>2.1787729566660086</v>
      </c>
      <c r="AD80">
        <v>98.808790000000002</v>
      </c>
      <c r="AE80">
        <v>0.14299861976460571</v>
      </c>
      <c r="AF80">
        <f t="shared" si="37"/>
        <v>14.129520590610776</v>
      </c>
      <c r="AG80">
        <f t="shared" si="46"/>
        <v>-8.0850175162464843</v>
      </c>
      <c r="AH80">
        <f t="shared" si="47"/>
        <v>2.7256651946553134</v>
      </c>
      <c r="AI80">
        <f t="shared" si="57"/>
        <v>2.7256651946553134</v>
      </c>
      <c r="AK80">
        <v>85.947379999999995</v>
      </c>
      <c r="AL80">
        <v>7.62265405428902E-2</v>
      </c>
      <c r="AM80">
        <f t="shared" si="38"/>
        <v>6.5514714461251904</v>
      </c>
      <c r="AN80">
        <f t="shared" si="48"/>
        <v>-3.1317845743005335</v>
      </c>
      <c r="AO80">
        <f t="shared" si="49"/>
        <v>2.2275677472906374</v>
      </c>
      <c r="AP80">
        <f t="shared" si="58"/>
        <v>4.2125718427479253</v>
      </c>
      <c r="AR80">
        <v>74.790949999999995</v>
      </c>
      <c r="AS80">
        <v>0.47631020437192134</v>
      </c>
      <c r="AT80">
        <f t="shared" si="39"/>
        <v>35.62369267967015</v>
      </c>
      <c r="AU80">
        <f t="shared" si="50"/>
        <v>-4.3476931895629845</v>
      </c>
      <c r="AV80">
        <f t="shared" si="51"/>
        <v>1.0116591320281865</v>
      </c>
      <c r="AW80">
        <f t="shared" si="59"/>
        <v>1.0116591320281865</v>
      </c>
      <c r="AY80" s="4">
        <f t="shared" si="31"/>
        <v>84.42136419728223</v>
      </c>
      <c r="AZ80">
        <f t="shared" si="52"/>
        <v>-5.3593523215911709</v>
      </c>
    </row>
    <row r="81" spans="1:52" x14ac:dyDescent="0.35">
      <c r="A81" s="2">
        <v>38899</v>
      </c>
      <c r="B81">
        <v>81.291499999999999</v>
      </c>
      <c r="C81">
        <v>4.2681320068901615E-2</v>
      </c>
      <c r="D81">
        <f t="shared" si="60"/>
        <v>3.4696285303811156</v>
      </c>
      <c r="E81">
        <f t="shared" si="40"/>
        <v>2.7810556098594619</v>
      </c>
      <c r="F81">
        <f t="shared" si="32"/>
        <v>1.0980011247541333</v>
      </c>
      <c r="G81">
        <f t="shared" si="53"/>
        <v>0.48837810696159512</v>
      </c>
      <c r="I81">
        <v>92.856589999999997</v>
      </c>
      <c r="J81">
        <v>7.7798489952434449E-2</v>
      </c>
      <c r="K81">
        <f t="shared" si="33"/>
        <v>7.2241024841323247</v>
      </c>
      <c r="L81">
        <f t="shared" si="41"/>
        <v>2.3705732554718084</v>
      </c>
      <c r="M81">
        <f t="shared" si="34"/>
        <v>0.68751877036647979</v>
      </c>
      <c r="N81">
        <f t="shared" si="54"/>
        <v>0.26671562655967751</v>
      </c>
      <c r="P81">
        <v>66.27413</v>
      </c>
      <c r="Q81">
        <v>0.10860391769963755</v>
      </c>
      <c r="R81">
        <f t="shared" si="35"/>
        <v>7.1976301601350796</v>
      </c>
      <c r="S81">
        <f t="shared" si="42"/>
        <v>1.5898658658934917</v>
      </c>
      <c r="T81">
        <f t="shared" si="43"/>
        <v>9.3188619211836965E-2</v>
      </c>
      <c r="U81">
        <f t="shared" si="55"/>
        <v>1.5933773022314242</v>
      </c>
      <c r="W81">
        <v>142.7159</v>
      </c>
      <c r="X81">
        <v>7.5380907599609137E-2</v>
      </c>
      <c r="Y81">
        <f t="shared" si="36"/>
        <v>10.758054070895058</v>
      </c>
      <c r="Z81">
        <f t="shared" si="44"/>
        <v>1.4994210839243571</v>
      </c>
      <c r="AA81">
        <f t="shared" si="45"/>
        <v>0.18363340118097149</v>
      </c>
      <c r="AB81">
        <f t="shared" si="56"/>
        <v>2.5420317934743419</v>
      </c>
      <c r="AD81">
        <v>99.783460000000005</v>
      </c>
      <c r="AE81">
        <v>0.14299861976460571</v>
      </c>
      <c r="AF81">
        <f t="shared" si="37"/>
        <v>14.268897055336744</v>
      </c>
      <c r="AG81">
        <f t="shared" si="46"/>
        <v>0.98642033770477422</v>
      </c>
      <c r="AH81">
        <f t="shared" si="47"/>
        <v>0.6966341474005544</v>
      </c>
      <c r="AI81">
        <f t="shared" si="57"/>
        <v>0.6966341474005544</v>
      </c>
      <c r="AK81">
        <v>88.458759999999998</v>
      </c>
      <c r="AL81">
        <v>7.62265405428902E-2</v>
      </c>
      <c r="AM81">
        <f t="shared" si="38"/>
        <v>6.7429052555137936</v>
      </c>
      <c r="AN81">
        <f t="shared" si="48"/>
        <v>2.9219971568650527</v>
      </c>
      <c r="AO81">
        <f t="shared" si="49"/>
        <v>1.2389426717597241</v>
      </c>
      <c r="AP81">
        <f t="shared" si="58"/>
        <v>6.598294993350895</v>
      </c>
      <c r="AR81">
        <v>75.961010000000002</v>
      </c>
      <c r="AS81">
        <v>0.47631020437192134</v>
      </c>
      <c r="AT81">
        <f t="shared" si="39"/>
        <v>36.181004197397563</v>
      </c>
      <c r="AU81">
        <f t="shared" si="50"/>
        <v>1.5644406174811332</v>
      </c>
      <c r="AV81">
        <f t="shared" si="51"/>
        <v>0.11861386762419546</v>
      </c>
      <c r="AW81">
        <f t="shared" si="59"/>
        <v>0.11861386762419546</v>
      </c>
      <c r="AY81" s="4">
        <f t="shared" si="31"/>
        <v>85.842221753791691</v>
      </c>
      <c r="AZ81">
        <f t="shared" si="52"/>
        <v>1.6830544851053286</v>
      </c>
    </row>
    <row r="82" spans="1:52" x14ac:dyDescent="0.35">
      <c r="A82" s="2">
        <v>38930</v>
      </c>
      <c r="B82">
        <v>83.903030000000001</v>
      </c>
      <c r="C82">
        <v>4.2681320068901615E-2</v>
      </c>
      <c r="D82">
        <f t="shared" si="60"/>
        <v>3.5810920781806543</v>
      </c>
      <c r="E82">
        <f t="shared" si="40"/>
        <v>3.2125498975907663</v>
      </c>
      <c r="F82">
        <f t="shared" si="32"/>
        <v>0.66477951414689596</v>
      </c>
      <c r="G82">
        <f t="shared" si="53"/>
        <v>0.4332216106072373</v>
      </c>
      <c r="I82">
        <v>95.741969999999995</v>
      </c>
      <c r="J82">
        <v>7.7798489952434449E-2</v>
      </c>
      <c r="K82">
        <f t="shared" si="33"/>
        <v>7.44858069107128</v>
      </c>
      <c r="L82">
        <f t="shared" si="41"/>
        <v>3.1073508083809598</v>
      </c>
      <c r="M82">
        <f t="shared" si="34"/>
        <v>0.55958042493708948</v>
      </c>
      <c r="N82">
        <f t="shared" si="54"/>
        <v>0.12793834542939031</v>
      </c>
      <c r="P82">
        <v>68.155720000000002</v>
      </c>
      <c r="Q82">
        <v>0.10860391769963755</v>
      </c>
      <c r="R82">
        <f t="shared" si="35"/>
        <v>7.4019782056395416</v>
      </c>
      <c r="S82">
        <f t="shared" si="42"/>
        <v>2.8391017731956625</v>
      </c>
      <c r="T82">
        <f t="shared" si="43"/>
        <v>0.29133138975179218</v>
      </c>
      <c r="U82">
        <f t="shared" si="55"/>
        <v>0.19814277053995522</v>
      </c>
      <c r="W82">
        <v>146.3904</v>
      </c>
      <c r="X82">
        <v>7.5380907599609137E-2</v>
      </c>
      <c r="Y82">
        <f t="shared" si="36"/>
        <v>11.035041215869821</v>
      </c>
      <c r="Z82">
        <f t="shared" si="44"/>
        <v>2.5746956015412437</v>
      </c>
      <c r="AA82">
        <f t="shared" si="45"/>
        <v>2.692521809737336E-2</v>
      </c>
      <c r="AB82">
        <f t="shared" si="56"/>
        <v>0.66970892930318104</v>
      </c>
      <c r="AD82">
        <v>103.2547</v>
      </c>
      <c r="AE82">
        <v>0.14299861976460571</v>
      </c>
      <c r="AF82">
        <f t="shared" si="37"/>
        <v>14.765279584208432</v>
      </c>
      <c r="AG82">
        <f t="shared" si="46"/>
        <v>3.4787729349132546</v>
      </c>
      <c r="AH82">
        <f t="shared" si="47"/>
        <v>0.93100255146938427</v>
      </c>
      <c r="AI82">
        <f t="shared" si="57"/>
        <v>0.93100255146938427</v>
      </c>
      <c r="AK82">
        <v>89.127459999999999</v>
      </c>
      <c r="AL82">
        <v>7.62265405428902E-2</v>
      </c>
      <c r="AM82">
        <f t="shared" si="38"/>
        <v>6.7938779431748246</v>
      </c>
      <c r="AN82">
        <f t="shared" si="48"/>
        <v>0.75594548239201753</v>
      </c>
      <c r="AO82">
        <f t="shared" si="49"/>
        <v>1.7918249010518528</v>
      </c>
      <c r="AP82">
        <f t="shared" si="58"/>
        <v>0.10877041594652415</v>
      </c>
      <c r="AR82">
        <v>77.68768</v>
      </c>
      <c r="AS82">
        <v>0.47631020437192134</v>
      </c>
      <c r="AT82">
        <f t="shared" si="39"/>
        <v>37.003434737980427</v>
      </c>
      <c r="AU82">
        <f t="shared" si="50"/>
        <v>2.2731003708349906</v>
      </c>
      <c r="AV82">
        <f t="shared" si="51"/>
        <v>0.27467001260887969</v>
      </c>
      <c r="AW82">
        <f t="shared" si="59"/>
        <v>0.27467001260887969</v>
      </c>
      <c r="AY82" s="4">
        <f t="shared" si="31"/>
        <v>88.029284456124998</v>
      </c>
      <c r="AZ82">
        <f t="shared" si="52"/>
        <v>2.5477703834438703</v>
      </c>
    </row>
    <row r="83" spans="1:52" x14ac:dyDescent="0.35">
      <c r="A83" s="2">
        <v>38961</v>
      </c>
      <c r="B83">
        <v>82.20487</v>
      </c>
      <c r="C83">
        <v>4.2681320068901615E-2</v>
      </c>
      <c r="D83">
        <f t="shared" si="60"/>
        <v>3.5086123676924483</v>
      </c>
      <c r="E83">
        <f t="shared" si="40"/>
        <v>-2.023955511499409</v>
      </c>
      <c r="F83">
        <f t="shared" si="32"/>
        <v>3.077832040316375</v>
      </c>
      <c r="G83">
        <f t="shared" si="53"/>
        <v>2.4130525261694791</v>
      </c>
      <c r="I83">
        <v>97.521850000000001</v>
      </c>
      <c r="J83">
        <v>7.7798489952434449E-2</v>
      </c>
      <c r="K83">
        <f t="shared" si="33"/>
        <v>7.5870526673678196</v>
      </c>
      <c r="L83">
        <f t="shared" si="41"/>
        <v>1.8590384133520654</v>
      </c>
      <c r="M83">
        <f t="shared" si="34"/>
        <v>0.8051618845350994</v>
      </c>
      <c r="N83">
        <f t="shared" si="54"/>
        <v>0.24558145959800992</v>
      </c>
      <c r="P83">
        <v>69.948639999999997</v>
      </c>
      <c r="Q83">
        <v>0.10860391769963755</v>
      </c>
      <c r="R83">
        <f t="shared" si="35"/>
        <v>7.5966963417615752</v>
      </c>
      <c r="S83">
        <f t="shared" si="42"/>
        <v>2.6306229323085351</v>
      </c>
      <c r="T83">
        <f t="shared" si="43"/>
        <v>1.576746403491569</v>
      </c>
      <c r="U83">
        <f t="shared" si="55"/>
        <v>1.2854150137397768</v>
      </c>
      <c r="W83">
        <v>149.90969999999999</v>
      </c>
      <c r="X83">
        <v>7.5380907599609137E-2</v>
      </c>
      <c r="Y83">
        <f t="shared" si="36"/>
        <v>11.300329243985125</v>
      </c>
      <c r="Z83">
        <f t="shared" si="44"/>
        <v>2.4040510853170716</v>
      </c>
      <c r="AA83">
        <f t="shared" si="45"/>
        <v>1.3501745565001055</v>
      </c>
      <c r="AB83">
        <f t="shared" si="56"/>
        <v>0.41917200503072127</v>
      </c>
      <c r="AD83">
        <v>103.0801</v>
      </c>
      <c r="AE83">
        <v>0.14299861976460571</v>
      </c>
      <c r="AF83">
        <f t="shared" si="37"/>
        <v>14.740312025197532</v>
      </c>
      <c r="AG83">
        <f t="shared" si="46"/>
        <v>-0.16909641885550775</v>
      </c>
      <c r="AH83">
        <f t="shared" si="47"/>
        <v>1.2229729476724738</v>
      </c>
      <c r="AI83">
        <f t="shared" si="57"/>
        <v>1.2229729476724738</v>
      </c>
      <c r="AK83">
        <v>89.405410000000003</v>
      </c>
      <c r="AL83">
        <v>7.62265405428902E-2</v>
      </c>
      <c r="AM83">
        <f t="shared" si="38"/>
        <v>6.815065110118721</v>
      </c>
      <c r="AN83">
        <f t="shared" si="48"/>
        <v>0.31185674987259659</v>
      </c>
      <c r="AO83">
        <f t="shared" si="49"/>
        <v>0.74201977894436943</v>
      </c>
      <c r="AP83">
        <f t="shared" si="58"/>
        <v>1.8057506044995009</v>
      </c>
      <c r="AR83">
        <v>78.539019999999994</v>
      </c>
      <c r="AS83">
        <v>0.47631020437192134</v>
      </c>
      <c r="AT83">
        <f t="shared" si="39"/>
        <v>37.408936667370412</v>
      </c>
      <c r="AU83">
        <f t="shared" si="50"/>
        <v>1.0958494319819989</v>
      </c>
      <c r="AV83">
        <f t="shared" si="51"/>
        <v>4.1972903165032882E-2</v>
      </c>
      <c r="AW83">
        <f t="shared" si="59"/>
        <v>4.1972903165032882E-2</v>
      </c>
      <c r="AY83" s="4">
        <f t="shared" si="31"/>
        <v>88.957004423493629</v>
      </c>
      <c r="AZ83">
        <f t="shared" si="52"/>
        <v>1.053876528816966</v>
      </c>
    </row>
    <row r="84" spans="1:52" x14ac:dyDescent="0.35">
      <c r="A84" s="2">
        <v>38991</v>
      </c>
      <c r="B84">
        <v>83.391139999999993</v>
      </c>
      <c r="C84">
        <v>4.2681320068901615E-2</v>
      </c>
      <c r="D84">
        <f t="shared" si="60"/>
        <v>3.5592439372505837</v>
      </c>
      <c r="E84">
        <f t="shared" si="40"/>
        <v>1.44306535610359</v>
      </c>
      <c r="F84">
        <f t="shared" si="32"/>
        <v>1.6739870700526627</v>
      </c>
      <c r="G84">
        <f t="shared" si="53"/>
        <v>1.4038449702637124</v>
      </c>
      <c r="I84">
        <v>101.0671</v>
      </c>
      <c r="J84">
        <v>7.7798489952434449E-2</v>
      </c>
      <c r="K84">
        <f t="shared" si="33"/>
        <v>7.8628677638716873</v>
      </c>
      <c r="L84">
        <f t="shared" si="41"/>
        <v>3.6353391573272997</v>
      </c>
      <c r="M84">
        <f t="shared" si="34"/>
        <v>0.51828673117104707</v>
      </c>
      <c r="N84">
        <f t="shared" si="54"/>
        <v>0.28687515336405234</v>
      </c>
      <c r="P84">
        <v>73.069850000000002</v>
      </c>
      <c r="Q84">
        <v>0.10860391769963755</v>
      </c>
      <c r="R84">
        <f t="shared" si="35"/>
        <v>7.935671975724861</v>
      </c>
      <c r="S84">
        <f t="shared" si="42"/>
        <v>4.4621453683731493</v>
      </c>
      <c r="T84">
        <f t="shared" si="43"/>
        <v>1.3450929422168967</v>
      </c>
      <c r="U84">
        <f t="shared" si="55"/>
        <v>0.23165346127467235</v>
      </c>
      <c r="W84">
        <v>154.5951</v>
      </c>
      <c r="X84">
        <v>7.5380907599609137E-2</v>
      </c>
      <c r="Y84">
        <f t="shared" si="36"/>
        <v>11.653518948452335</v>
      </c>
      <c r="Z84">
        <f t="shared" si="44"/>
        <v>3.1254815398870317</v>
      </c>
      <c r="AA84">
        <f t="shared" si="45"/>
        <v>8.4291137307790365E-3</v>
      </c>
      <c r="AB84">
        <f t="shared" si="56"/>
        <v>1.2145438339416947</v>
      </c>
      <c r="AD84">
        <v>105.41419999999999</v>
      </c>
      <c r="AE84">
        <v>0.14299861976460571</v>
      </c>
      <c r="AF84">
        <f t="shared" si="37"/>
        <v>15.074085103590098</v>
      </c>
      <c r="AG84">
        <f t="shared" si="46"/>
        <v>2.2643555836674434</v>
      </c>
      <c r="AH84">
        <f t="shared" si="47"/>
        <v>0.85269684248880928</v>
      </c>
      <c r="AI84">
        <f t="shared" si="57"/>
        <v>0.85269684248880928</v>
      </c>
      <c r="AK84">
        <v>92.518020000000007</v>
      </c>
      <c r="AL84">
        <v>7.62265405428902E-2</v>
      </c>
      <c r="AM84">
        <f t="shared" si="38"/>
        <v>7.0523286024779273</v>
      </c>
      <c r="AN84">
        <f t="shared" si="48"/>
        <v>3.4814559879541962</v>
      </c>
      <c r="AO84">
        <f t="shared" si="49"/>
        <v>0.36440356179794353</v>
      </c>
      <c r="AP84">
        <f t="shared" si="58"/>
        <v>0.6894729670190225</v>
      </c>
      <c r="AR84">
        <v>81.023089999999996</v>
      </c>
      <c r="AS84">
        <v>0.47631020437192134</v>
      </c>
      <c r="AT84">
        <f t="shared" si="39"/>
        <v>38.592124556744572</v>
      </c>
      <c r="AU84">
        <f t="shared" si="50"/>
        <v>3.1628482249969503</v>
      </c>
      <c r="AV84">
        <f t="shared" si="51"/>
        <v>4.5795798840697621E-2</v>
      </c>
      <c r="AW84">
        <f t="shared" si="59"/>
        <v>4.5795798840697621E-2</v>
      </c>
      <c r="AY84" s="4">
        <f t="shared" si="31"/>
        <v>91.729840888112065</v>
      </c>
      <c r="AZ84">
        <f t="shared" si="52"/>
        <v>3.1170524261562527</v>
      </c>
    </row>
    <row r="85" spans="1:52" x14ac:dyDescent="0.35">
      <c r="A85" s="2">
        <v>39022</v>
      </c>
      <c r="B85">
        <v>86.632630000000006</v>
      </c>
      <c r="C85">
        <v>4.2681320068901615E-2</v>
      </c>
      <c r="D85">
        <f t="shared" si="60"/>
        <v>3.6975950094407284</v>
      </c>
      <c r="E85">
        <f t="shared" si="40"/>
        <v>3.8870916022973434</v>
      </c>
      <c r="F85">
        <f t="shared" si="32"/>
        <v>2.2890655764921108</v>
      </c>
      <c r="G85">
        <f t="shared" si="53"/>
        <v>0.61507850643944817</v>
      </c>
      <c r="I85">
        <v>103.09480000000001</v>
      </c>
      <c r="J85">
        <v>7.7798489952434449E-2</v>
      </c>
      <c r="K85">
        <f t="shared" si="33"/>
        <v>8.0206197619482396</v>
      </c>
      <c r="L85">
        <f t="shared" si="41"/>
        <v>2.006290870124916</v>
      </c>
      <c r="M85">
        <f t="shared" si="34"/>
        <v>0.40826484431968346</v>
      </c>
      <c r="N85">
        <f t="shared" si="54"/>
        <v>0.1100218868513636</v>
      </c>
      <c r="P85">
        <v>75.398700000000005</v>
      </c>
      <c r="Q85">
        <v>0.10860391769963755</v>
      </c>
      <c r="R85">
        <f t="shared" si="35"/>
        <v>8.1885942094596622</v>
      </c>
      <c r="S85">
        <f t="shared" si="42"/>
        <v>3.1871558515584875</v>
      </c>
      <c r="T85">
        <f t="shared" si="43"/>
        <v>1.5891298257532549</v>
      </c>
      <c r="U85">
        <f t="shared" si="55"/>
        <v>0.24403688353635822</v>
      </c>
      <c r="W85">
        <v>160.01130000000001</v>
      </c>
      <c r="X85">
        <v>7.5380907599609137E-2</v>
      </c>
      <c r="Y85">
        <f t="shared" si="36"/>
        <v>12.061797020193337</v>
      </c>
      <c r="Z85">
        <f t="shared" si="44"/>
        <v>3.5034745603191864</v>
      </c>
      <c r="AA85">
        <f t="shared" si="45"/>
        <v>1.9054485345139538</v>
      </c>
      <c r="AB85">
        <f t="shared" si="56"/>
        <v>1.0527516920251445</v>
      </c>
      <c r="AD85">
        <v>101.8985</v>
      </c>
      <c r="AE85">
        <v>0.14299861976460571</v>
      </c>
      <c r="AF85">
        <f t="shared" si="37"/>
        <v>14.571344856083675</v>
      </c>
      <c r="AG85">
        <f t="shared" si="46"/>
        <v>-3.3351294227912276</v>
      </c>
      <c r="AH85">
        <f t="shared" si="47"/>
        <v>4.9331554485964606</v>
      </c>
      <c r="AI85">
        <f t="shared" si="57"/>
        <v>4.9331554485964606</v>
      </c>
      <c r="AK85">
        <v>93.524569999999997</v>
      </c>
      <c r="AL85">
        <v>7.62265405428902E-2</v>
      </c>
      <c r="AM85">
        <f t="shared" si="38"/>
        <v>7.129054426861372</v>
      </c>
      <c r="AN85">
        <f t="shared" si="48"/>
        <v>1.0879502176981193</v>
      </c>
      <c r="AO85">
        <f t="shared" si="49"/>
        <v>0.51007580810711328</v>
      </c>
      <c r="AP85">
        <f t="shared" si="58"/>
        <v>2.6069766180491394</v>
      </c>
      <c r="AR85">
        <v>82.985209999999995</v>
      </c>
      <c r="AS85">
        <v>0.47631020437192134</v>
      </c>
      <c r="AT85">
        <f t="shared" si="39"/>
        <v>39.526702334946805</v>
      </c>
      <c r="AU85">
        <f t="shared" si="50"/>
        <v>2.4216800420719498</v>
      </c>
      <c r="AV85">
        <f t="shared" si="51"/>
        <v>0.82365401626671719</v>
      </c>
      <c r="AW85">
        <f t="shared" si="59"/>
        <v>0.82365401626671719</v>
      </c>
      <c r="AY85" s="4">
        <f t="shared" si="31"/>
        <v>93.195707618933824</v>
      </c>
      <c r="AZ85">
        <f t="shared" si="52"/>
        <v>1.5980260258052326</v>
      </c>
    </row>
    <row r="86" spans="1:52" x14ac:dyDescent="0.35">
      <c r="A86" s="2">
        <v>39052</v>
      </c>
      <c r="B86">
        <v>89.549199999999999</v>
      </c>
      <c r="C86">
        <v>4.2681320068901615E-2</v>
      </c>
      <c r="D86">
        <f t="shared" si="60"/>
        <v>3.8220780671140844</v>
      </c>
      <c r="E86">
        <f t="shared" si="40"/>
        <v>3.3665952424623224</v>
      </c>
      <c r="F86">
        <f t="shared" si="32"/>
        <v>1.0308182036990132</v>
      </c>
      <c r="G86">
        <f t="shared" si="53"/>
        <v>1.2582473727930976</v>
      </c>
      <c r="I86">
        <v>104.0213</v>
      </c>
      <c r="J86">
        <v>7.7798489952434449E-2</v>
      </c>
      <c r="K86">
        <f t="shared" si="33"/>
        <v>8.0927000628891701</v>
      </c>
      <c r="L86">
        <f t="shared" si="41"/>
        <v>0.89868742167402704</v>
      </c>
      <c r="M86">
        <f t="shared" si="34"/>
        <v>1.4370896170892822</v>
      </c>
      <c r="N86">
        <f t="shared" si="54"/>
        <v>1.0288247727695987</v>
      </c>
      <c r="P86">
        <v>77.114500000000007</v>
      </c>
      <c r="Q86">
        <v>0.10860391769963755</v>
      </c>
      <c r="R86">
        <f t="shared" si="35"/>
        <v>8.3749368114487002</v>
      </c>
      <c r="S86">
        <f t="shared" si="42"/>
        <v>2.2756360520804764</v>
      </c>
      <c r="T86">
        <f t="shared" si="43"/>
        <v>6.0140986682832853E-2</v>
      </c>
      <c r="U86">
        <f t="shared" si="55"/>
        <v>1.528988839070422</v>
      </c>
      <c r="W86">
        <v>162.2193</v>
      </c>
      <c r="X86">
        <v>7.5380907599609137E-2</v>
      </c>
      <c r="Y86">
        <f t="shared" si="36"/>
        <v>12.228238064173274</v>
      </c>
      <c r="Z86">
        <f t="shared" si="44"/>
        <v>1.379902544382805</v>
      </c>
      <c r="AA86">
        <f t="shared" si="45"/>
        <v>0.9558744943805042</v>
      </c>
      <c r="AB86">
        <f t="shared" si="56"/>
        <v>3.9772809542159564</v>
      </c>
      <c r="AD86">
        <v>106.13039999999999</v>
      </c>
      <c r="AE86">
        <v>0.14299861976460571</v>
      </c>
      <c r="AF86">
        <f t="shared" si="37"/>
        <v>15.176500715065508</v>
      </c>
      <c r="AG86">
        <f t="shared" si="46"/>
        <v>4.1530542647830959</v>
      </c>
      <c r="AH86">
        <f t="shared" si="47"/>
        <v>1.8172772260197867</v>
      </c>
      <c r="AI86">
        <f t="shared" si="57"/>
        <v>1.8172772260197867</v>
      </c>
      <c r="AK86">
        <v>93.609030000000004</v>
      </c>
      <c r="AL86">
        <v>7.62265405428902E-2</v>
      </c>
      <c r="AM86">
        <f t="shared" si="38"/>
        <v>7.1354925204756254</v>
      </c>
      <c r="AN86">
        <f t="shared" si="48"/>
        <v>9.0307819645696341E-2</v>
      </c>
      <c r="AO86">
        <f t="shared" si="49"/>
        <v>2.2454692191176129</v>
      </c>
      <c r="AP86">
        <f t="shared" si="58"/>
        <v>0.64744319331238032</v>
      </c>
      <c r="AR86">
        <v>85.118070000000003</v>
      </c>
      <c r="AS86">
        <v>0.47631020437192134</v>
      </c>
      <c r="AT86">
        <f t="shared" si="39"/>
        <v>40.54260531744351</v>
      </c>
      <c r="AU86">
        <f t="shared" si="50"/>
        <v>2.5701688288792823</v>
      </c>
      <c r="AV86">
        <f t="shared" si="51"/>
        <v>0.23439179011597311</v>
      </c>
      <c r="AW86">
        <f t="shared" si="59"/>
        <v>0.23439179011597311</v>
      </c>
      <c r="AY86" s="4">
        <f t="shared" si="31"/>
        <v>95.372551558609871</v>
      </c>
      <c r="AZ86">
        <f t="shared" si="52"/>
        <v>2.3357770387633092</v>
      </c>
    </row>
    <row r="87" spans="1:52" x14ac:dyDescent="0.35">
      <c r="A87" s="2">
        <v>39083</v>
      </c>
      <c r="B87">
        <v>88.94408</v>
      </c>
      <c r="C87">
        <v>0.3320845616248066</v>
      </c>
      <c r="D87">
        <f t="shared" si="60"/>
        <v>29.536955815921729</v>
      </c>
      <c r="E87">
        <f t="shared" si="40"/>
        <v>-0.67574026345293969</v>
      </c>
      <c r="F87">
        <f t="shared" si="32"/>
        <v>0.23938750309192569</v>
      </c>
      <c r="G87">
        <f t="shared" si="53"/>
        <v>0.79143070060708753</v>
      </c>
      <c r="I87">
        <v>106.8663</v>
      </c>
      <c r="J87">
        <v>5.446153948948014E-2</v>
      </c>
      <c r="K87">
        <f t="shared" si="33"/>
        <v>5.8201032175446317</v>
      </c>
      <c r="L87">
        <f t="shared" si="41"/>
        <v>2.7350167706037043</v>
      </c>
      <c r="M87">
        <f t="shared" si="34"/>
        <v>3.6501445371485697</v>
      </c>
      <c r="N87">
        <f t="shared" si="54"/>
        <v>2.2130549200592875</v>
      </c>
      <c r="P87">
        <v>79.736400000000003</v>
      </c>
      <c r="Q87">
        <v>7.6435889041439997E-2</v>
      </c>
      <c r="R87">
        <f t="shared" si="35"/>
        <v>6.094722622963876</v>
      </c>
      <c r="S87">
        <f t="shared" si="42"/>
        <v>3.4000090774108482</v>
      </c>
      <c r="T87">
        <f t="shared" si="43"/>
        <v>4.3151368439557132</v>
      </c>
      <c r="U87">
        <f t="shared" si="55"/>
        <v>4.2549958572728803</v>
      </c>
      <c r="W87">
        <v>166.2996</v>
      </c>
      <c r="X87">
        <v>5.2286067710557653E-2</v>
      </c>
      <c r="Y87">
        <f t="shared" si="36"/>
        <v>8.6951521458386534</v>
      </c>
      <c r="Z87">
        <f t="shared" si="44"/>
        <v>2.5152987344909006</v>
      </c>
      <c r="AA87">
        <f t="shared" si="45"/>
        <v>3.430426501035766</v>
      </c>
      <c r="AB87">
        <f t="shared" si="56"/>
        <v>1.6131492750159793</v>
      </c>
      <c r="AD87">
        <v>109.80540000000001</v>
      </c>
      <c r="AE87">
        <v>9.9184357220568231E-2</v>
      </c>
      <c r="AF87">
        <f t="shared" si="37"/>
        <v>10.890978018347383</v>
      </c>
      <c r="AG87">
        <f t="shared" si="46"/>
        <v>3.4627213314941008</v>
      </c>
      <c r="AH87">
        <f t="shared" si="47"/>
        <v>4.3778490980389666</v>
      </c>
      <c r="AI87">
        <f t="shared" si="57"/>
        <v>4.3778490980389666</v>
      </c>
      <c r="AK87">
        <v>94.575249999999997</v>
      </c>
      <c r="AL87">
        <v>5.3463023288340766E-2</v>
      </c>
      <c r="AM87">
        <f t="shared" si="38"/>
        <v>5.0562787932506499</v>
      </c>
      <c r="AN87">
        <f t="shared" si="48"/>
        <v>1.0321867452317335</v>
      </c>
      <c r="AO87">
        <f t="shared" si="49"/>
        <v>1.9473145117765989</v>
      </c>
      <c r="AP87">
        <f t="shared" si="58"/>
        <v>0.38846252698671035</v>
      </c>
      <c r="AR87">
        <v>85.537189999999995</v>
      </c>
      <c r="AS87">
        <v>0.3320845616248066</v>
      </c>
      <c r="AT87">
        <f t="shared" si="39"/>
        <v>28.40558024376779</v>
      </c>
      <c r="AU87">
        <f t="shared" si="50"/>
        <v>0.49239838262309377</v>
      </c>
      <c r="AV87">
        <f t="shared" si="51"/>
        <v>1.4075261491679592</v>
      </c>
      <c r="AW87">
        <f t="shared" si="59"/>
        <v>1.4075261491679592</v>
      </c>
      <c r="AY87" s="4">
        <f t="shared" si="31"/>
        <v>94.499770857634715</v>
      </c>
      <c r="AZ87">
        <f t="shared" si="52"/>
        <v>-0.91512776654486538</v>
      </c>
    </row>
    <row r="88" spans="1:52" x14ac:dyDescent="0.35">
      <c r="A88" s="2">
        <v>39114</v>
      </c>
      <c r="B88">
        <v>92.100059999999999</v>
      </c>
      <c r="C88">
        <v>0.3320845616248066</v>
      </c>
      <c r="D88">
        <f t="shared" si="60"/>
        <v>30.585008050718386</v>
      </c>
      <c r="E88">
        <f t="shared" si="40"/>
        <v>3.5482743764396751</v>
      </c>
      <c r="F88">
        <f t="shared" si="32"/>
        <v>0.65378703996710197</v>
      </c>
      <c r="G88">
        <f t="shared" si="53"/>
        <v>0.41439953687517628</v>
      </c>
      <c r="I88">
        <v>109.1066</v>
      </c>
      <c r="J88">
        <v>5.446153948948014E-2</v>
      </c>
      <c r="K88">
        <f t="shared" si="33"/>
        <v>5.9421134044629138</v>
      </c>
      <c r="L88">
        <f t="shared" si="41"/>
        <v>2.0963577853823079</v>
      </c>
      <c r="M88">
        <f t="shared" si="34"/>
        <v>0.79812955109026529</v>
      </c>
      <c r="N88">
        <f t="shared" si="54"/>
        <v>2.8520149860583044</v>
      </c>
      <c r="P88">
        <v>82.633970000000005</v>
      </c>
      <c r="Q88">
        <v>7.6435889041439997E-2</v>
      </c>
      <c r="R88">
        <f t="shared" si="35"/>
        <v>6.3162009619736823</v>
      </c>
      <c r="S88">
        <f t="shared" si="42"/>
        <v>3.6339363201749686</v>
      </c>
      <c r="T88">
        <f t="shared" si="43"/>
        <v>0.73944898370239542</v>
      </c>
      <c r="U88">
        <f t="shared" si="55"/>
        <v>3.5756878602533178</v>
      </c>
      <c r="W88">
        <v>169.65389999999999</v>
      </c>
      <c r="X88">
        <v>5.2286067710557653E-2</v>
      </c>
      <c r="Y88">
        <f t="shared" si="36"/>
        <v>8.8705353027601763</v>
      </c>
      <c r="Z88">
        <f t="shared" si="44"/>
        <v>2.017022289891246</v>
      </c>
      <c r="AA88">
        <f t="shared" si="45"/>
        <v>0.87746504658132718</v>
      </c>
      <c r="AB88">
        <f t="shared" si="56"/>
        <v>3.5003840514576394</v>
      </c>
      <c r="AD88">
        <v>113.74209999999999</v>
      </c>
      <c r="AE88">
        <v>9.9184357220568231E-2</v>
      </c>
      <c r="AF88">
        <f t="shared" si="37"/>
        <v>11.281437077417593</v>
      </c>
      <c r="AG88">
        <f t="shared" si="46"/>
        <v>3.5851606569440087</v>
      </c>
      <c r="AH88">
        <f t="shared" si="47"/>
        <v>0.69067332047143548</v>
      </c>
      <c r="AI88">
        <f t="shared" si="57"/>
        <v>0.69067332047143548</v>
      </c>
      <c r="AK88">
        <v>96.480549999999994</v>
      </c>
      <c r="AL88">
        <v>5.3463023288340766E-2</v>
      </c>
      <c r="AM88">
        <f t="shared" si="38"/>
        <v>5.1581418915219253</v>
      </c>
      <c r="AN88">
        <f t="shared" si="48"/>
        <v>2.0145862686062221</v>
      </c>
      <c r="AO88">
        <f t="shared" si="49"/>
        <v>0.87990106786635103</v>
      </c>
      <c r="AP88">
        <f t="shared" si="58"/>
        <v>1.7950288344112164</v>
      </c>
      <c r="AR88">
        <v>87.572929999999999</v>
      </c>
      <c r="AS88">
        <v>0.3320845616248066</v>
      </c>
      <c r="AT88">
        <f t="shared" si="39"/>
        <v>29.081618069249874</v>
      </c>
      <c r="AU88">
        <f t="shared" si="50"/>
        <v>2.3799472486762729</v>
      </c>
      <c r="AV88">
        <f t="shared" si="51"/>
        <v>0.51454008779630023</v>
      </c>
      <c r="AW88">
        <f t="shared" si="59"/>
        <v>0.51454008779630023</v>
      </c>
      <c r="AY88" s="4">
        <f t="shared" si="31"/>
        <v>97.235054758104553</v>
      </c>
      <c r="AZ88">
        <f t="shared" si="52"/>
        <v>2.8944873364725732</v>
      </c>
    </row>
    <row r="89" spans="1:52" x14ac:dyDescent="0.35">
      <c r="A89" s="2">
        <v>39142</v>
      </c>
      <c r="B89">
        <v>90.84308</v>
      </c>
      <c r="C89">
        <v>0.3320845616248066</v>
      </c>
      <c r="D89">
        <f t="shared" si="60"/>
        <v>30.167584398447236</v>
      </c>
      <c r="E89">
        <f t="shared" si="40"/>
        <v>-1.3647982422595573</v>
      </c>
      <c r="F89">
        <f t="shared" si="32"/>
        <v>0.97507764293184307</v>
      </c>
      <c r="G89">
        <f t="shared" si="53"/>
        <v>0.3212906029647411</v>
      </c>
      <c r="I89">
        <v>105.7482</v>
      </c>
      <c r="J89">
        <v>5.446153948948014E-2</v>
      </c>
      <c r="K89">
        <f t="shared" si="33"/>
        <v>5.7592097702414433</v>
      </c>
      <c r="L89">
        <f t="shared" si="41"/>
        <v>-3.0780906013018527</v>
      </c>
      <c r="M89">
        <f t="shared" si="34"/>
        <v>0.73821471611045242</v>
      </c>
      <c r="N89">
        <f t="shared" si="54"/>
        <v>5.991483497981287E-2</v>
      </c>
      <c r="P89">
        <v>80.484409999999997</v>
      </c>
      <c r="Q89">
        <v>7.6435889041439997E-2</v>
      </c>
      <c r="R89">
        <f t="shared" si="35"/>
        <v>6.1518974323257636</v>
      </c>
      <c r="S89">
        <f t="shared" si="42"/>
        <v>-2.6013030718480601</v>
      </c>
      <c r="T89">
        <f t="shared" si="43"/>
        <v>0.26142718665665976</v>
      </c>
      <c r="U89">
        <f t="shared" si="55"/>
        <v>0.47802179704573566</v>
      </c>
      <c r="W89">
        <v>163.3287</v>
      </c>
      <c r="X89">
        <v>5.2286067710557653E-2</v>
      </c>
      <c r="Y89">
        <f t="shared" si="36"/>
        <v>8.5398154672773572</v>
      </c>
      <c r="Z89">
        <f t="shared" si="44"/>
        <v>-3.7282962549048393</v>
      </c>
      <c r="AA89">
        <f t="shared" si="45"/>
        <v>1.388420369713439</v>
      </c>
      <c r="AB89">
        <f t="shared" si="56"/>
        <v>0.69774704924200348</v>
      </c>
      <c r="AD89">
        <v>110.3353</v>
      </c>
      <c r="AE89">
        <v>9.9184357220568231E-2</v>
      </c>
      <c r="AF89">
        <f t="shared" si="37"/>
        <v>10.943535809238563</v>
      </c>
      <c r="AG89">
        <f t="shared" si="46"/>
        <v>-2.995197029068386</v>
      </c>
      <c r="AH89">
        <f t="shared" si="47"/>
        <v>0.6553211438769857</v>
      </c>
      <c r="AI89">
        <f t="shared" si="57"/>
        <v>0.6553211438769857</v>
      </c>
      <c r="AK89">
        <v>94.100179999999995</v>
      </c>
      <c r="AL89">
        <v>5.3463023288340766E-2</v>
      </c>
      <c r="AM89">
        <f t="shared" si="38"/>
        <v>5.0308801147770579</v>
      </c>
      <c r="AN89">
        <f t="shared" si="48"/>
        <v>-2.4672019386290822</v>
      </c>
      <c r="AO89">
        <f t="shared" si="49"/>
        <v>0.12732605343768189</v>
      </c>
      <c r="AP89">
        <f t="shared" si="58"/>
        <v>2.7671612830348913</v>
      </c>
      <c r="AR89">
        <v>85.420869999999994</v>
      </c>
      <c r="AS89">
        <v>0.3320845616248066</v>
      </c>
      <c r="AT89">
        <f t="shared" si="39"/>
        <v>28.366952167559592</v>
      </c>
      <c r="AU89">
        <f t="shared" si="50"/>
        <v>-2.4574488943101547</v>
      </c>
      <c r="AV89">
        <f t="shared" si="51"/>
        <v>0.11757300911875435</v>
      </c>
      <c r="AW89">
        <f t="shared" si="59"/>
        <v>0.11757300911875435</v>
      </c>
      <c r="AY89" s="4">
        <f t="shared" si="31"/>
        <v>94.959875159867011</v>
      </c>
      <c r="AZ89">
        <f t="shared" si="52"/>
        <v>-2.3398758851914003</v>
      </c>
    </row>
    <row r="90" spans="1:52" x14ac:dyDescent="0.35">
      <c r="A90" s="2">
        <v>39173</v>
      </c>
      <c r="B90">
        <v>94.356059999999999</v>
      </c>
      <c r="C90">
        <v>0.3320845616248066</v>
      </c>
      <c r="D90">
        <f t="shared" si="60"/>
        <v>31.334190821743949</v>
      </c>
      <c r="E90">
        <f t="shared" si="40"/>
        <v>3.8670859684634129</v>
      </c>
      <c r="F90">
        <f t="shared" si="32"/>
        <v>0.32215265832911122</v>
      </c>
      <c r="G90">
        <f t="shared" si="53"/>
        <v>0.65292498460273185</v>
      </c>
      <c r="I90">
        <v>112.0622</v>
      </c>
      <c r="J90">
        <v>5.446153948948014E-2</v>
      </c>
      <c r="K90">
        <f t="shared" si="33"/>
        <v>6.1030799305780219</v>
      </c>
      <c r="L90">
        <f t="shared" si="41"/>
        <v>5.9707872096168124</v>
      </c>
      <c r="M90">
        <f t="shared" si="34"/>
        <v>1.7815485828242883</v>
      </c>
      <c r="N90">
        <f t="shared" si="54"/>
        <v>1.0433338667138359</v>
      </c>
      <c r="P90">
        <v>86.424149999999997</v>
      </c>
      <c r="Q90">
        <v>7.6435889041439997E-2</v>
      </c>
      <c r="R90">
        <f t="shared" si="35"/>
        <v>6.6059067399007665</v>
      </c>
      <c r="S90">
        <f t="shared" si="42"/>
        <v>7.3799882486558666</v>
      </c>
      <c r="T90">
        <f t="shared" si="43"/>
        <v>3.1907496218633424</v>
      </c>
      <c r="U90">
        <f t="shared" si="55"/>
        <v>2.9293224352066827</v>
      </c>
      <c r="W90">
        <v>172.52879999999999</v>
      </c>
      <c r="X90">
        <v>5.2286067710557653E-2</v>
      </c>
      <c r="Y90">
        <f t="shared" si="36"/>
        <v>9.0208525188212594</v>
      </c>
      <c r="Z90">
        <f t="shared" si="44"/>
        <v>5.6328740754074458</v>
      </c>
      <c r="AA90">
        <f t="shared" si="45"/>
        <v>1.4436354486149217</v>
      </c>
      <c r="AB90">
        <f t="shared" si="56"/>
        <v>0.78831430473793596</v>
      </c>
      <c r="AD90">
        <v>110.4867</v>
      </c>
      <c r="AE90">
        <v>9.9184357220568231E-2</v>
      </c>
      <c r="AF90">
        <f t="shared" si="37"/>
        <v>10.958552320921756</v>
      </c>
      <c r="AG90">
        <f t="shared" si="46"/>
        <v>0.13721809792512918</v>
      </c>
      <c r="AH90">
        <f t="shared" si="47"/>
        <v>4.0520205288673949</v>
      </c>
      <c r="AI90">
        <f t="shared" si="57"/>
        <v>4.0520205288673949</v>
      </c>
      <c r="AK90">
        <v>97.513630000000006</v>
      </c>
      <c r="AL90">
        <v>5.3463023288340766E-2</v>
      </c>
      <c r="AM90">
        <f t="shared" si="38"/>
        <v>5.2133734716206455</v>
      </c>
      <c r="AN90">
        <f t="shared" si="48"/>
        <v>3.6274638369448553</v>
      </c>
      <c r="AO90">
        <f t="shared" si="49"/>
        <v>0.56177478984766882</v>
      </c>
      <c r="AP90">
        <f t="shared" si="58"/>
        <v>2.9016506750390691</v>
      </c>
      <c r="AR90">
        <v>89.441119999999998</v>
      </c>
      <c r="AS90">
        <v>0.3320845616248066</v>
      </c>
      <c r="AT90">
        <f t="shared" si="39"/>
        <v>29.702015126431721</v>
      </c>
      <c r="AU90">
        <f t="shared" si="50"/>
        <v>4.7064025454201186</v>
      </c>
      <c r="AV90">
        <f t="shared" si="51"/>
        <v>0.51716391862759448</v>
      </c>
      <c r="AW90">
        <f t="shared" si="59"/>
        <v>0.51716391862759448</v>
      </c>
      <c r="AY90" s="4">
        <f t="shared" si="31"/>
        <v>98.93797093001811</v>
      </c>
      <c r="AZ90">
        <f t="shared" si="52"/>
        <v>4.1892386267925241</v>
      </c>
    </row>
    <row r="91" spans="1:52" x14ac:dyDescent="0.35">
      <c r="A91" s="2">
        <v>39203</v>
      </c>
      <c r="B91">
        <v>97.195300000000003</v>
      </c>
      <c r="C91">
        <v>0.3320845616248066</v>
      </c>
      <c r="D91">
        <f t="shared" si="60"/>
        <v>32.277058592491564</v>
      </c>
      <c r="E91">
        <f t="shared" si="40"/>
        <v>3.0090701116600282</v>
      </c>
      <c r="F91">
        <f t="shared" si="32"/>
        <v>0.4975738836932031</v>
      </c>
      <c r="G91">
        <f t="shared" si="53"/>
        <v>0.17542122536409188</v>
      </c>
      <c r="I91">
        <v>115.78</v>
      </c>
      <c r="J91">
        <v>5.446153948948014E-2</v>
      </c>
      <c r="K91">
        <f t="shared" si="33"/>
        <v>6.3055570420920111</v>
      </c>
      <c r="L91">
        <f t="shared" si="41"/>
        <v>3.3176218207388475</v>
      </c>
      <c r="M91">
        <f t="shared" si="34"/>
        <v>0.80612559277202234</v>
      </c>
      <c r="N91">
        <f t="shared" si="54"/>
        <v>0.97542299005226596</v>
      </c>
      <c r="P91">
        <v>89.088459999999998</v>
      </c>
      <c r="Q91">
        <v>7.6435889041439997E-2</v>
      </c>
      <c r="R91">
        <f t="shared" si="35"/>
        <v>6.8095556434327653</v>
      </c>
      <c r="S91">
        <f t="shared" si="42"/>
        <v>3.0828304357057634</v>
      </c>
      <c r="T91">
        <f t="shared" si="43"/>
        <v>0.57133420773893828</v>
      </c>
      <c r="U91">
        <f t="shared" si="55"/>
        <v>2.6194154141244042</v>
      </c>
      <c r="W91">
        <v>174.61779999999999</v>
      </c>
      <c r="X91">
        <v>5.2286067710557653E-2</v>
      </c>
      <c r="Y91">
        <f t="shared" si="36"/>
        <v>9.1300781142686134</v>
      </c>
      <c r="Z91">
        <f t="shared" si="44"/>
        <v>1.2108123397368997</v>
      </c>
      <c r="AA91">
        <f t="shared" si="45"/>
        <v>1.3006838882299254</v>
      </c>
      <c r="AB91">
        <f t="shared" si="56"/>
        <v>2.7513366406374695</v>
      </c>
      <c r="AD91">
        <v>111.0508</v>
      </c>
      <c r="AE91">
        <v>9.9184357220568231E-2</v>
      </c>
      <c r="AF91">
        <f t="shared" si="37"/>
        <v>11.014502216829879</v>
      </c>
      <c r="AG91">
        <f t="shared" si="46"/>
        <v>0.5105591894771111</v>
      </c>
      <c r="AH91">
        <f t="shared" si="47"/>
        <v>2.000937038489714</v>
      </c>
      <c r="AI91">
        <f t="shared" si="57"/>
        <v>2.000937038489714</v>
      </c>
      <c r="AK91">
        <v>99.643190000000004</v>
      </c>
      <c r="AL91">
        <v>5.3463023288340766E-2</v>
      </c>
      <c r="AM91">
        <f t="shared" si="38"/>
        <v>5.3272261874945643</v>
      </c>
      <c r="AN91">
        <f t="shared" si="48"/>
        <v>2.1838588103016976</v>
      </c>
      <c r="AO91">
        <f t="shared" si="49"/>
        <v>0.32763741766512755</v>
      </c>
      <c r="AP91">
        <f t="shared" si="58"/>
        <v>3.8616012091273966</v>
      </c>
      <c r="AR91">
        <v>92.021190000000004</v>
      </c>
      <c r="AS91">
        <v>0.3320845616248066</v>
      </c>
      <c r="AT91">
        <f t="shared" si="39"/>
        <v>30.558816541343038</v>
      </c>
      <c r="AU91">
        <f t="shared" si="50"/>
        <v>2.8846575266499475</v>
      </c>
      <c r="AV91">
        <f t="shared" si="51"/>
        <v>0.37316129868312231</v>
      </c>
      <c r="AW91">
        <f t="shared" si="59"/>
        <v>0.37316129868312231</v>
      </c>
      <c r="AY91" s="4">
        <f t="shared" si="31"/>
        <v>101.42279433795244</v>
      </c>
      <c r="AZ91">
        <f t="shared" si="52"/>
        <v>2.5114962279668251</v>
      </c>
    </row>
    <row r="92" spans="1:52" x14ac:dyDescent="0.35">
      <c r="A92" s="2">
        <v>39234</v>
      </c>
      <c r="B92">
        <v>97.181420000000003</v>
      </c>
      <c r="C92">
        <v>0.3320845616248066</v>
      </c>
      <c r="D92">
        <f t="shared" si="60"/>
        <v>32.272449258776213</v>
      </c>
      <c r="E92">
        <f t="shared" si="40"/>
        <v>-1.4280525910204123E-2</v>
      </c>
      <c r="F92">
        <f t="shared" si="32"/>
        <v>0.47803712758861527</v>
      </c>
      <c r="G92">
        <f t="shared" si="53"/>
        <v>1.9536756104587827E-2</v>
      </c>
      <c r="I92">
        <v>115.0771</v>
      </c>
      <c r="J92">
        <v>5.446153948948014E-2</v>
      </c>
      <c r="K92">
        <f t="shared" si="33"/>
        <v>6.267276025984855</v>
      </c>
      <c r="L92">
        <f t="shared" si="41"/>
        <v>-0.60709967179133351</v>
      </c>
      <c r="M92">
        <f t="shared" si="34"/>
        <v>1.0708562734697447</v>
      </c>
      <c r="N92">
        <f t="shared" si="54"/>
        <v>0.26473068069772232</v>
      </c>
      <c r="P92">
        <v>91.627459999999999</v>
      </c>
      <c r="Q92">
        <v>7.6435889041439997E-2</v>
      </c>
      <c r="R92">
        <f t="shared" si="35"/>
        <v>7.0036263657089819</v>
      </c>
      <c r="S92">
        <f t="shared" si="42"/>
        <v>2.8499763044506521</v>
      </c>
      <c r="T92">
        <f t="shared" si="43"/>
        <v>2.3862197027722409</v>
      </c>
      <c r="U92">
        <f t="shared" si="55"/>
        <v>1.8148854950333027</v>
      </c>
      <c r="W92">
        <v>170.45249999999999</v>
      </c>
      <c r="X92">
        <v>5.2286067710557653E-2</v>
      </c>
      <c r="Y92">
        <f t="shared" si="36"/>
        <v>8.9122909564338268</v>
      </c>
      <c r="Z92">
        <f t="shared" si="44"/>
        <v>-2.3853811008957893</v>
      </c>
      <c r="AA92">
        <f t="shared" si="45"/>
        <v>2.8491377025742004</v>
      </c>
      <c r="AB92">
        <f t="shared" si="56"/>
        <v>0.84820066408448636</v>
      </c>
      <c r="AD92">
        <v>113.9986</v>
      </c>
      <c r="AE92">
        <v>9.9184357220568231E-2</v>
      </c>
      <c r="AF92">
        <f t="shared" si="37"/>
        <v>11.306877865044669</v>
      </c>
      <c r="AG92">
        <f t="shared" si="46"/>
        <v>2.6544608413446857</v>
      </c>
      <c r="AH92">
        <f t="shared" si="47"/>
        <v>2.1907042396662746</v>
      </c>
      <c r="AI92">
        <f t="shared" si="57"/>
        <v>2.1907042396662746</v>
      </c>
      <c r="AK92">
        <v>100.04810000000001</v>
      </c>
      <c r="AL92">
        <v>5.3463023288340766E-2</v>
      </c>
      <c r="AM92">
        <f t="shared" si="38"/>
        <v>5.3488739002542465</v>
      </c>
      <c r="AN92">
        <f t="shared" si="48"/>
        <v>0.40635993287649885</v>
      </c>
      <c r="AO92">
        <f t="shared" si="49"/>
        <v>5.7396668801912298E-2</v>
      </c>
      <c r="AP92">
        <f t="shared" si="58"/>
        <v>2.4540995591649128</v>
      </c>
      <c r="AR92">
        <v>92.692520000000002</v>
      </c>
      <c r="AS92">
        <v>0.3320845616248066</v>
      </c>
      <c r="AT92">
        <f t="shared" si="39"/>
        <v>30.78175487009862</v>
      </c>
      <c r="AU92">
        <f t="shared" si="50"/>
        <v>0.72953848999344206</v>
      </c>
      <c r="AV92">
        <f t="shared" si="51"/>
        <v>0.26578188831503091</v>
      </c>
      <c r="AW92">
        <f t="shared" si="59"/>
        <v>0.26578188831503091</v>
      </c>
      <c r="AY92" s="4">
        <f t="shared" si="31"/>
        <v>101.8931492423014</v>
      </c>
      <c r="AZ92">
        <f t="shared" si="52"/>
        <v>0.46375660167841115</v>
      </c>
    </row>
    <row r="93" spans="1:52" x14ac:dyDescent="0.35">
      <c r="A93" s="2">
        <v>39264</v>
      </c>
      <c r="B93">
        <v>98.915419999999997</v>
      </c>
      <c r="C93">
        <v>0.3320845616248066</v>
      </c>
      <c r="D93">
        <f t="shared" si="60"/>
        <v>32.848283888633624</v>
      </c>
      <c r="E93">
        <f t="shared" si="40"/>
        <v>1.7842916886787519</v>
      </c>
      <c r="F93">
        <f t="shared" si="32"/>
        <v>1.1183492727955491</v>
      </c>
      <c r="G93">
        <f t="shared" si="53"/>
        <v>0.6403121452069338</v>
      </c>
      <c r="I93">
        <v>114.2116</v>
      </c>
      <c r="J93">
        <v>5.446153948948014E-2</v>
      </c>
      <c r="K93">
        <f t="shared" si="33"/>
        <v>6.2201395635567103</v>
      </c>
      <c r="L93">
        <f t="shared" si="41"/>
        <v>-0.75210445866292774</v>
      </c>
      <c r="M93">
        <f t="shared" si="34"/>
        <v>1.4180468745461305</v>
      </c>
      <c r="N93">
        <f t="shared" si="54"/>
        <v>0.34719060107638589</v>
      </c>
      <c r="P93">
        <v>92.034229999999994</v>
      </c>
      <c r="Q93">
        <v>7.6435889041439997E-2</v>
      </c>
      <c r="R93">
        <f t="shared" si="35"/>
        <v>7.0347181922943678</v>
      </c>
      <c r="S93">
        <f t="shared" si="42"/>
        <v>0.44393896764134411</v>
      </c>
      <c r="T93">
        <f t="shared" si="43"/>
        <v>0.22200344824185869</v>
      </c>
      <c r="U93">
        <f t="shared" si="55"/>
        <v>2.1642162545303822</v>
      </c>
      <c r="W93">
        <v>168.495</v>
      </c>
      <c r="X93">
        <v>5.2286067710557653E-2</v>
      </c>
      <c r="Y93">
        <f t="shared" si="36"/>
        <v>8.8099409788904115</v>
      </c>
      <c r="Z93">
        <f t="shared" si="44"/>
        <v>-1.1484137809653627</v>
      </c>
      <c r="AA93">
        <f t="shared" si="45"/>
        <v>1.8143561968485655</v>
      </c>
      <c r="AB93">
        <f t="shared" si="56"/>
        <v>0.37634804281770906</v>
      </c>
      <c r="AD93">
        <v>113.68210000000001</v>
      </c>
      <c r="AE93">
        <v>9.9184357220568231E-2</v>
      </c>
      <c r="AF93">
        <f t="shared" si="37"/>
        <v>11.27548601598436</v>
      </c>
      <c r="AG93">
        <f t="shared" si="46"/>
        <v>-0.27763498849985302</v>
      </c>
      <c r="AH93">
        <f t="shared" si="47"/>
        <v>0.94357740438305582</v>
      </c>
      <c r="AI93">
        <f t="shared" si="57"/>
        <v>0.94357740438305582</v>
      </c>
      <c r="AK93">
        <v>99.500950000000003</v>
      </c>
      <c r="AL93">
        <v>5.3463023288340766E-2</v>
      </c>
      <c r="AM93">
        <f t="shared" si="38"/>
        <v>5.3196216070620306</v>
      </c>
      <c r="AN93">
        <f t="shared" si="48"/>
        <v>-0.54688694737831112</v>
      </c>
      <c r="AO93">
        <f t="shared" si="49"/>
        <v>1.2128293632615139</v>
      </c>
      <c r="AP93">
        <f t="shared" si="58"/>
        <v>0.74907276158310276</v>
      </c>
      <c r="AR93">
        <v>93.540959999999998</v>
      </c>
      <c r="AS93">
        <v>0.3320845616248066</v>
      </c>
      <c r="AT93">
        <f t="shared" si="39"/>
        <v>31.06350869556357</v>
      </c>
      <c r="AU93">
        <f t="shared" si="50"/>
        <v>0.91532736406345627</v>
      </c>
      <c r="AV93">
        <f t="shared" si="51"/>
        <v>0.24938494818025347</v>
      </c>
      <c r="AW93">
        <f t="shared" si="59"/>
        <v>0.24938494818025347</v>
      </c>
      <c r="AY93" s="4">
        <f t="shared" si="31"/>
        <v>102.57169894198506</v>
      </c>
      <c r="AZ93">
        <f t="shared" si="52"/>
        <v>0.6659424158832028</v>
      </c>
    </row>
    <row r="94" spans="1:52" x14ac:dyDescent="0.35">
      <c r="A94" s="2">
        <v>39295</v>
      </c>
      <c r="B94">
        <v>93.575190000000006</v>
      </c>
      <c r="C94">
        <v>0.3320845616248066</v>
      </c>
      <c r="D94">
        <f t="shared" si="60"/>
        <v>31.074875950107987</v>
      </c>
      <c r="E94">
        <f t="shared" si="40"/>
        <v>-5.39878413294913</v>
      </c>
      <c r="F94">
        <f t="shared" si="32"/>
        <v>0.63150925102358801</v>
      </c>
      <c r="G94">
        <f t="shared" si="53"/>
        <v>0.48684002177196106</v>
      </c>
      <c r="I94">
        <v>105.85250000000001</v>
      </c>
      <c r="J94">
        <v>5.446153948948014E-2</v>
      </c>
      <c r="K94">
        <f t="shared" si="33"/>
        <v>5.7648901088101967</v>
      </c>
      <c r="L94">
        <f t="shared" si="41"/>
        <v>-7.3189588448108633</v>
      </c>
      <c r="M94">
        <f t="shared" si="34"/>
        <v>1.2886654608381454</v>
      </c>
      <c r="N94">
        <f t="shared" si="54"/>
        <v>0.12938141370798517</v>
      </c>
      <c r="P94">
        <v>86.609229999999997</v>
      </c>
      <c r="Q94">
        <v>7.6435889041439997E-2</v>
      </c>
      <c r="R94">
        <f t="shared" si="35"/>
        <v>6.6200534942445559</v>
      </c>
      <c r="S94">
        <f t="shared" si="42"/>
        <v>-5.894545974905208</v>
      </c>
      <c r="T94">
        <f t="shared" si="43"/>
        <v>0.13574740906750993</v>
      </c>
      <c r="U94">
        <f t="shared" si="55"/>
        <v>8.6256039174348764E-2</v>
      </c>
      <c r="W94">
        <v>158.4853</v>
      </c>
      <c r="X94">
        <v>5.2286067710557653E-2</v>
      </c>
      <c r="Y94">
        <f t="shared" si="36"/>
        <v>8.286573126928042</v>
      </c>
      <c r="Z94">
        <f t="shared" si="44"/>
        <v>-5.9406510578948968</v>
      </c>
      <c r="AA94">
        <f t="shared" si="45"/>
        <v>8.9642326077821188E-2</v>
      </c>
      <c r="AB94">
        <f t="shared" si="56"/>
        <v>0.85393507830523463</v>
      </c>
      <c r="AD94">
        <v>103.5326</v>
      </c>
      <c r="AE94">
        <v>9.9184357220568231E-2</v>
      </c>
      <c r="AF94">
        <f t="shared" si="37"/>
        <v>10.268814382374202</v>
      </c>
      <c r="AG94">
        <f t="shared" si="46"/>
        <v>-8.9279666719738628</v>
      </c>
      <c r="AH94">
        <f t="shared" si="47"/>
        <v>2.8976732880011449</v>
      </c>
      <c r="AI94">
        <f t="shared" si="57"/>
        <v>2.8976732880011449</v>
      </c>
      <c r="AK94">
        <v>93.696529999999996</v>
      </c>
      <c r="AL94">
        <v>5.3463023288340766E-2</v>
      </c>
      <c r="AM94">
        <f t="shared" si="38"/>
        <v>5.0092997654267188</v>
      </c>
      <c r="AN94">
        <f t="shared" si="48"/>
        <v>-5.8335322426569913</v>
      </c>
      <c r="AO94">
        <f t="shared" si="49"/>
        <v>0.19676114131572664</v>
      </c>
      <c r="AP94">
        <f t="shared" si="58"/>
        <v>0.46918127456747616</v>
      </c>
      <c r="AR94">
        <v>88.416690000000003</v>
      </c>
      <c r="AS94">
        <v>0.3320845616248066</v>
      </c>
      <c r="AT94">
        <f t="shared" si="39"/>
        <v>29.361817738966423</v>
      </c>
      <c r="AU94">
        <f t="shared" si="50"/>
        <v>-5.4781028546211141</v>
      </c>
      <c r="AV94">
        <f t="shared" si="51"/>
        <v>0.55219052935160384</v>
      </c>
      <c r="AW94">
        <f t="shared" si="59"/>
        <v>0.55219052935160384</v>
      </c>
      <c r="AY94" s="4">
        <f t="shared" si="31"/>
        <v>96.386324566858121</v>
      </c>
      <c r="AZ94">
        <f t="shared" si="52"/>
        <v>-6.030293383972718</v>
      </c>
    </row>
    <row r="95" spans="1:52" x14ac:dyDescent="0.35">
      <c r="A95" s="2">
        <v>39326</v>
      </c>
      <c r="B95">
        <v>96.615269999999995</v>
      </c>
      <c r="C95">
        <v>0.3320845616248066</v>
      </c>
      <c r="D95">
        <f t="shared" si="60"/>
        <v>32.084439584212326</v>
      </c>
      <c r="E95">
        <f t="shared" si="40"/>
        <v>3.2488098608188576</v>
      </c>
      <c r="F95">
        <f t="shared" si="32"/>
        <v>1.0928617717771205</v>
      </c>
      <c r="G95">
        <f t="shared" si="53"/>
        <v>0.4613525207535325</v>
      </c>
      <c r="I95">
        <v>106.8182</v>
      </c>
      <c r="J95">
        <v>5.446153948948014E-2</v>
      </c>
      <c r="K95">
        <f t="shared" si="33"/>
        <v>5.8174836174951876</v>
      </c>
      <c r="L95">
        <f t="shared" si="41"/>
        <v>0.9123072199522797</v>
      </c>
      <c r="M95">
        <f t="shared" si="34"/>
        <v>1.2436408690894574</v>
      </c>
      <c r="N95">
        <f t="shared" si="54"/>
        <v>4.5024591748688003E-2</v>
      </c>
      <c r="P95">
        <v>88.508170000000007</v>
      </c>
      <c r="Q95">
        <v>7.6435889041439997E-2</v>
      </c>
      <c r="R95">
        <f t="shared" si="35"/>
        <v>6.7652006613809093</v>
      </c>
      <c r="S95">
        <f t="shared" si="42"/>
        <v>2.192537677566242</v>
      </c>
      <c r="T95">
        <f t="shared" si="43"/>
        <v>3.658958852450489E-2</v>
      </c>
      <c r="U95">
        <f t="shared" si="55"/>
        <v>9.9157820543005037E-2</v>
      </c>
      <c r="W95">
        <v>158.56540000000001</v>
      </c>
      <c r="X95">
        <v>5.2286067710557653E-2</v>
      </c>
      <c r="Y95">
        <f t="shared" si="36"/>
        <v>8.2907612409516585</v>
      </c>
      <c r="Z95">
        <f t="shared" si="44"/>
        <v>5.0540964998035953E-2</v>
      </c>
      <c r="AA95">
        <f t="shared" si="45"/>
        <v>2.1054071240437011</v>
      </c>
      <c r="AB95">
        <f t="shared" si="56"/>
        <v>0.79226616395744376</v>
      </c>
      <c r="AD95">
        <v>100.6234</v>
      </c>
      <c r="AE95">
        <v>9.9184357220568231E-2</v>
      </c>
      <c r="AF95">
        <f t="shared" si="37"/>
        <v>9.9802672503481258</v>
      </c>
      <c r="AG95">
        <f t="shared" si="46"/>
        <v>-2.8099361940103873</v>
      </c>
      <c r="AH95">
        <f t="shared" si="47"/>
        <v>4.9658842830521248</v>
      </c>
      <c r="AI95">
        <f t="shared" si="57"/>
        <v>4.9658842830521248</v>
      </c>
      <c r="AK95">
        <v>96.214119999999994</v>
      </c>
      <c r="AL95">
        <v>5.3463023288340766E-2</v>
      </c>
      <c r="AM95">
        <f t="shared" si="38"/>
        <v>5.1438977382272126</v>
      </c>
      <c r="AN95">
        <f t="shared" si="48"/>
        <v>2.6869618330582767</v>
      </c>
      <c r="AO95">
        <f t="shared" si="49"/>
        <v>0.53101374401653967</v>
      </c>
      <c r="AP95">
        <f t="shared" si="58"/>
        <v>6.5613071279892576</v>
      </c>
      <c r="AR95">
        <v>91.489689999999996</v>
      </c>
      <c r="AS95">
        <v>0.3320845616248066</v>
      </c>
      <c r="AT95">
        <f t="shared" si="39"/>
        <v>30.382313596839449</v>
      </c>
      <c r="AU95">
        <f t="shared" si="50"/>
        <v>3.4755881497034125</v>
      </c>
      <c r="AV95">
        <f t="shared" si="51"/>
        <v>1.3196400606616754</v>
      </c>
      <c r="AW95">
        <f t="shared" si="59"/>
        <v>1.3196400606616754</v>
      </c>
      <c r="AY95" s="4">
        <f t="shared" si="31"/>
        <v>98.464363689454871</v>
      </c>
      <c r="AZ95">
        <f t="shared" si="52"/>
        <v>2.1559480890417371</v>
      </c>
    </row>
    <row r="96" spans="1:52" x14ac:dyDescent="0.35">
      <c r="A96" s="2">
        <v>39356</v>
      </c>
      <c r="B96">
        <v>99.142970000000005</v>
      </c>
      <c r="C96">
        <v>0.3320845616248066</v>
      </c>
      <c r="D96">
        <f t="shared" si="60"/>
        <v>32.923849730631353</v>
      </c>
      <c r="E96">
        <f t="shared" si="40"/>
        <v>2.6162531036760583</v>
      </c>
      <c r="F96">
        <f t="shared" si="32"/>
        <v>0.75964523643659021</v>
      </c>
      <c r="G96">
        <f t="shared" si="53"/>
        <v>0.33321653534053031</v>
      </c>
      <c r="I96">
        <v>110.7067</v>
      </c>
      <c r="J96">
        <v>5.446153948948014E-2</v>
      </c>
      <c r="K96">
        <f t="shared" si="33"/>
        <v>6.0292573138000307</v>
      </c>
      <c r="L96">
        <f t="shared" si="41"/>
        <v>3.6402972527153521</v>
      </c>
      <c r="M96">
        <f t="shared" si="34"/>
        <v>0.26439891260270354</v>
      </c>
      <c r="N96">
        <f t="shared" si="54"/>
        <v>0.97924195648675383</v>
      </c>
      <c r="P96">
        <v>92.348470000000006</v>
      </c>
      <c r="Q96">
        <v>7.6435889041439997E-2</v>
      </c>
      <c r="R96">
        <f t="shared" si="35"/>
        <v>7.0587374060667507</v>
      </c>
      <c r="S96">
        <f t="shared" si="42"/>
        <v>4.338921480355995</v>
      </c>
      <c r="T96">
        <f t="shared" si="43"/>
        <v>0.96302314024334645</v>
      </c>
      <c r="U96">
        <f t="shared" si="55"/>
        <v>0.92643355171884156</v>
      </c>
      <c r="W96">
        <v>161.8597</v>
      </c>
      <c r="X96">
        <v>5.2286067710557653E-2</v>
      </c>
      <c r="Y96">
        <f t="shared" si="36"/>
        <v>8.4630072338105489</v>
      </c>
      <c r="Z96">
        <f t="shared" si="44"/>
        <v>2.077565471408005</v>
      </c>
      <c r="AA96">
        <f t="shared" si="45"/>
        <v>1.2983328687046436</v>
      </c>
      <c r="AB96">
        <f t="shared" si="56"/>
        <v>3.6675514143474812</v>
      </c>
      <c r="AD96">
        <v>104.51179999999999</v>
      </c>
      <c r="AE96">
        <v>9.9184357220568231E-2</v>
      </c>
      <c r="AF96">
        <f t="shared" si="37"/>
        <v>10.365935704964583</v>
      </c>
      <c r="AG96">
        <f t="shared" si="46"/>
        <v>3.8643098921324448</v>
      </c>
      <c r="AH96">
        <f t="shared" si="47"/>
        <v>0.48841155201979625</v>
      </c>
      <c r="AI96">
        <f t="shared" si="57"/>
        <v>0.48841155201979625</v>
      </c>
      <c r="AK96">
        <v>100.0681</v>
      </c>
      <c r="AL96">
        <v>5.3463023288340766E-2</v>
      </c>
      <c r="AM96">
        <f t="shared" si="38"/>
        <v>5.349943160720013</v>
      </c>
      <c r="AN96">
        <f t="shared" si="48"/>
        <v>4.0056282799239895</v>
      </c>
      <c r="AO96">
        <f t="shared" si="49"/>
        <v>0.62972993981134096</v>
      </c>
      <c r="AP96">
        <f t="shared" si="58"/>
        <v>1.5262181492303961</v>
      </c>
      <c r="AR96">
        <v>95.149529999999999</v>
      </c>
      <c r="AS96">
        <v>0.3320845616248066</v>
      </c>
      <c r="AT96">
        <f t="shared" si="39"/>
        <v>31.597689958856382</v>
      </c>
      <c r="AU96">
        <f t="shared" si="50"/>
        <v>4.0002758780798064</v>
      </c>
      <c r="AV96">
        <f t="shared" si="51"/>
        <v>0.62437753796715789</v>
      </c>
      <c r="AW96">
        <f t="shared" si="59"/>
        <v>0.62437753796715789</v>
      </c>
      <c r="AY96" s="4">
        <f t="shared" si="31"/>
        <v>101.78842050884967</v>
      </c>
      <c r="AZ96">
        <f t="shared" si="52"/>
        <v>3.3758983401126486</v>
      </c>
    </row>
    <row r="97" spans="1:52" x14ac:dyDescent="0.35">
      <c r="A97" s="2">
        <v>39387</v>
      </c>
      <c r="B97">
        <v>95.812010000000001</v>
      </c>
      <c r="C97">
        <v>0.3320845616248066</v>
      </c>
      <c r="D97">
        <f t="shared" si="60"/>
        <v>31.817689339241586</v>
      </c>
      <c r="E97">
        <f t="shared" si="40"/>
        <v>-3.359754100568102</v>
      </c>
      <c r="F97">
        <f t="shared" si="32"/>
        <v>0.97115772468339134</v>
      </c>
      <c r="G97">
        <f t="shared" si="53"/>
        <v>0.21151248824680113</v>
      </c>
      <c r="I97">
        <v>105.87130000000001</v>
      </c>
      <c r="J97">
        <v>5.446153948948014E-2</v>
      </c>
      <c r="K97">
        <f t="shared" si="33"/>
        <v>5.7659139857525989</v>
      </c>
      <c r="L97">
        <f t="shared" si="41"/>
        <v>-4.367757326340671</v>
      </c>
      <c r="M97">
        <f t="shared" si="34"/>
        <v>3.6845501089177723E-2</v>
      </c>
      <c r="N97">
        <f t="shared" si="54"/>
        <v>0.22755341151352582</v>
      </c>
      <c r="P97">
        <v>89.103880000000004</v>
      </c>
      <c r="Q97">
        <v>7.6435889041439997E-2</v>
      </c>
      <c r="R97">
        <f t="shared" si="35"/>
        <v>6.8107342848417849</v>
      </c>
      <c r="S97">
        <f t="shared" si="42"/>
        <v>-3.5134204172521777</v>
      </c>
      <c r="T97">
        <f t="shared" si="43"/>
        <v>0.81749140799931563</v>
      </c>
      <c r="U97">
        <f t="shared" si="55"/>
        <v>0.14553173224403082</v>
      </c>
      <c r="W97">
        <v>153.12469999999999</v>
      </c>
      <c r="X97">
        <v>5.2286067710557653E-2</v>
      </c>
      <c r="Y97">
        <f t="shared" si="36"/>
        <v>8.0062884323588275</v>
      </c>
      <c r="Z97">
        <f t="shared" si="44"/>
        <v>-5.3966490732406003</v>
      </c>
      <c r="AA97">
        <f t="shared" si="45"/>
        <v>1.065737247989107</v>
      </c>
      <c r="AB97">
        <f t="shared" si="56"/>
        <v>0.57732569596931071</v>
      </c>
      <c r="AD97">
        <v>96.811109999999999</v>
      </c>
      <c r="AE97">
        <v>9.9184357220568231E-2</v>
      </c>
      <c r="AF97">
        <f t="shared" si="37"/>
        <v>9.6021477171597258</v>
      </c>
      <c r="AG97">
        <f t="shared" si="46"/>
        <v>-7.3682493268702576</v>
      </c>
      <c r="AH97">
        <f t="shared" si="47"/>
        <v>3.0373375016187643</v>
      </c>
      <c r="AI97">
        <f t="shared" si="57"/>
        <v>3.0373375016187643</v>
      </c>
      <c r="AK97">
        <v>95.910849999999996</v>
      </c>
      <c r="AL97">
        <v>5.3463023288340766E-2</v>
      </c>
      <c r="AM97">
        <f t="shared" si="38"/>
        <v>5.1276840071545582</v>
      </c>
      <c r="AN97">
        <f t="shared" si="48"/>
        <v>-4.1544208394083686</v>
      </c>
      <c r="AO97">
        <f t="shared" si="49"/>
        <v>0.17649098584312473</v>
      </c>
      <c r="AP97">
        <f t="shared" si="58"/>
        <v>3.1994073542695238</v>
      </c>
      <c r="AR97">
        <v>91.090040000000002</v>
      </c>
      <c r="AS97">
        <v>0.3320845616248066</v>
      </c>
      <c r="AT97">
        <f t="shared" si="39"/>
        <v>30.249596001786099</v>
      </c>
      <c r="AU97">
        <f t="shared" si="50"/>
        <v>-4.2664320044460524</v>
      </c>
      <c r="AV97">
        <f t="shared" si="51"/>
        <v>6.4479820805440902E-2</v>
      </c>
      <c r="AW97">
        <f t="shared" si="59"/>
        <v>6.4479820805440902E-2</v>
      </c>
      <c r="AY97" s="4">
        <f t="shared" si="31"/>
        <v>97.380053768295184</v>
      </c>
      <c r="AZ97">
        <f t="shared" si="52"/>
        <v>-4.3309118252514933</v>
      </c>
    </row>
    <row r="98" spans="1:52" x14ac:dyDescent="0.35">
      <c r="A98" s="2">
        <v>39417</v>
      </c>
      <c r="B98">
        <v>95.354240000000004</v>
      </c>
      <c r="C98">
        <v>0.3320845616248066</v>
      </c>
      <c r="D98">
        <f t="shared" si="60"/>
        <v>31.665670989466598</v>
      </c>
      <c r="E98">
        <f t="shared" si="40"/>
        <v>-0.47777935146126049</v>
      </c>
      <c r="F98">
        <f t="shared" si="32"/>
        <v>0.85401571966149392</v>
      </c>
      <c r="G98">
        <f t="shared" si="53"/>
        <v>0.11714200502189742</v>
      </c>
      <c r="I98">
        <v>106.4562</v>
      </c>
      <c r="J98">
        <v>5.446153948948014E-2</v>
      </c>
      <c r="K98">
        <f t="shared" si="33"/>
        <v>5.7977685401999954</v>
      </c>
      <c r="L98">
        <f t="shared" si="41"/>
        <v>0.55246322657791502</v>
      </c>
      <c r="M98">
        <f t="shared" si="34"/>
        <v>0.17622685837768159</v>
      </c>
      <c r="N98">
        <f t="shared" si="54"/>
        <v>0.13938135728850387</v>
      </c>
      <c r="P98">
        <v>91.164760000000001</v>
      </c>
      <c r="Q98">
        <v>7.6435889041439997E-2</v>
      </c>
      <c r="R98">
        <f t="shared" si="35"/>
        <v>6.9682594798495074</v>
      </c>
      <c r="S98">
        <f t="shared" si="42"/>
        <v>2.3128959142968863</v>
      </c>
      <c r="T98">
        <f t="shared" si="43"/>
        <v>1.9366595460966529</v>
      </c>
      <c r="U98">
        <f t="shared" si="55"/>
        <v>1.1191681380973373</v>
      </c>
      <c r="W98">
        <v>152.08189999999999</v>
      </c>
      <c r="X98">
        <v>5.2286067710557653E-2</v>
      </c>
      <c r="Y98">
        <f t="shared" si="36"/>
        <v>7.951764520950257</v>
      </c>
      <c r="Z98">
        <f t="shared" si="44"/>
        <v>-0.68101357912864202</v>
      </c>
      <c r="AA98">
        <f t="shared" si="45"/>
        <v>1.0572499473288755</v>
      </c>
      <c r="AB98">
        <f t="shared" si="56"/>
        <v>1.9800875542898888</v>
      </c>
      <c r="AD98">
        <v>97.120530000000002</v>
      </c>
      <c r="AE98">
        <v>9.9184357220568231E-2</v>
      </c>
      <c r="AF98">
        <f t="shared" si="37"/>
        <v>9.632837340970914</v>
      </c>
      <c r="AG98">
        <f t="shared" si="46"/>
        <v>0.31961207758077759</v>
      </c>
      <c r="AH98">
        <f t="shared" si="47"/>
        <v>5.6624290619455842E-2</v>
      </c>
      <c r="AI98">
        <f t="shared" si="57"/>
        <v>5.6624290619455842E-2</v>
      </c>
      <c r="AK98">
        <v>97.58793</v>
      </c>
      <c r="AL98">
        <v>5.3463023288340766E-2</v>
      </c>
      <c r="AM98">
        <f t="shared" si="38"/>
        <v>5.2173457742509681</v>
      </c>
      <c r="AN98">
        <f t="shared" si="48"/>
        <v>1.7485821468582685</v>
      </c>
      <c r="AO98">
        <f t="shared" si="49"/>
        <v>1.3723457786580351</v>
      </c>
      <c r="AP98">
        <f t="shared" si="58"/>
        <v>5.7032576039095284</v>
      </c>
      <c r="AR98">
        <v>91.882580000000004</v>
      </c>
      <c r="AS98">
        <v>0.3320845616248066</v>
      </c>
      <c r="AT98">
        <f t="shared" si="39"/>
        <v>30.512786300256224</v>
      </c>
      <c r="AU98">
        <f t="shared" si="50"/>
        <v>0.87006219340775015</v>
      </c>
      <c r="AV98">
        <f t="shared" si="51"/>
        <v>0.49382582520751672</v>
      </c>
      <c r="AW98">
        <f t="shared" si="59"/>
        <v>0.49382582520751672</v>
      </c>
      <c r="AY98" s="4">
        <f t="shared" si="31"/>
        <v>97.746432945944463</v>
      </c>
      <c r="AZ98">
        <f t="shared" si="52"/>
        <v>0.37623636820023343</v>
      </c>
    </row>
    <row r="99" spans="1:52" x14ac:dyDescent="0.35">
      <c r="A99" s="2">
        <v>39448</v>
      </c>
      <c r="B99">
        <v>92.351399999999998</v>
      </c>
      <c r="C99">
        <v>4.3109290990094459E-2</v>
      </c>
      <c r="D99">
        <f t="shared" si="60"/>
        <v>3.9812033759426093</v>
      </c>
      <c r="E99">
        <f t="shared" si="40"/>
        <v>-3.1491415588861149</v>
      </c>
      <c r="F99">
        <f t="shared" si="32"/>
        <v>3.1452364958025174</v>
      </c>
      <c r="G99">
        <f t="shared" si="53"/>
        <v>2.2912207761410235</v>
      </c>
      <c r="I99">
        <v>97.477230000000006</v>
      </c>
      <c r="J99">
        <v>7.8288981351788647E-2</v>
      </c>
      <c r="K99">
        <f t="shared" si="33"/>
        <v>7.6313930416940137</v>
      </c>
      <c r="L99">
        <f t="shared" si="41"/>
        <v>-8.4344265528921714</v>
      </c>
      <c r="M99">
        <f t="shared" si="34"/>
        <v>2.140048498203539</v>
      </c>
      <c r="N99">
        <f t="shared" si="54"/>
        <v>1.9638216398258574</v>
      </c>
      <c r="P99">
        <v>83.744420000000005</v>
      </c>
      <c r="Q99">
        <v>0.11064990994520219</v>
      </c>
      <c r="R99">
        <f t="shared" si="35"/>
        <v>9.26631253141319</v>
      </c>
      <c r="S99">
        <f t="shared" si="42"/>
        <v>-8.1394828440287661</v>
      </c>
      <c r="T99">
        <f t="shared" si="43"/>
        <v>1.8451047893401338</v>
      </c>
      <c r="U99">
        <f t="shared" si="55"/>
        <v>9.155475675651914E-2</v>
      </c>
      <c r="W99">
        <v>140.66470000000001</v>
      </c>
      <c r="X99">
        <v>7.424935882659553E-2</v>
      </c>
      <c r="Y99">
        <f t="shared" si="36"/>
        <v>10.444263784535414</v>
      </c>
      <c r="Z99">
        <f t="shared" si="44"/>
        <v>-7.5072707534558525</v>
      </c>
      <c r="AA99">
        <f t="shared" si="45"/>
        <v>1.2128926987672202</v>
      </c>
      <c r="AB99">
        <f t="shared" si="56"/>
        <v>1.1562684081477643</v>
      </c>
      <c r="AD99">
        <v>87.503429999999994</v>
      </c>
      <c r="AE99">
        <v>0.14047475041430882</v>
      </c>
      <c r="AF99">
        <f t="shared" si="37"/>
        <v>12.292022489645943</v>
      </c>
      <c r="AG99">
        <f t="shared" si="46"/>
        <v>-9.9022317938339164</v>
      </c>
      <c r="AH99">
        <f t="shared" si="47"/>
        <v>3.6078537391452841</v>
      </c>
      <c r="AI99">
        <f t="shared" si="57"/>
        <v>3.6078537391452841</v>
      </c>
      <c r="AK99">
        <v>91.734530000000007</v>
      </c>
      <c r="AL99">
        <v>7.6485129743771779E-2</v>
      </c>
      <c r="AM99">
        <f t="shared" si="38"/>
        <v>7.0163274290339253</v>
      </c>
      <c r="AN99">
        <f t="shared" si="48"/>
        <v>-5.998077836060256</v>
      </c>
      <c r="AO99">
        <f t="shared" si="49"/>
        <v>0.2963002186283763</v>
      </c>
      <c r="AP99">
        <f t="shared" si="58"/>
        <v>7.9936149571857129E-2</v>
      </c>
      <c r="AR99">
        <v>85.921379999999999</v>
      </c>
      <c r="AS99">
        <v>0.47674257872823855</v>
      </c>
      <c r="AT99">
        <f t="shared" si="39"/>
        <v>40.962380269088904</v>
      </c>
      <c r="AU99">
        <f t="shared" si="50"/>
        <v>-6.4878456830446023</v>
      </c>
      <c r="AV99">
        <f t="shared" si="51"/>
        <v>0.19346762835596998</v>
      </c>
      <c r="AW99">
        <f t="shared" si="59"/>
        <v>0.19346762835596998</v>
      </c>
      <c r="AY99" s="4">
        <f t="shared" si="31"/>
        <v>91.593902921354001</v>
      </c>
      <c r="AZ99">
        <f t="shared" si="52"/>
        <v>-6.2943780546886323</v>
      </c>
    </row>
    <row r="100" spans="1:52" x14ac:dyDescent="0.35">
      <c r="A100" s="2">
        <v>39479</v>
      </c>
      <c r="B100">
        <v>93.077879999999993</v>
      </c>
      <c r="C100">
        <v>4.3109290990094459E-2</v>
      </c>
      <c r="D100">
        <f t="shared" si="60"/>
        <v>4.0125214136610934</v>
      </c>
      <c r="E100">
        <f t="shared" si="40"/>
        <v>0.78664752239814284</v>
      </c>
      <c r="F100">
        <f t="shared" si="32"/>
        <v>3.5169498821707279</v>
      </c>
      <c r="G100">
        <f t="shared" si="53"/>
        <v>0.3717133863682105</v>
      </c>
      <c r="I100">
        <v>92.010459999999995</v>
      </c>
      <c r="J100">
        <v>7.8288981351788647E-2</v>
      </c>
      <c r="K100">
        <f t="shared" si="33"/>
        <v>7.2034051871094951</v>
      </c>
      <c r="L100">
        <f t="shared" si="41"/>
        <v>-5.608253332598812</v>
      </c>
      <c r="M100">
        <f t="shared" si="34"/>
        <v>2.8779509728262269</v>
      </c>
      <c r="N100">
        <f t="shared" si="54"/>
        <v>0.73790247462268788</v>
      </c>
      <c r="P100">
        <v>79.165750000000003</v>
      </c>
      <c r="Q100">
        <v>0.11064990994520219</v>
      </c>
      <c r="R100">
        <f t="shared" si="35"/>
        <v>8.7596831082443902</v>
      </c>
      <c r="S100">
        <f t="shared" si="42"/>
        <v>-5.467432934636129</v>
      </c>
      <c r="T100">
        <f t="shared" si="43"/>
        <v>2.7371305748635439</v>
      </c>
      <c r="U100">
        <f t="shared" si="55"/>
        <v>0.89202578552341016</v>
      </c>
      <c r="W100">
        <v>133.27789999999999</v>
      </c>
      <c r="X100">
        <v>7.424935882659553E-2</v>
      </c>
      <c r="Y100">
        <f t="shared" si="36"/>
        <v>9.8957986207551158</v>
      </c>
      <c r="Z100">
        <f t="shared" si="44"/>
        <v>-5.251353040243945</v>
      </c>
      <c r="AA100">
        <f t="shared" si="45"/>
        <v>2.5210506804713599</v>
      </c>
      <c r="AB100">
        <f t="shared" si="56"/>
        <v>1.0868030586739241</v>
      </c>
      <c r="AD100">
        <v>85.506389999999996</v>
      </c>
      <c r="AE100">
        <v>0.14047475041430882</v>
      </c>
      <c r="AF100">
        <f t="shared" si="37"/>
        <v>12.01148879407855</v>
      </c>
      <c r="AG100">
        <f t="shared" si="46"/>
        <v>-2.2822419646864156</v>
      </c>
      <c r="AH100">
        <f t="shared" si="47"/>
        <v>0.44806039508616946</v>
      </c>
      <c r="AI100">
        <f t="shared" si="57"/>
        <v>0.44806039508616946</v>
      </c>
      <c r="AK100">
        <v>89.618160000000003</v>
      </c>
      <c r="AL100">
        <v>7.6485129743771779E-2</v>
      </c>
      <c r="AM100">
        <f t="shared" si="38"/>
        <v>6.8544565949980987</v>
      </c>
      <c r="AN100">
        <f t="shared" si="48"/>
        <v>-2.3070592938122636</v>
      </c>
      <c r="AO100">
        <f t="shared" si="49"/>
        <v>0.42324306596032146</v>
      </c>
      <c r="AP100">
        <f t="shared" si="58"/>
        <v>6.7176211206489533</v>
      </c>
      <c r="AR100">
        <v>84.648949999999999</v>
      </c>
      <c r="AS100">
        <v>0.47674257872823855</v>
      </c>
      <c r="AT100">
        <f t="shared" si="39"/>
        <v>40.355758709637726</v>
      </c>
      <c r="AU100">
        <f t="shared" si="50"/>
        <v>-1.4809236071394616</v>
      </c>
      <c r="AV100">
        <f t="shared" si="51"/>
        <v>1.2493787526331235</v>
      </c>
      <c r="AW100">
        <f t="shared" si="59"/>
        <v>1.2493787526331235</v>
      </c>
      <c r="AY100" s="4">
        <f t="shared" si="31"/>
        <v>89.09311242848446</v>
      </c>
      <c r="AZ100">
        <f t="shared" si="52"/>
        <v>-2.7303023597725851</v>
      </c>
    </row>
    <row r="101" spans="1:52" x14ac:dyDescent="0.35">
      <c r="A101" s="2">
        <v>39508</v>
      </c>
      <c r="B101">
        <v>92.216449999999995</v>
      </c>
      <c r="C101">
        <v>4.3109290990094459E-2</v>
      </c>
      <c r="D101">
        <f t="shared" si="60"/>
        <v>3.9753857771234959</v>
      </c>
      <c r="E101">
        <f t="shared" si="40"/>
        <v>-0.92549379079110983</v>
      </c>
      <c r="F101">
        <f t="shared" si="32"/>
        <v>3.375623758720192</v>
      </c>
      <c r="G101">
        <f t="shared" si="53"/>
        <v>0.14132612345053586</v>
      </c>
      <c r="I101">
        <v>88.032210000000006</v>
      </c>
      <c r="J101">
        <v>7.8288981351788647E-2</v>
      </c>
      <c r="K101">
        <f t="shared" si="33"/>
        <v>6.8919520470467424</v>
      </c>
      <c r="L101">
        <f t="shared" si="41"/>
        <v>-4.3236931974907966</v>
      </c>
      <c r="M101">
        <f t="shared" si="34"/>
        <v>2.257564797949474E-2</v>
      </c>
      <c r="N101">
        <f t="shared" si="54"/>
        <v>2.8553753248467322</v>
      </c>
      <c r="P101">
        <v>74.681539999999998</v>
      </c>
      <c r="Q101">
        <v>0.11064990994520219</v>
      </c>
      <c r="R101">
        <f t="shared" si="35"/>
        <v>8.2635056755690144</v>
      </c>
      <c r="S101">
        <f t="shared" si="42"/>
        <v>-5.6643308501466922</v>
      </c>
      <c r="T101">
        <f t="shared" si="43"/>
        <v>1.3632133006353904</v>
      </c>
      <c r="U101">
        <f t="shared" si="55"/>
        <v>1.3739172742281536</v>
      </c>
      <c r="W101">
        <v>124.9791</v>
      </c>
      <c r="X101">
        <v>7.424935882659553E-2</v>
      </c>
      <c r="Y101">
        <f t="shared" si="36"/>
        <v>9.2796180417249658</v>
      </c>
      <c r="Z101">
        <f t="shared" si="44"/>
        <v>-6.2266887458460758</v>
      </c>
      <c r="AA101">
        <f t="shared" si="45"/>
        <v>1.9255711963347739</v>
      </c>
      <c r="AB101">
        <f t="shared" si="56"/>
        <v>1.4775108012486045</v>
      </c>
      <c r="AD101">
        <v>79.115620000000007</v>
      </c>
      <c r="AE101">
        <v>0.14047475041430882</v>
      </c>
      <c r="AF101">
        <f t="shared" si="37"/>
        <v>11.113746973373299</v>
      </c>
      <c r="AG101">
        <f t="shared" si="46"/>
        <v>-7.4740262102048654</v>
      </c>
      <c r="AH101">
        <f t="shared" si="47"/>
        <v>3.1729086606935635</v>
      </c>
      <c r="AI101">
        <f t="shared" si="57"/>
        <v>3.1729086606935635</v>
      </c>
      <c r="AK101">
        <v>85.810460000000006</v>
      </c>
      <c r="AL101">
        <v>7.6485129743771779E-2</v>
      </c>
      <c r="AM101">
        <f t="shared" si="38"/>
        <v>6.5632241664727387</v>
      </c>
      <c r="AN101">
        <f t="shared" si="48"/>
        <v>-4.2488040370389228</v>
      </c>
      <c r="AO101">
        <f t="shared" si="49"/>
        <v>5.2313512472379031E-2</v>
      </c>
      <c r="AP101">
        <f t="shared" si="58"/>
        <v>2.7826158722449641</v>
      </c>
      <c r="AR101">
        <v>82.169460000000001</v>
      </c>
      <c r="AS101">
        <v>0.47674257872823855</v>
      </c>
      <c r="AT101">
        <f t="shared" si="39"/>
        <v>39.173680253106852</v>
      </c>
      <c r="AU101">
        <f t="shared" si="50"/>
        <v>-2.9291444253000121</v>
      </c>
      <c r="AV101">
        <f t="shared" si="51"/>
        <v>1.3719731242112898</v>
      </c>
      <c r="AW101">
        <f t="shared" si="59"/>
        <v>1.3719731242112898</v>
      </c>
      <c r="AY101" s="4">
        <f t="shared" si="31"/>
        <v>85.261112934417085</v>
      </c>
      <c r="AZ101">
        <f t="shared" si="52"/>
        <v>-4.3011175495113019</v>
      </c>
    </row>
    <row r="102" spans="1:52" x14ac:dyDescent="0.35">
      <c r="A102" s="2">
        <v>39539</v>
      </c>
      <c r="B102">
        <v>96.87679</v>
      </c>
      <c r="C102">
        <v>4.3109290990094459E-2</v>
      </c>
      <c r="D102">
        <f t="shared" si="60"/>
        <v>4.1762897302962729</v>
      </c>
      <c r="E102">
        <f t="shared" si="40"/>
        <v>5.0536970356156674</v>
      </c>
      <c r="F102">
        <f t="shared" si="32"/>
        <v>0.17759959446579376</v>
      </c>
      <c r="G102">
        <f t="shared" si="53"/>
        <v>3.1980241642543983</v>
      </c>
      <c r="I102">
        <v>93.043390000000002</v>
      </c>
      <c r="J102">
        <v>7.8288981351788647E-2</v>
      </c>
      <c r="K102">
        <f t="shared" si="33"/>
        <v>7.2842722246171983</v>
      </c>
      <c r="L102">
        <f t="shared" si="41"/>
        <v>5.6924391651646644</v>
      </c>
      <c r="M102">
        <f t="shared" si="34"/>
        <v>0.81634172401479077</v>
      </c>
      <c r="N102">
        <f t="shared" si="54"/>
        <v>0.79376607603529603</v>
      </c>
      <c r="P102">
        <v>77.652370000000005</v>
      </c>
      <c r="Q102">
        <v>0.11064990994520219</v>
      </c>
      <c r="R102">
        <f t="shared" si="35"/>
        <v>8.5922277475315205</v>
      </c>
      <c r="S102">
        <f t="shared" si="42"/>
        <v>3.9779977756216667</v>
      </c>
      <c r="T102">
        <f t="shared" si="43"/>
        <v>0.89809966552820697</v>
      </c>
      <c r="U102">
        <f t="shared" si="55"/>
        <v>0.4651136351071834</v>
      </c>
      <c r="W102">
        <v>130.7159</v>
      </c>
      <c r="X102">
        <v>7.424935882659553E-2</v>
      </c>
      <c r="Y102">
        <f t="shared" si="36"/>
        <v>9.7055717634413785</v>
      </c>
      <c r="Z102">
        <f t="shared" si="44"/>
        <v>4.5902074826910999</v>
      </c>
      <c r="AA102">
        <f t="shared" si="45"/>
        <v>0.28588995845877374</v>
      </c>
      <c r="AB102">
        <f t="shared" si="56"/>
        <v>2.8870187022347897</v>
      </c>
      <c r="AD102">
        <v>83.617649999999998</v>
      </c>
      <c r="AE102">
        <v>0.14047475041430882</v>
      </c>
      <c r="AF102">
        <f t="shared" si="37"/>
        <v>11.746168513981029</v>
      </c>
      <c r="AG102">
        <f t="shared" si="46"/>
        <v>5.6904439350914382</v>
      </c>
      <c r="AH102">
        <f t="shared" si="47"/>
        <v>0.81434649394156455</v>
      </c>
      <c r="AI102">
        <f t="shared" si="57"/>
        <v>0.81434649394156455</v>
      </c>
      <c r="AK102">
        <v>90.883250000000004</v>
      </c>
      <c r="AL102">
        <v>7.6485129743771779E-2</v>
      </c>
      <c r="AM102">
        <f t="shared" si="38"/>
        <v>6.9512171677856465</v>
      </c>
      <c r="AN102">
        <f t="shared" si="48"/>
        <v>5.9116219631033307</v>
      </c>
      <c r="AO102">
        <f t="shared" si="49"/>
        <v>1.035524521953457</v>
      </c>
      <c r="AP102">
        <f t="shared" si="58"/>
        <v>5.3366420714647589</v>
      </c>
      <c r="AR102">
        <v>85.922219999999996</v>
      </c>
      <c r="AS102">
        <v>0.47674257872823855</v>
      </c>
      <c r="AT102">
        <f t="shared" si="39"/>
        <v>40.96278073285503</v>
      </c>
      <c r="AU102">
        <f t="shared" si="50"/>
        <v>4.5670982868817545</v>
      </c>
      <c r="AV102">
        <f t="shared" si="51"/>
        <v>0.30899915426811919</v>
      </c>
      <c r="AW102">
        <f t="shared" si="59"/>
        <v>0.30899915426811919</v>
      </c>
      <c r="AY102" s="4">
        <f t="shared" si="31"/>
        <v>89.418527880508094</v>
      </c>
      <c r="AZ102">
        <f t="shared" si="52"/>
        <v>4.8760974411498736</v>
      </c>
    </row>
    <row r="103" spans="1:52" x14ac:dyDescent="0.35">
      <c r="A103" s="2">
        <v>39569</v>
      </c>
      <c r="B103">
        <v>102.0274</v>
      </c>
      <c r="C103">
        <v>4.3109290990094459E-2</v>
      </c>
      <c r="D103">
        <f t="shared" si="60"/>
        <v>4.3983288755627639</v>
      </c>
      <c r="E103">
        <f t="shared" si="40"/>
        <v>5.3166604715123134</v>
      </c>
      <c r="F103">
        <f t="shared" si="32"/>
        <v>2.1049921552329875</v>
      </c>
      <c r="G103">
        <f t="shared" si="53"/>
        <v>1.9273925607671938</v>
      </c>
      <c r="I103">
        <v>95.62424</v>
      </c>
      <c r="J103">
        <v>7.8288981351788647E-2</v>
      </c>
      <c r="K103">
        <f t="shared" si="33"/>
        <v>7.4863243421389623</v>
      </c>
      <c r="L103">
        <f t="shared" si="41"/>
        <v>2.7738133788977271</v>
      </c>
      <c r="M103">
        <f t="shared" si="34"/>
        <v>0.43785493738159875</v>
      </c>
      <c r="N103">
        <f t="shared" si="54"/>
        <v>0.37848678663319202</v>
      </c>
      <c r="P103">
        <v>79.988950000000003</v>
      </c>
      <c r="Q103">
        <v>0.11064990994520219</v>
      </c>
      <c r="R103">
        <f t="shared" si="35"/>
        <v>8.8507701141112811</v>
      </c>
      <c r="S103">
        <f t="shared" si="42"/>
        <v>3.009025996244552</v>
      </c>
      <c r="T103">
        <f t="shared" si="43"/>
        <v>0.20264232003477378</v>
      </c>
      <c r="U103">
        <f t="shared" si="55"/>
        <v>0.69545734549343319</v>
      </c>
      <c r="W103">
        <v>132.81559999999999</v>
      </c>
      <c r="X103">
        <v>7.424935882659553E-2</v>
      </c>
      <c r="Y103">
        <f t="shared" si="36"/>
        <v>9.8614731421695812</v>
      </c>
      <c r="Z103">
        <f t="shared" si="44"/>
        <v>1.6063080313871492</v>
      </c>
      <c r="AA103">
        <f t="shared" si="45"/>
        <v>1.6053602848921766</v>
      </c>
      <c r="AB103">
        <f t="shared" si="56"/>
        <v>0.79101379095061208</v>
      </c>
      <c r="AD103">
        <v>88.580590000000001</v>
      </c>
      <c r="AE103">
        <v>0.14047475041430882</v>
      </c>
      <c r="AF103">
        <f t="shared" si="37"/>
        <v>12.44333627180222</v>
      </c>
      <c r="AG103">
        <f t="shared" si="46"/>
        <v>5.9352780184566356</v>
      </c>
      <c r="AH103">
        <f t="shared" si="47"/>
        <v>2.7236097021773098</v>
      </c>
      <c r="AI103">
        <f t="shared" si="57"/>
        <v>2.7236097021773098</v>
      </c>
      <c r="AK103">
        <v>93.770070000000004</v>
      </c>
      <c r="AL103">
        <v>7.6485129743771779E-2</v>
      </c>
      <c r="AM103">
        <f t="shared" si="38"/>
        <v>7.1720159700325619</v>
      </c>
      <c r="AN103">
        <f t="shared" si="48"/>
        <v>3.1764048930908562</v>
      </c>
      <c r="AO103">
        <f t="shared" si="49"/>
        <v>3.5263423188469645E-2</v>
      </c>
      <c r="AP103">
        <f t="shared" si="58"/>
        <v>4.840834017961404</v>
      </c>
      <c r="AR103">
        <v>88.261690000000002</v>
      </c>
      <c r="AS103">
        <v>0.47674257872823855</v>
      </c>
      <c r="AT103">
        <f t="shared" si="39"/>
        <v>42.078105693512384</v>
      </c>
      <c r="AU103">
        <f t="shared" si="50"/>
        <v>2.7227764831960988</v>
      </c>
      <c r="AV103">
        <f t="shared" si="51"/>
        <v>0.48889183308322703</v>
      </c>
      <c r="AW103">
        <f t="shared" si="59"/>
        <v>0.48889183308322703</v>
      </c>
      <c r="AY103" s="4">
        <f t="shared" si="31"/>
        <v>92.290354409329765</v>
      </c>
      <c r="AZ103">
        <f t="shared" si="52"/>
        <v>3.2116683162793258</v>
      </c>
    </row>
    <row r="104" spans="1:52" x14ac:dyDescent="0.35">
      <c r="A104" s="2">
        <v>39600</v>
      </c>
      <c r="B104">
        <v>102.64790000000001</v>
      </c>
      <c r="C104">
        <v>4.3109290990094459E-2</v>
      </c>
      <c r="D104">
        <f t="shared" si="60"/>
        <v>4.4250781906221173</v>
      </c>
      <c r="E104">
        <f t="shared" si="40"/>
        <v>0.60816996218664432</v>
      </c>
      <c r="F104">
        <f t="shared" si="32"/>
        <v>4.9184613177740255</v>
      </c>
      <c r="G104">
        <f t="shared" si="53"/>
        <v>2.813469162541038</v>
      </c>
      <c r="I104">
        <v>88.99633</v>
      </c>
      <c r="J104">
        <v>7.8288981351788647E-2</v>
      </c>
      <c r="K104">
        <f t="shared" si="33"/>
        <v>6.9674320197476289</v>
      </c>
      <c r="L104">
        <f t="shared" si="41"/>
        <v>-6.9312027996248693</v>
      </c>
      <c r="M104">
        <f t="shared" si="34"/>
        <v>2.6209114440374881</v>
      </c>
      <c r="N104">
        <f t="shared" si="54"/>
        <v>2.1830565066558894</v>
      </c>
      <c r="P104">
        <v>75.898030000000006</v>
      </c>
      <c r="Q104">
        <v>0.11064990994520219</v>
      </c>
      <c r="R104">
        <f t="shared" si="35"/>
        <v>8.398110184518254</v>
      </c>
      <c r="S104">
        <f t="shared" si="42"/>
        <v>-5.1143564204805703</v>
      </c>
      <c r="T104">
        <f t="shared" si="43"/>
        <v>0.80406506489318907</v>
      </c>
      <c r="U104">
        <f t="shared" si="55"/>
        <v>0.60142274485841529</v>
      </c>
      <c r="W104">
        <v>123.1704</v>
      </c>
      <c r="X104">
        <v>7.424935882659553E-2</v>
      </c>
      <c r="Y104">
        <f t="shared" si="36"/>
        <v>9.1453232264153019</v>
      </c>
      <c r="Z104">
        <f t="shared" si="44"/>
        <v>-7.2620987293661177</v>
      </c>
      <c r="AA104">
        <f t="shared" si="45"/>
        <v>2.9518073737787365</v>
      </c>
      <c r="AB104">
        <f t="shared" si="56"/>
        <v>0.22819767160142668</v>
      </c>
      <c r="AD104">
        <v>89.005399999999995</v>
      </c>
      <c r="AE104">
        <v>0.14047475041430882</v>
      </c>
      <c r="AF104">
        <f t="shared" si="37"/>
        <v>12.503011350525721</v>
      </c>
      <c r="AG104">
        <f t="shared" si="46"/>
        <v>0.47957458851877188</v>
      </c>
      <c r="AH104">
        <f t="shared" si="47"/>
        <v>4.7898659441061531</v>
      </c>
      <c r="AI104">
        <f t="shared" si="57"/>
        <v>4.7898659441061531</v>
      </c>
      <c r="AK104">
        <v>87.618700000000004</v>
      </c>
      <c r="AL104">
        <v>7.6485129743771779E-2</v>
      </c>
      <c r="AM104">
        <f t="shared" si="38"/>
        <v>6.7015276374806163</v>
      </c>
      <c r="AN104">
        <f t="shared" si="48"/>
        <v>-6.5600569563401212</v>
      </c>
      <c r="AO104">
        <f t="shared" si="49"/>
        <v>2.24976560075274</v>
      </c>
      <c r="AP104">
        <f t="shared" si="58"/>
        <v>0.96190271552658579</v>
      </c>
      <c r="AR104">
        <v>84.263270000000006</v>
      </c>
      <c r="AS104">
        <v>0.47674257872823855</v>
      </c>
      <c r="AT104">
        <f t="shared" si="39"/>
        <v>40.171888631873827</v>
      </c>
      <c r="AU104">
        <f t="shared" si="50"/>
        <v>-4.5301874459915741</v>
      </c>
      <c r="AV104">
        <f t="shared" si="51"/>
        <v>0.21989609040419289</v>
      </c>
      <c r="AW104">
        <f t="shared" si="59"/>
        <v>0.21989609040419289</v>
      </c>
      <c r="AY104" s="4">
        <f t="shared" si="31"/>
        <v>88.31237124118347</v>
      </c>
      <c r="AZ104">
        <f t="shared" si="52"/>
        <v>-4.3102913555873812</v>
      </c>
    </row>
    <row r="105" spans="1:52" x14ac:dyDescent="0.35">
      <c r="A105" s="2">
        <v>39630</v>
      </c>
      <c r="B105">
        <v>95.26191</v>
      </c>
      <c r="C105">
        <v>4.3109290990094459E-2</v>
      </c>
      <c r="D105">
        <f t="shared" si="60"/>
        <v>4.1066733984621893</v>
      </c>
      <c r="E105">
        <f t="shared" si="40"/>
        <v>-7.1954613781675114</v>
      </c>
      <c r="F105">
        <f t="shared" si="32"/>
        <v>0.27009375303182992</v>
      </c>
      <c r="G105">
        <f t="shared" si="53"/>
        <v>4.6483675647421956</v>
      </c>
      <c r="I105">
        <v>81.346509999999995</v>
      </c>
      <c r="J105">
        <v>7.8288981351788647E-2</v>
      </c>
      <c r="K105">
        <f t="shared" si="33"/>
        <v>6.3685354044230884</v>
      </c>
      <c r="L105">
        <f t="shared" si="41"/>
        <v>-8.5956578209461014</v>
      </c>
      <c r="M105">
        <f t="shared" si="34"/>
        <v>1.6702901958104199</v>
      </c>
      <c r="N105">
        <f t="shared" si="54"/>
        <v>0.95062124822706817</v>
      </c>
      <c r="P105">
        <v>70.866299999999995</v>
      </c>
      <c r="Q105">
        <v>0.11064990994520219</v>
      </c>
      <c r="R105">
        <f t="shared" si="35"/>
        <v>7.8413497131496808</v>
      </c>
      <c r="S105">
        <f t="shared" si="42"/>
        <v>-6.6295923622787134</v>
      </c>
      <c r="T105">
        <f t="shared" si="43"/>
        <v>0.29577526285696809</v>
      </c>
      <c r="U105">
        <f t="shared" si="55"/>
        <v>0.50828980203622098</v>
      </c>
      <c r="W105">
        <v>112.2948</v>
      </c>
      <c r="X105">
        <v>7.424935882659553E-2</v>
      </c>
      <c r="Y105">
        <f t="shared" si="36"/>
        <v>8.3378168995607798</v>
      </c>
      <c r="Z105">
        <f t="shared" si="44"/>
        <v>-8.8297188285497263</v>
      </c>
      <c r="AA105">
        <f t="shared" si="45"/>
        <v>1.9043512034140448</v>
      </c>
      <c r="AB105">
        <f t="shared" si="56"/>
        <v>2.8855147406921082</v>
      </c>
      <c r="AD105">
        <v>83.067149999999998</v>
      </c>
      <c r="AE105">
        <v>0.14047475041430882</v>
      </c>
      <c r="AF105">
        <f t="shared" si="37"/>
        <v>11.668837163877953</v>
      </c>
      <c r="AG105">
        <f t="shared" si="46"/>
        <v>-6.6717862062301787</v>
      </c>
      <c r="AH105">
        <f t="shared" si="47"/>
        <v>0.25358141890550279</v>
      </c>
      <c r="AI105">
        <f t="shared" si="57"/>
        <v>0.25358141890550279</v>
      </c>
      <c r="AK105">
        <v>81.506900000000002</v>
      </c>
      <c r="AL105">
        <v>7.6485129743771779E-2</v>
      </c>
      <c r="AM105">
        <f t="shared" si="38"/>
        <v>6.2340658215126323</v>
      </c>
      <c r="AN105">
        <f t="shared" si="48"/>
        <v>-6.9754515873894469</v>
      </c>
      <c r="AO105">
        <f t="shared" si="49"/>
        <v>5.0083962253765435E-2</v>
      </c>
      <c r="AP105">
        <f t="shared" si="58"/>
        <v>4.3603753178411466</v>
      </c>
      <c r="AR105">
        <v>78.950649999999996</v>
      </c>
      <c r="AS105">
        <v>0.47674257872823855</v>
      </c>
      <c r="AT105">
        <f t="shared" si="39"/>
        <v>37.639136473270604</v>
      </c>
      <c r="AU105">
        <f t="shared" si="50"/>
        <v>-6.3047873646489228</v>
      </c>
      <c r="AV105">
        <f t="shared" si="51"/>
        <v>0.62058026048675874</v>
      </c>
      <c r="AW105">
        <f t="shared" si="59"/>
        <v>0.62058026048675874</v>
      </c>
      <c r="AY105" s="4">
        <f t="shared" si="31"/>
        <v>82.196414874256917</v>
      </c>
      <c r="AZ105">
        <f t="shared" si="52"/>
        <v>-6.9253676251356815</v>
      </c>
    </row>
    <row r="106" spans="1:52" x14ac:dyDescent="0.35">
      <c r="A106" s="2">
        <v>39661</v>
      </c>
      <c r="B106">
        <v>93.244630000000001</v>
      </c>
      <c r="C106">
        <v>4.3109290990094459E-2</v>
      </c>
      <c r="D106">
        <f t="shared" si="60"/>
        <v>4.0197098879336917</v>
      </c>
      <c r="E106">
        <f t="shared" si="40"/>
        <v>-2.1176144799112229</v>
      </c>
      <c r="F106">
        <f t="shared" si="32"/>
        <v>1.7068140412740851</v>
      </c>
      <c r="G106">
        <f t="shared" si="53"/>
        <v>1.4367202882422552</v>
      </c>
      <c r="I106">
        <v>83.693790000000007</v>
      </c>
      <c r="J106">
        <v>7.8288981351788647E-2</v>
      </c>
      <c r="K106">
        <f t="shared" si="33"/>
        <v>6.5523015645705156</v>
      </c>
      <c r="L106">
        <f t="shared" si="41"/>
        <v>2.8855325200798587</v>
      </c>
      <c r="M106">
        <f t="shared" si="34"/>
        <v>3.2963329587169965</v>
      </c>
      <c r="N106">
        <f t="shared" si="54"/>
        <v>1.6260427629065766</v>
      </c>
      <c r="P106">
        <v>71.6066</v>
      </c>
      <c r="Q106">
        <v>0.11064990994520219</v>
      </c>
      <c r="R106">
        <f t="shared" si="35"/>
        <v>7.9232638414821146</v>
      </c>
      <c r="S106">
        <f t="shared" si="42"/>
        <v>1.0446432225190261</v>
      </c>
      <c r="T106">
        <f t="shared" si="43"/>
        <v>1.4554436611561639</v>
      </c>
      <c r="U106">
        <f t="shared" si="55"/>
        <v>1.1596683982991958</v>
      </c>
      <c r="W106">
        <v>113.0218</v>
      </c>
      <c r="X106">
        <v>7.424935882659553E-2</v>
      </c>
      <c r="Y106">
        <f t="shared" si="36"/>
        <v>8.3917961834277151</v>
      </c>
      <c r="Z106">
        <f t="shared" si="44"/>
        <v>0.64740308545008229</v>
      </c>
      <c r="AA106">
        <f t="shared" si="45"/>
        <v>1.0582035240872201</v>
      </c>
      <c r="AB106">
        <f t="shared" si="56"/>
        <v>0.80462210518171728</v>
      </c>
      <c r="AD106">
        <v>80.390690000000006</v>
      </c>
      <c r="AE106">
        <v>0.14047475041430882</v>
      </c>
      <c r="AF106">
        <f t="shared" si="37"/>
        <v>11.292862113384073</v>
      </c>
      <c r="AG106">
        <f t="shared" si="46"/>
        <v>-3.2220438524735662</v>
      </c>
      <c r="AH106">
        <f t="shared" si="47"/>
        <v>2.8112434138364284</v>
      </c>
      <c r="AI106">
        <f t="shared" si="57"/>
        <v>2.8112434138364284</v>
      </c>
      <c r="AK106">
        <v>82.907709999999994</v>
      </c>
      <c r="AL106">
        <v>7.6485129743771779E-2</v>
      </c>
      <c r="AM106">
        <f t="shared" si="38"/>
        <v>6.341206956109005</v>
      </c>
      <c r="AN106">
        <f t="shared" si="48"/>
        <v>1.7186397716021595</v>
      </c>
      <c r="AO106">
        <f t="shared" si="49"/>
        <v>2.1294402102392973</v>
      </c>
      <c r="AP106">
        <f t="shared" si="58"/>
        <v>9.0548078353749784</v>
      </c>
      <c r="AR106">
        <v>78.318179999999998</v>
      </c>
      <c r="AS106">
        <v>0.47674257872823855</v>
      </c>
      <c r="AT106">
        <f t="shared" si="39"/>
        <v>37.337611094502357</v>
      </c>
      <c r="AU106">
        <f t="shared" si="50"/>
        <v>-0.80109536780254009</v>
      </c>
      <c r="AV106">
        <f t="shared" si="51"/>
        <v>0.39029492916540232</v>
      </c>
      <c r="AW106">
        <f t="shared" si="59"/>
        <v>0.39029492916540232</v>
      </c>
      <c r="AY106" s="4">
        <f t="shared" si="31"/>
        <v>81.858751641409469</v>
      </c>
      <c r="AZ106">
        <f t="shared" si="52"/>
        <v>-0.41080043863713778</v>
      </c>
    </row>
    <row r="107" spans="1:52" x14ac:dyDescent="0.35">
      <c r="A107" s="2">
        <v>39692</v>
      </c>
      <c r="B107">
        <v>87.247450000000001</v>
      </c>
      <c r="C107">
        <v>4.3109290990094459E-2</v>
      </c>
      <c r="D107">
        <f t="shared" si="60"/>
        <v>3.7611757101937169</v>
      </c>
      <c r="E107">
        <f t="shared" si="40"/>
        <v>-6.4316626062004829</v>
      </c>
      <c r="F107">
        <f t="shared" si="32"/>
        <v>1.2335248519338311</v>
      </c>
      <c r="G107">
        <f t="shared" si="53"/>
        <v>0.47328918934025399</v>
      </c>
      <c r="I107">
        <v>80.191820000000007</v>
      </c>
      <c r="J107">
        <v>7.8288981351788647E-2</v>
      </c>
      <c r="K107">
        <f t="shared" si="33"/>
        <v>6.2781359005459922</v>
      </c>
      <c r="L107">
        <f t="shared" si="41"/>
        <v>-4.1842650452321495</v>
      </c>
      <c r="M107">
        <f t="shared" si="34"/>
        <v>1.0138727090345023</v>
      </c>
      <c r="N107">
        <f t="shared" si="54"/>
        <v>2.2824602496824942</v>
      </c>
      <c r="P107">
        <v>68.080539999999999</v>
      </c>
      <c r="Q107">
        <v>0.11064990994520219</v>
      </c>
      <c r="R107">
        <f t="shared" si="35"/>
        <v>7.5331056200207351</v>
      </c>
      <c r="S107">
        <f t="shared" si="42"/>
        <v>-4.9242108967609166</v>
      </c>
      <c r="T107">
        <f t="shared" si="43"/>
        <v>0.2739268575057352</v>
      </c>
      <c r="U107">
        <f t="shared" si="55"/>
        <v>1.1815168036504287</v>
      </c>
      <c r="W107">
        <v>108.92740000000001</v>
      </c>
      <c r="X107">
        <v>7.424935882659553E-2</v>
      </c>
      <c r="Y107">
        <f t="shared" si="36"/>
        <v>8.0877896086481016</v>
      </c>
      <c r="Z107">
        <f t="shared" si="44"/>
        <v>-3.6226639462475285</v>
      </c>
      <c r="AA107">
        <f t="shared" si="45"/>
        <v>1.5754738080191233</v>
      </c>
      <c r="AB107">
        <f t="shared" si="56"/>
        <v>1.2357696058173051</v>
      </c>
      <c r="AD107">
        <v>75.191820000000007</v>
      </c>
      <c r="AE107">
        <v>0.14047475041430882</v>
      </c>
      <c r="AF107">
        <f t="shared" si="37"/>
        <v>10.562552147697636</v>
      </c>
      <c r="AG107">
        <f t="shared" si="46"/>
        <v>-6.4670050723535262</v>
      </c>
      <c r="AH107">
        <f t="shared" si="47"/>
        <v>1.2688673180868744</v>
      </c>
      <c r="AI107">
        <f t="shared" si="57"/>
        <v>1.2688673180868744</v>
      </c>
      <c r="AK107">
        <v>79.330640000000002</v>
      </c>
      <c r="AL107">
        <v>7.6485129743771779E-2</v>
      </c>
      <c r="AM107">
        <f t="shared" si="38"/>
        <v>6.0676142930564518</v>
      </c>
      <c r="AN107">
        <f t="shared" si="48"/>
        <v>-4.314520326276039</v>
      </c>
      <c r="AO107">
        <f t="shared" si="49"/>
        <v>0.88361742799061282</v>
      </c>
      <c r="AP107">
        <f t="shared" si="58"/>
        <v>1.2944178666277506</v>
      </c>
      <c r="AR107">
        <v>74.071939999999998</v>
      </c>
      <c r="AS107">
        <v>0.47674257872823855</v>
      </c>
      <c r="AT107">
        <f t="shared" si="39"/>
        <v>35.313247687003361</v>
      </c>
      <c r="AU107">
        <f t="shared" si="50"/>
        <v>-5.4217807410744223</v>
      </c>
      <c r="AV107">
        <f t="shared" si="51"/>
        <v>0.22364298680777051</v>
      </c>
      <c r="AW107">
        <f t="shared" si="59"/>
        <v>0.22364298680777051</v>
      </c>
      <c r="AY107" s="4">
        <f t="shared" si="31"/>
        <v>77.603620967165995</v>
      </c>
      <c r="AZ107">
        <f t="shared" si="52"/>
        <v>-5.1981377542666518</v>
      </c>
    </row>
    <row r="108" spans="1:52" x14ac:dyDescent="0.35">
      <c r="A108" s="2">
        <v>39722</v>
      </c>
      <c r="B108">
        <v>67.949299999999994</v>
      </c>
      <c r="C108">
        <v>4.3109290990094459E-2</v>
      </c>
      <c r="D108">
        <f t="shared" si="60"/>
        <v>2.9292461462732251</v>
      </c>
      <c r="E108">
        <f t="shared" si="40"/>
        <v>-22.118869949780773</v>
      </c>
      <c r="F108">
        <f t="shared" si="32"/>
        <v>0.78744613567772603</v>
      </c>
      <c r="G108">
        <f t="shared" si="53"/>
        <v>0.44607871625610507</v>
      </c>
      <c r="I108">
        <v>65.51549</v>
      </c>
      <c r="J108">
        <v>7.8288981351788647E-2</v>
      </c>
      <c r="K108">
        <f t="shared" si="33"/>
        <v>5.1291409748632955</v>
      </c>
      <c r="L108">
        <f t="shared" si="41"/>
        <v>-18.301530006427093</v>
      </c>
      <c r="M108">
        <f t="shared" si="34"/>
        <v>3.0298938076759541</v>
      </c>
      <c r="N108">
        <f t="shared" si="54"/>
        <v>2.0160210986414517</v>
      </c>
      <c r="P108">
        <v>53.885689999999997</v>
      </c>
      <c r="Q108">
        <v>0.11064990994520219</v>
      </c>
      <c r="R108">
        <f t="shared" si="35"/>
        <v>5.9624467458350816</v>
      </c>
      <c r="S108">
        <f t="shared" si="42"/>
        <v>-20.850084326593187</v>
      </c>
      <c r="T108">
        <f t="shared" si="43"/>
        <v>0.48133948750986022</v>
      </c>
      <c r="U108">
        <f t="shared" si="55"/>
        <v>0.20741263000412502</v>
      </c>
      <c r="W108">
        <v>86.826419999999999</v>
      </c>
      <c r="X108">
        <v>7.424935882659553E-2</v>
      </c>
      <c r="Y108">
        <f t="shared" si="36"/>
        <v>6.4468060142086907</v>
      </c>
      <c r="Z108">
        <f t="shared" si="44"/>
        <v>-20.289642459105796</v>
      </c>
      <c r="AA108">
        <f t="shared" si="45"/>
        <v>1.0417813549972514</v>
      </c>
      <c r="AB108">
        <f t="shared" si="56"/>
        <v>0.22708596308962292</v>
      </c>
      <c r="AD108">
        <v>58.681780000000003</v>
      </c>
      <c r="AE108">
        <v>0.14047475041430882</v>
      </c>
      <c r="AF108">
        <f t="shared" si="37"/>
        <v>8.243308399367379</v>
      </c>
      <c r="AG108">
        <f t="shared" si="46"/>
        <v>-21.957228858139089</v>
      </c>
      <c r="AH108">
        <f t="shared" si="47"/>
        <v>0.62580504403604209</v>
      </c>
      <c r="AI108">
        <f t="shared" si="57"/>
        <v>0.62580504403604209</v>
      </c>
      <c r="AK108">
        <v>64.930790000000002</v>
      </c>
      <c r="AL108">
        <v>7.6485129743771779E-2</v>
      </c>
      <c r="AM108">
        <f t="shared" si="38"/>
        <v>4.9662398975155995</v>
      </c>
      <c r="AN108">
        <f t="shared" si="48"/>
        <v>-18.15168767074109</v>
      </c>
      <c r="AO108">
        <f t="shared" si="49"/>
        <v>3.1797361433619571</v>
      </c>
      <c r="AP108">
        <f t="shared" si="58"/>
        <v>8.3778738976286089</v>
      </c>
      <c r="AR108">
        <v>57.41563</v>
      </c>
      <c r="AS108">
        <v>0.47674257872823855</v>
      </c>
      <c r="AT108">
        <f t="shared" si="39"/>
        <v>27.372475505506415</v>
      </c>
      <c r="AU108">
        <f t="shared" si="50"/>
        <v>-22.486666340857276</v>
      </c>
      <c r="AV108">
        <f t="shared" si="51"/>
        <v>1.155242526754229</v>
      </c>
      <c r="AW108">
        <f t="shared" si="59"/>
        <v>1.155242526754229</v>
      </c>
      <c r="AY108" s="4">
        <f t="shared" si="31"/>
        <v>61.049663683569683</v>
      </c>
      <c r="AZ108">
        <f t="shared" si="52"/>
        <v>-21.331423814103047</v>
      </c>
    </row>
    <row r="109" spans="1:52" x14ac:dyDescent="0.35">
      <c r="A109" s="2">
        <v>39753</v>
      </c>
      <c r="B109">
        <v>63.070320000000002</v>
      </c>
      <c r="C109">
        <v>4.3109290990094459E-2</v>
      </c>
      <c r="D109">
        <f t="shared" si="60"/>
        <v>2.7189167777183747</v>
      </c>
      <c r="E109">
        <f t="shared" si="40"/>
        <v>-7.1803241534496909</v>
      </c>
      <c r="F109">
        <f t="shared" si="32"/>
        <v>0.1134830404929339</v>
      </c>
      <c r="G109">
        <f t="shared" si="53"/>
        <v>0.67396309518479214</v>
      </c>
      <c r="I109">
        <v>61.7864</v>
      </c>
      <c r="J109">
        <v>7.8288981351788647E-2</v>
      </c>
      <c r="K109">
        <f t="shared" si="33"/>
        <v>4.8371943173941538</v>
      </c>
      <c r="L109">
        <f t="shared" si="41"/>
        <v>-5.691921101406705</v>
      </c>
      <c r="M109">
        <f t="shared" si="34"/>
        <v>1.6018860925359197</v>
      </c>
      <c r="N109">
        <f t="shared" si="54"/>
        <v>1.4280077151400343</v>
      </c>
      <c r="P109">
        <v>50.317210000000003</v>
      </c>
      <c r="Q109">
        <v>0.11064990994520219</v>
      </c>
      <c r="R109">
        <f t="shared" si="35"/>
        <v>5.5675947551938272</v>
      </c>
      <c r="S109">
        <f t="shared" si="42"/>
        <v>-6.6223147555501178</v>
      </c>
      <c r="T109">
        <f t="shared" si="43"/>
        <v>0.67149243839250694</v>
      </c>
      <c r="U109">
        <f t="shared" si="55"/>
        <v>0.19015295088264672</v>
      </c>
      <c r="W109">
        <v>82.705330000000004</v>
      </c>
      <c r="X109">
        <v>7.424935882659553E-2</v>
      </c>
      <c r="Y109">
        <f t="shared" si="36"/>
        <v>6.1408177240419963</v>
      </c>
      <c r="Z109">
        <f t="shared" si="44"/>
        <v>-4.7463548537415186</v>
      </c>
      <c r="AA109">
        <f t="shared" si="45"/>
        <v>2.5474523402011062</v>
      </c>
      <c r="AB109">
        <f t="shared" si="56"/>
        <v>1.9216472961650641</v>
      </c>
      <c r="AD109">
        <v>55.155059999999999</v>
      </c>
      <c r="AE109">
        <v>0.14047475041430882</v>
      </c>
      <c r="AF109">
        <f t="shared" si="37"/>
        <v>7.7478932875862272</v>
      </c>
      <c r="AG109">
        <f t="shared" si="46"/>
        <v>-6.0099063116354046</v>
      </c>
      <c r="AH109">
        <f t="shared" si="47"/>
        <v>1.2839008823072202</v>
      </c>
      <c r="AI109">
        <f t="shared" si="57"/>
        <v>1.2839008823072202</v>
      </c>
      <c r="AK109">
        <v>64.049800000000005</v>
      </c>
      <c r="AL109">
        <v>7.6485129743771779E-2</v>
      </c>
      <c r="AM109">
        <f t="shared" si="38"/>
        <v>4.8988572630626344</v>
      </c>
      <c r="AN109">
        <f t="shared" si="48"/>
        <v>-1.3568139244878985</v>
      </c>
      <c r="AO109">
        <f t="shared" si="49"/>
        <v>5.9369932694547263</v>
      </c>
      <c r="AP109">
        <f t="shared" si="58"/>
        <v>27.268417083557772</v>
      </c>
      <c r="AR109">
        <v>51.779609999999998</v>
      </c>
      <c r="AS109">
        <v>0.47674257872823855</v>
      </c>
      <c r="AT109">
        <f t="shared" si="39"/>
        <v>24.685544796942487</v>
      </c>
      <c r="AU109">
        <f t="shared" si="50"/>
        <v>-9.8161772325758729</v>
      </c>
      <c r="AV109">
        <f t="shared" si="51"/>
        <v>2.5223700386332482</v>
      </c>
      <c r="AW109">
        <f t="shared" si="59"/>
        <v>2.5223700386332482</v>
      </c>
      <c r="AY109" s="4">
        <f t="shared" si="31"/>
        <v>56.5968189219397</v>
      </c>
      <c r="AZ109">
        <f t="shared" si="52"/>
        <v>-7.2938071939426248</v>
      </c>
    </row>
    <row r="110" spans="1:52" x14ac:dyDescent="0.35">
      <c r="A110" s="2">
        <v>39783</v>
      </c>
      <c r="B110">
        <v>58.989870000000003</v>
      </c>
      <c r="C110">
        <v>4.3109290990094459E-2</v>
      </c>
      <c r="D110">
        <f t="shared" si="60"/>
        <v>2.5430114712978438</v>
      </c>
      <c r="E110">
        <f t="shared" si="40"/>
        <v>-6.4696833629510619</v>
      </c>
      <c r="F110">
        <f t="shared" si="32"/>
        <v>4.5313072822900651</v>
      </c>
      <c r="G110">
        <f t="shared" si="53"/>
        <v>4.4178242417971312</v>
      </c>
      <c r="I110">
        <v>59.877769999999998</v>
      </c>
      <c r="J110">
        <v>7.8288981351788647E-2</v>
      </c>
      <c r="K110">
        <f t="shared" si="33"/>
        <v>4.6877696189166898</v>
      </c>
      <c r="L110">
        <f t="shared" si="41"/>
        <v>-3.0890778553209208</v>
      </c>
      <c r="M110">
        <f t="shared" si="34"/>
        <v>1.1507017746599235</v>
      </c>
      <c r="N110">
        <f t="shared" si="54"/>
        <v>0.45118431787599622</v>
      </c>
      <c r="P110">
        <v>48.954219999999999</v>
      </c>
      <c r="Q110">
        <v>0.11064990994520219</v>
      </c>
      <c r="R110">
        <f t="shared" si="35"/>
        <v>5.4167800344376156</v>
      </c>
      <c r="S110">
        <f t="shared" si="42"/>
        <v>-2.7087948636261849</v>
      </c>
      <c r="T110">
        <f t="shared" si="43"/>
        <v>0.77041878296518762</v>
      </c>
      <c r="U110">
        <f t="shared" si="55"/>
        <v>9.892634457268068E-2</v>
      </c>
      <c r="W110">
        <v>77.121600000000001</v>
      </c>
      <c r="X110">
        <v>7.424935882659553E-2</v>
      </c>
      <c r="Y110">
        <f t="shared" si="36"/>
        <v>5.7262293516811695</v>
      </c>
      <c r="Z110">
        <f t="shared" si="44"/>
        <v>-6.7513544773958323</v>
      </c>
      <c r="AA110">
        <f t="shared" si="45"/>
        <v>4.8129783967348345</v>
      </c>
      <c r="AB110">
        <f t="shared" si="56"/>
        <v>3.5290775144276143</v>
      </c>
      <c r="AD110">
        <v>53.484850000000002</v>
      </c>
      <c r="AE110">
        <v>0.14047475041430882</v>
      </c>
      <c r="AF110">
        <f t="shared" si="37"/>
        <v>7.5132709546967451</v>
      </c>
      <c r="AG110">
        <f t="shared" si="46"/>
        <v>-3.0282081100084013</v>
      </c>
      <c r="AH110">
        <f t="shared" si="47"/>
        <v>1.089832029347404</v>
      </c>
      <c r="AI110">
        <f t="shared" si="57"/>
        <v>1.089832029347404</v>
      </c>
      <c r="AK110">
        <v>64.687719999999999</v>
      </c>
      <c r="AL110">
        <v>7.6485129743771779E-2</v>
      </c>
      <c r="AM110">
        <f t="shared" si="38"/>
        <v>4.9476486570287808</v>
      </c>
      <c r="AN110">
        <f t="shared" si="48"/>
        <v>0.99597500694770247</v>
      </c>
      <c r="AO110">
        <f t="shared" si="49"/>
        <v>2.9343510876086998</v>
      </c>
      <c r="AP110">
        <f t="shared" si="58"/>
        <v>10.228158281551325</v>
      </c>
      <c r="AR110">
        <v>51.736620000000002</v>
      </c>
      <c r="AS110">
        <v>0.47674257872823855</v>
      </c>
      <c r="AT110">
        <f t="shared" si="39"/>
        <v>24.665049633482962</v>
      </c>
      <c r="AU110">
        <f t="shared" si="50"/>
        <v>-8.302495905240237E-2</v>
      </c>
      <c r="AV110">
        <f t="shared" si="51"/>
        <v>1.8553511216085949</v>
      </c>
      <c r="AW110">
        <f t="shared" si="59"/>
        <v>1.8553511216085949</v>
      </c>
      <c r="AY110" s="4">
        <f t="shared" si="31"/>
        <v>55.499759721541807</v>
      </c>
      <c r="AZ110">
        <f t="shared" si="52"/>
        <v>-1.9383760806609973</v>
      </c>
    </row>
    <row r="111" spans="1:52" x14ac:dyDescent="0.35">
      <c r="A111" s="2">
        <v>39814</v>
      </c>
      <c r="B111">
        <v>62.020400000000002</v>
      </c>
      <c r="C111">
        <v>4.3489996265982343E-2</v>
      </c>
      <c r="D111">
        <f t="shared" si="60"/>
        <v>2.6972669644147316</v>
      </c>
      <c r="E111">
        <f t="shared" si="40"/>
        <v>5.1373735863462722</v>
      </c>
      <c r="F111">
        <f t="shared" si="32"/>
        <v>5.6330723544437689</v>
      </c>
      <c r="G111">
        <f t="shared" si="53"/>
        <v>1.1017650721537038</v>
      </c>
      <c r="I111">
        <v>58.653469999999999</v>
      </c>
      <c r="J111">
        <v>7.9014346914646705E-2</v>
      </c>
      <c r="K111">
        <f t="shared" si="33"/>
        <v>4.634465626327823</v>
      </c>
      <c r="L111">
        <f t="shared" si="41"/>
        <v>-2.0446653240426271</v>
      </c>
      <c r="M111">
        <f t="shared" si="34"/>
        <v>1.5489665559451304</v>
      </c>
      <c r="N111">
        <f t="shared" si="54"/>
        <v>0.39826478128520693</v>
      </c>
      <c r="P111">
        <v>48.439480000000003</v>
      </c>
      <c r="Q111">
        <v>0.10843210382595202</v>
      </c>
      <c r="R111">
        <f t="shared" si="35"/>
        <v>5.2523947246351268</v>
      </c>
      <c r="S111">
        <f t="shared" si="42"/>
        <v>-1.0514721713470232</v>
      </c>
      <c r="T111">
        <f t="shared" si="43"/>
        <v>0.55577340324952651</v>
      </c>
      <c r="U111">
        <f t="shared" si="55"/>
        <v>0.21464537971566111</v>
      </c>
      <c r="W111">
        <v>76.625929999999997</v>
      </c>
      <c r="X111">
        <v>7.3079714321793263E-2</v>
      </c>
      <c r="Y111">
        <f t="shared" si="36"/>
        <v>5.5998010740417277</v>
      </c>
      <c r="Z111">
        <f t="shared" si="44"/>
        <v>-0.64271228812681214</v>
      </c>
      <c r="AA111">
        <f t="shared" si="45"/>
        <v>0.14701352002931545</v>
      </c>
      <c r="AB111">
        <f t="shared" si="56"/>
        <v>0.94281850931808853</v>
      </c>
      <c r="AD111">
        <v>53.172849999999997</v>
      </c>
      <c r="AE111">
        <v>0.13766002733748425</v>
      </c>
      <c r="AF111">
        <f t="shared" si="37"/>
        <v>7.3197759846119492</v>
      </c>
      <c r="AG111">
        <f t="shared" si="46"/>
        <v>-0.58334275967868443</v>
      </c>
      <c r="AH111">
        <f t="shared" si="47"/>
        <v>8.7643991581187741E-2</v>
      </c>
      <c r="AI111">
        <f t="shared" si="57"/>
        <v>8.7643991581187741E-2</v>
      </c>
      <c r="AK111">
        <v>65.032690000000002</v>
      </c>
      <c r="AL111">
        <v>7.5809568862728882E-2</v>
      </c>
      <c r="AM111">
        <f t="shared" si="38"/>
        <v>4.9301001908835005</v>
      </c>
      <c r="AN111">
        <f t="shared" si="48"/>
        <v>0.53328514283701445</v>
      </c>
      <c r="AO111">
        <f t="shared" si="49"/>
        <v>1.0289839109345111</v>
      </c>
      <c r="AP111">
        <f t="shared" si="58"/>
        <v>2.9673599915955085</v>
      </c>
      <c r="AR111">
        <v>51.37847</v>
      </c>
      <c r="AS111">
        <v>0.48251424247141256</v>
      </c>
      <c r="AT111">
        <f t="shared" si="39"/>
        <v>24.790843531390195</v>
      </c>
      <c r="AU111">
        <f t="shared" si="50"/>
        <v>-0.69225627804831991</v>
      </c>
      <c r="AV111">
        <f t="shared" si="51"/>
        <v>0.19655750995082322</v>
      </c>
      <c r="AW111">
        <f t="shared" si="59"/>
        <v>0.19655750995082322</v>
      </c>
      <c r="AY111" s="4">
        <f t="shared" si="31"/>
        <v>55.224648096305053</v>
      </c>
      <c r="AZ111">
        <f t="shared" si="52"/>
        <v>-0.49569876809749669</v>
      </c>
    </row>
    <row r="112" spans="1:52" x14ac:dyDescent="0.35">
      <c r="A112" s="2">
        <v>39845</v>
      </c>
      <c r="B112">
        <v>58.927239999999998</v>
      </c>
      <c r="C112">
        <v>4.3489996265982343E-2</v>
      </c>
      <c r="D112">
        <f t="shared" si="60"/>
        <v>2.5627454475646454</v>
      </c>
      <c r="E112">
        <f t="shared" si="40"/>
        <v>-4.9873267505530556</v>
      </c>
      <c r="F112">
        <f t="shared" si="32"/>
        <v>2.0938805583341829</v>
      </c>
      <c r="G112">
        <f t="shared" si="53"/>
        <v>3.539191796109586</v>
      </c>
      <c r="I112">
        <v>55.148269999999997</v>
      </c>
      <c r="J112">
        <v>7.9014346914646705E-2</v>
      </c>
      <c r="K112">
        <f t="shared" si="33"/>
        <v>4.3575045375226029</v>
      </c>
      <c r="L112">
        <f t="shared" si="41"/>
        <v>-5.9761170140487874</v>
      </c>
      <c r="M112">
        <f t="shared" si="34"/>
        <v>1.1050902948384511</v>
      </c>
      <c r="N112">
        <f t="shared" si="54"/>
        <v>0.44387626110667933</v>
      </c>
      <c r="P112">
        <v>45.306699999999999</v>
      </c>
      <c r="Q112">
        <v>0.10843210382595202</v>
      </c>
      <c r="R112">
        <f t="shared" si="35"/>
        <v>4.9127007984112598</v>
      </c>
      <c r="S112">
        <f t="shared" si="42"/>
        <v>-6.4674104676598621</v>
      </c>
      <c r="T112">
        <f t="shared" si="43"/>
        <v>0.61379684122737643</v>
      </c>
      <c r="U112">
        <f t="shared" si="55"/>
        <v>5.8023437977849923E-2</v>
      </c>
      <c r="W112">
        <v>70.668199999999999</v>
      </c>
      <c r="X112">
        <v>7.3079714321793263E-2</v>
      </c>
      <c r="Y112">
        <f t="shared" si="36"/>
        <v>5.1644118676353505</v>
      </c>
      <c r="Z112">
        <f t="shared" si="44"/>
        <v>-7.7750834476005721</v>
      </c>
      <c r="AA112">
        <f t="shared" si="45"/>
        <v>0.69387613871333365</v>
      </c>
      <c r="AB112">
        <f t="shared" si="56"/>
        <v>0.6062321471321459</v>
      </c>
      <c r="AD112">
        <v>49.181359999999998</v>
      </c>
      <c r="AE112">
        <v>0.13766002733748425</v>
      </c>
      <c r="AF112">
        <f t="shared" si="37"/>
        <v>6.7703073620946546</v>
      </c>
      <c r="AG112">
        <f t="shared" si="46"/>
        <v>-7.5066316738711558</v>
      </c>
      <c r="AH112">
        <f t="shared" si="47"/>
        <v>0.42542436498391734</v>
      </c>
      <c r="AI112">
        <f t="shared" si="57"/>
        <v>0.42542436498391734</v>
      </c>
      <c r="AK112">
        <v>61.77861</v>
      </c>
      <c r="AL112">
        <v>7.5809568862728882E-2</v>
      </c>
      <c r="AM112">
        <f t="shared" si="38"/>
        <v>4.683409789038671</v>
      </c>
      <c r="AN112">
        <f t="shared" si="48"/>
        <v>-5.0037604164920761</v>
      </c>
      <c r="AO112">
        <f t="shared" si="49"/>
        <v>2.0774468923951623</v>
      </c>
      <c r="AP112">
        <f t="shared" si="58"/>
        <v>2.573145660492659</v>
      </c>
      <c r="AR112">
        <v>47.383049999999997</v>
      </c>
      <c r="AS112">
        <v>0.48251424247141256</v>
      </c>
      <c r="AT112">
        <f t="shared" si="39"/>
        <v>22.862996476735063</v>
      </c>
      <c r="AU112">
        <f t="shared" si="50"/>
        <v>-7.7764479946561327</v>
      </c>
      <c r="AV112">
        <f t="shared" si="51"/>
        <v>0.6952406857688942</v>
      </c>
      <c r="AW112">
        <f t="shared" si="59"/>
        <v>0.6952406857688942</v>
      </c>
      <c r="AY112" s="4">
        <f t="shared" si="31"/>
        <v>51.314076279002244</v>
      </c>
      <c r="AZ112">
        <f t="shared" si="52"/>
        <v>-7.0812073088872385</v>
      </c>
    </row>
    <row r="113" spans="1:52" x14ac:dyDescent="0.35">
      <c r="A113" s="2">
        <v>39873</v>
      </c>
      <c r="B113">
        <v>57.981780000000001</v>
      </c>
      <c r="C113">
        <v>4.3489996265982343E-2</v>
      </c>
      <c r="D113">
        <f t="shared" si="60"/>
        <v>2.5216273956950097</v>
      </c>
      <c r="E113">
        <f t="shared" si="40"/>
        <v>-1.6044532206157869</v>
      </c>
      <c r="F113">
        <f t="shared" si="32"/>
        <v>4.6611728008408289</v>
      </c>
      <c r="G113">
        <f t="shared" si="53"/>
        <v>2.567292242506646</v>
      </c>
      <c r="I113">
        <v>51.599800000000002</v>
      </c>
      <c r="J113">
        <v>7.9014346914646705E-2</v>
      </c>
      <c r="K113">
        <f t="shared" si="33"/>
        <v>4.0771244979263868</v>
      </c>
      <c r="L113">
        <f t="shared" si="41"/>
        <v>-6.4344176163640192</v>
      </c>
      <c r="M113">
        <f t="shared" si="34"/>
        <v>0.16879159490740303</v>
      </c>
      <c r="N113">
        <f t="shared" si="54"/>
        <v>0.93629869993104808</v>
      </c>
      <c r="P113">
        <v>42.06982</v>
      </c>
      <c r="Q113">
        <v>0.10843210382595202</v>
      </c>
      <c r="R113">
        <f t="shared" si="35"/>
        <v>4.5617190901791123</v>
      </c>
      <c r="S113">
        <f t="shared" si="42"/>
        <v>-7.1443737901899729</v>
      </c>
      <c r="T113">
        <f t="shared" si="43"/>
        <v>0.87874776873335669</v>
      </c>
      <c r="U113">
        <f t="shared" si="55"/>
        <v>0.26495092750598026</v>
      </c>
      <c r="W113">
        <v>61.303379999999997</v>
      </c>
      <c r="X113">
        <v>7.3079714321793263E-2</v>
      </c>
      <c r="Y113">
        <f t="shared" si="36"/>
        <v>4.4800334973603348</v>
      </c>
      <c r="Z113">
        <f t="shared" si="44"/>
        <v>-13.251816234176051</v>
      </c>
      <c r="AA113">
        <f t="shared" si="45"/>
        <v>6.9861902127194346</v>
      </c>
      <c r="AB113">
        <f t="shared" si="56"/>
        <v>6.5607658477355173</v>
      </c>
      <c r="AD113">
        <v>48.791359999999997</v>
      </c>
      <c r="AE113">
        <v>0.13766002733748425</v>
      </c>
      <c r="AF113">
        <f t="shared" si="37"/>
        <v>6.7166199514330351</v>
      </c>
      <c r="AG113">
        <f t="shared" si="46"/>
        <v>-0.79298335792259422</v>
      </c>
      <c r="AH113">
        <f t="shared" si="47"/>
        <v>5.472642663534022</v>
      </c>
      <c r="AI113">
        <f t="shared" si="57"/>
        <v>5.472642663534022</v>
      </c>
      <c r="AK113">
        <v>57.018180000000001</v>
      </c>
      <c r="AL113">
        <v>7.5809568862728882E-2</v>
      </c>
      <c r="AM113">
        <f t="shared" si="38"/>
        <v>4.3225236431374707</v>
      </c>
      <c r="AN113">
        <f t="shared" si="48"/>
        <v>-7.7056282101523488</v>
      </c>
      <c r="AO113">
        <f t="shared" si="49"/>
        <v>1.4400021886957326</v>
      </c>
      <c r="AP113">
        <f t="shared" si="58"/>
        <v>8.5212094975829711</v>
      </c>
      <c r="AR113">
        <v>44.390979999999999</v>
      </c>
      <c r="AS113">
        <v>0.48251424247141256</v>
      </c>
      <c r="AT113">
        <f t="shared" si="39"/>
        <v>21.419280087263626</v>
      </c>
      <c r="AU113">
        <f t="shared" si="50"/>
        <v>-6.3146420502690255</v>
      </c>
      <c r="AV113">
        <f t="shared" si="51"/>
        <v>4.9016028812409296E-2</v>
      </c>
      <c r="AW113">
        <f t="shared" si="59"/>
        <v>4.9016028812409296E-2</v>
      </c>
      <c r="AY113" s="4">
        <f t="shared" si="31"/>
        <v>48.09892816299498</v>
      </c>
      <c r="AZ113">
        <f t="shared" si="52"/>
        <v>-6.2656260214566162</v>
      </c>
    </row>
    <row r="114" spans="1:52" x14ac:dyDescent="0.35">
      <c r="A114" s="2">
        <v>39904</v>
      </c>
      <c r="B114">
        <v>64.320340000000002</v>
      </c>
      <c r="C114">
        <v>4.3489996265982343E-2</v>
      </c>
      <c r="D114">
        <f t="shared" si="60"/>
        <v>2.7972913464267148</v>
      </c>
      <c r="E114">
        <f t="shared" si="40"/>
        <v>10.931985875562988</v>
      </c>
      <c r="F114">
        <f t="shared" si="32"/>
        <v>1.2629543730446446</v>
      </c>
      <c r="G114">
        <f t="shared" si="53"/>
        <v>3.3982184277961842</v>
      </c>
      <c r="I114">
        <v>57.114960000000004</v>
      </c>
      <c r="J114">
        <v>7.9014346914646705E-2</v>
      </c>
      <c r="K114">
        <f t="shared" si="33"/>
        <v>4.51290126345617</v>
      </c>
      <c r="L114">
        <f t="shared" si="41"/>
        <v>10.688336001302323</v>
      </c>
      <c r="M114">
        <f t="shared" si="34"/>
        <v>1.5066042473053098</v>
      </c>
      <c r="N114">
        <f t="shared" si="54"/>
        <v>1.3378126523979068</v>
      </c>
      <c r="P114">
        <v>47.930520000000001</v>
      </c>
      <c r="Q114">
        <v>0.10843210382595202</v>
      </c>
      <c r="R114">
        <f t="shared" si="35"/>
        <v>5.1972071210718696</v>
      </c>
      <c r="S114">
        <f t="shared" si="42"/>
        <v>13.93088917423464</v>
      </c>
      <c r="T114">
        <f t="shared" si="43"/>
        <v>1.7359489256270066</v>
      </c>
      <c r="U114">
        <f t="shared" si="55"/>
        <v>0.85720115689364995</v>
      </c>
      <c r="W114">
        <v>72.516130000000004</v>
      </c>
      <c r="X114">
        <v>7.3079714321793263E-2</v>
      </c>
      <c r="Y114">
        <f t="shared" si="36"/>
        <v>5.2994580641220219</v>
      </c>
      <c r="Z114">
        <f t="shared" si="44"/>
        <v>18.290590176267617</v>
      </c>
      <c r="AA114">
        <f t="shared" si="45"/>
        <v>6.0956499276599843</v>
      </c>
      <c r="AB114">
        <f t="shared" si="56"/>
        <v>0.6230072641259623</v>
      </c>
      <c r="AD114">
        <v>53.612479999999998</v>
      </c>
      <c r="AE114">
        <v>0.13766002733748425</v>
      </c>
      <c r="AF114">
        <f t="shared" si="37"/>
        <v>7.3802954624303272</v>
      </c>
      <c r="AG114">
        <f t="shared" si="46"/>
        <v>9.8810937018357414</v>
      </c>
      <c r="AH114">
        <f t="shared" si="47"/>
        <v>2.3138465467718916</v>
      </c>
      <c r="AI114">
        <f t="shared" si="57"/>
        <v>2.3138465467718916</v>
      </c>
      <c r="AK114">
        <v>61.270180000000003</v>
      </c>
      <c r="AL114">
        <v>7.5809568862728882E-2</v>
      </c>
      <c r="AM114">
        <f t="shared" si="38"/>
        <v>4.644865929941794</v>
      </c>
      <c r="AN114">
        <f t="shared" si="48"/>
        <v>7.4572706459588911</v>
      </c>
      <c r="AO114">
        <f t="shared" si="49"/>
        <v>4.7376696026487419</v>
      </c>
      <c r="AP114">
        <f t="shared" si="58"/>
        <v>11.003295624105359</v>
      </c>
      <c r="AR114">
        <v>50.014159999999997</v>
      </c>
      <c r="AS114">
        <v>0.48251424247141256</v>
      </c>
      <c r="AT114">
        <f t="shared" si="39"/>
        <v>24.132544525244022</v>
      </c>
      <c r="AU114">
        <f t="shared" si="50"/>
        <v>12.6673932406989</v>
      </c>
      <c r="AV114">
        <f t="shared" si="51"/>
        <v>0.47245299209126657</v>
      </c>
      <c r="AW114">
        <f t="shared" si="59"/>
        <v>0.47245299209126657</v>
      </c>
      <c r="AY114" s="4">
        <f t="shared" si="31"/>
        <v>53.964563712692922</v>
      </c>
      <c r="AZ114">
        <f t="shared" si="52"/>
        <v>12.194940248607633</v>
      </c>
    </row>
    <row r="115" spans="1:52" x14ac:dyDescent="0.35">
      <c r="A115" s="2">
        <v>39934</v>
      </c>
      <c r="B115">
        <v>69.868660000000006</v>
      </c>
      <c r="C115">
        <v>4.3489996265982343E-2</v>
      </c>
      <c r="D115">
        <f t="shared" si="60"/>
        <v>3.0385877625091902</v>
      </c>
      <c r="E115">
        <f t="shared" si="40"/>
        <v>8.6260738049581231</v>
      </c>
      <c r="F115">
        <f t="shared" si="32"/>
        <v>0.32312929331448359</v>
      </c>
      <c r="G115">
        <f t="shared" si="53"/>
        <v>0.93982507973016105</v>
      </c>
      <c r="I115">
        <v>61.621899999999997</v>
      </c>
      <c r="J115">
        <v>7.9014346914646705E-2</v>
      </c>
      <c r="K115">
        <f t="shared" si="33"/>
        <v>4.8690141841396679</v>
      </c>
      <c r="L115">
        <f t="shared" si="41"/>
        <v>7.890997384923315</v>
      </c>
      <c r="M115">
        <f t="shared" si="34"/>
        <v>0.41194712672032452</v>
      </c>
      <c r="N115">
        <f t="shared" si="54"/>
        <v>1.0946571205849853</v>
      </c>
      <c r="P115">
        <v>50.52928</v>
      </c>
      <c r="Q115">
        <v>0.10843210382595202</v>
      </c>
      <c r="R115">
        <f t="shared" si="35"/>
        <v>5.4789961352106005</v>
      </c>
      <c r="S115">
        <f t="shared" si="42"/>
        <v>5.421931579294359</v>
      </c>
      <c r="T115">
        <f t="shared" si="43"/>
        <v>2.8810129323492806</v>
      </c>
      <c r="U115">
        <f t="shared" si="55"/>
        <v>1.1450640067222739</v>
      </c>
      <c r="W115">
        <v>81.067049999999995</v>
      </c>
      <c r="X115">
        <v>7.3079714321793263E-2</v>
      </c>
      <c r="Y115">
        <f t="shared" si="36"/>
        <v>5.9243568549105303</v>
      </c>
      <c r="Z115">
        <f t="shared" si="44"/>
        <v>11.791748952957072</v>
      </c>
      <c r="AA115">
        <f t="shared" si="45"/>
        <v>3.488804441313432</v>
      </c>
      <c r="AB115">
        <f t="shared" si="56"/>
        <v>1.1749578945415404</v>
      </c>
      <c r="AD115">
        <v>56.55453</v>
      </c>
      <c r="AE115">
        <v>0.13766002733748425</v>
      </c>
      <c r="AF115">
        <f t="shared" si="37"/>
        <v>7.7852981458585733</v>
      </c>
      <c r="AG115">
        <f t="shared" si="46"/>
        <v>5.4876215388655725</v>
      </c>
      <c r="AH115">
        <f t="shared" si="47"/>
        <v>2.8153229727780671</v>
      </c>
      <c r="AI115">
        <f t="shared" si="57"/>
        <v>2.8153229727780671</v>
      </c>
      <c r="AK115">
        <v>66.495670000000004</v>
      </c>
      <c r="AL115">
        <v>7.5809568862728882E-2</v>
      </c>
      <c r="AM115">
        <f t="shared" si="38"/>
        <v>5.0410080739382952</v>
      </c>
      <c r="AN115">
        <f t="shared" si="48"/>
        <v>8.5286023315093829</v>
      </c>
      <c r="AO115">
        <f t="shared" si="49"/>
        <v>0.22565781986574329</v>
      </c>
      <c r="AP115">
        <f t="shared" si="58"/>
        <v>11.96928242874189</v>
      </c>
      <c r="AR115">
        <v>54.522640000000003</v>
      </c>
      <c r="AS115">
        <v>0.48251424247141256</v>
      </c>
      <c r="AT115">
        <f t="shared" si="39"/>
        <v>26.307950337141538</v>
      </c>
      <c r="AU115">
        <f t="shared" si="50"/>
        <v>9.0144071199036446</v>
      </c>
      <c r="AV115">
        <f t="shared" si="51"/>
        <v>0.71146260826000507</v>
      </c>
      <c r="AW115">
        <f t="shared" si="59"/>
        <v>0.71146260826000507</v>
      </c>
      <c r="AY115" s="4">
        <f t="shared" si="31"/>
        <v>58.445211493708392</v>
      </c>
      <c r="AZ115">
        <f t="shared" si="52"/>
        <v>8.3029445116436396</v>
      </c>
    </row>
    <row r="116" spans="1:52" x14ac:dyDescent="0.35">
      <c r="A116" s="2">
        <v>39965</v>
      </c>
      <c r="B116">
        <v>72.335769999999997</v>
      </c>
      <c r="C116">
        <v>4.3489996265982343E-2</v>
      </c>
      <c r="D116">
        <f t="shared" si="60"/>
        <v>3.1458823671969576</v>
      </c>
      <c r="E116">
        <f t="shared" si="40"/>
        <v>3.5310681498686103</v>
      </c>
      <c r="F116">
        <f t="shared" si="32"/>
        <v>1.5064265286235612</v>
      </c>
      <c r="G116">
        <f t="shared" si="53"/>
        <v>1.1832972353090776</v>
      </c>
      <c r="I116">
        <v>61.734789999999997</v>
      </c>
      <c r="J116">
        <v>7.9014346914646705E-2</v>
      </c>
      <c r="K116">
        <f t="shared" si="33"/>
        <v>4.877934113762862</v>
      </c>
      <c r="L116">
        <f t="shared" si="41"/>
        <v>0.18319785660616539</v>
      </c>
      <c r="M116">
        <f t="shared" si="34"/>
        <v>1.8414437646388837</v>
      </c>
      <c r="N116">
        <f t="shared" si="54"/>
        <v>1.4294966379185592</v>
      </c>
      <c r="P116">
        <v>50.803040000000003</v>
      </c>
      <c r="Q116">
        <v>0.10843210382595202</v>
      </c>
      <c r="R116">
        <f t="shared" si="35"/>
        <v>5.5086805079539936</v>
      </c>
      <c r="S116">
        <f t="shared" si="42"/>
        <v>0.54178488195359975</v>
      </c>
      <c r="T116">
        <f t="shared" si="43"/>
        <v>1.4828567392914493</v>
      </c>
      <c r="U116">
        <f t="shared" si="55"/>
        <v>1.3981561930578312</v>
      </c>
      <c r="W116">
        <v>80.306960000000004</v>
      </c>
      <c r="X116">
        <v>7.3079714321793263E-2</v>
      </c>
      <c r="Y116">
        <f t="shared" si="36"/>
        <v>5.868809694851679</v>
      </c>
      <c r="Z116">
        <f t="shared" si="44"/>
        <v>-0.93760658615306136</v>
      </c>
      <c r="AA116">
        <f t="shared" si="45"/>
        <v>2.9622482073981105</v>
      </c>
      <c r="AB116">
        <f t="shared" si="56"/>
        <v>0.14692523462004337</v>
      </c>
      <c r="AD116">
        <v>59.40634</v>
      </c>
      <c r="AE116">
        <v>0.13766002733748425</v>
      </c>
      <c r="AF116">
        <f t="shared" si="37"/>
        <v>8.1778783884198845</v>
      </c>
      <c r="AG116">
        <f t="shared" si="46"/>
        <v>5.0425845639597844</v>
      </c>
      <c r="AH116">
        <f t="shared" si="47"/>
        <v>3.0179429427147353</v>
      </c>
      <c r="AI116">
        <f t="shared" si="57"/>
        <v>3.0179429427147353</v>
      </c>
      <c r="AK116">
        <v>65.949629999999999</v>
      </c>
      <c r="AL116">
        <v>7.5809568862728882E-2</v>
      </c>
      <c r="AM116">
        <f t="shared" si="38"/>
        <v>4.9996130169564905</v>
      </c>
      <c r="AN116">
        <f t="shared" si="48"/>
        <v>-0.82116625037390589</v>
      </c>
      <c r="AO116">
        <f t="shared" si="49"/>
        <v>2.845807871618955</v>
      </c>
      <c r="AP116">
        <f t="shared" si="58"/>
        <v>5.4571366400246841</v>
      </c>
      <c r="AR116">
        <v>56.059939999999997</v>
      </c>
      <c r="AS116">
        <v>0.48251424247141256</v>
      </c>
      <c r="AT116">
        <f t="shared" si="39"/>
        <v>27.04971948209284</v>
      </c>
      <c r="AU116">
        <f t="shared" si="50"/>
        <v>2.8195626624095915</v>
      </c>
      <c r="AV116">
        <f t="shared" si="51"/>
        <v>0.79492104116454243</v>
      </c>
      <c r="AW116">
        <f t="shared" si="59"/>
        <v>0.79492104116454243</v>
      </c>
      <c r="AY116" s="4">
        <f t="shared" si="31"/>
        <v>59.62851757123471</v>
      </c>
      <c r="AZ116">
        <f t="shared" si="52"/>
        <v>2.0246416212450491</v>
      </c>
    </row>
    <row r="117" spans="1:52" x14ac:dyDescent="0.35">
      <c r="A117" s="2">
        <v>39995</v>
      </c>
      <c r="B117">
        <v>71.806370000000001</v>
      </c>
      <c r="C117">
        <v>4.3489996265982343E-2</v>
      </c>
      <c r="D117">
        <f t="shared" si="60"/>
        <v>3.1228587631737468</v>
      </c>
      <c r="E117">
        <f t="shared" si="40"/>
        <v>-0.73186474686036673</v>
      </c>
      <c r="F117">
        <f t="shared" si="32"/>
        <v>0.5099972021698429</v>
      </c>
      <c r="G117">
        <f t="shared" si="53"/>
        <v>0.99642932645371829</v>
      </c>
      <c r="I117">
        <v>61.245609999999999</v>
      </c>
      <c r="J117">
        <v>7.9014346914646705E-2</v>
      </c>
      <c r="K117">
        <f t="shared" si="33"/>
        <v>4.8392818755391556</v>
      </c>
      <c r="L117">
        <f t="shared" si="41"/>
        <v>-0.79238951003153257</v>
      </c>
      <c r="M117">
        <f t="shared" si="34"/>
        <v>0.57052196534100874</v>
      </c>
      <c r="N117">
        <f t="shared" si="54"/>
        <v>1.270921799297875</v>
      </c>
      <c r="P117">
        <v>51.026670000000003</v>
      </c>
      <c r="Q117">
        <v>0.10843210382595202</v>
      </c>
      <c r="R117">
        <f t="shared" si="35"/>
        <v>5.5329291793325917</v>
      </c>
      <c r="S117">
        <f t="shared" si="42"/>
        <v>0.44019019334275988</v>
      </c>
      <c r="T117">
        <f t="shared" si="43"/>
        <v>0.66205773803328372</v>
      </c>
      <c r="U117">
        <f t="shared" si="55"/>
        <v>0.82079900125816563</v>
      </c>
      <c r="W117">
        <v>79.065929999999994</v>
      </c>
      <c r="X117">
        <v>7.3079714321793263E-2</v>
      </c>
      <c r="Y117">
        <f t="shared" si="36"/>
        <v>5.7781155769869033</v>
      </c>
      <c r="Z117">
        <f t="shared" si="44"/>
        <v>-1.5453579615017254</v>
      </c>
      <c r="AA117">
        <f t="shared" si="45"/>
        <v>1.3234904168112016</v>
      </c>
      <c r="AB117">
        <f t="shared" si="56"/>
        <v>1.6944525259035337</v>
      </c>
      <c r="AD117">
        <v>58.180909999999997</v>
      </c>
      <c r="AE117">
        <v>0.13766002733748425</v>
      </c>
      <c r="AF117">
        <f t="shared" si="37"/>
        <v>8.0091856611197105</v>
      </c>
      <c r="AG117">
        <f t="shared" si="46"/>
        <v>-2.0627932978197316</v>
      </c>
      <c r="AH117">
        <f t="shared" si="47"/>
        <v>1.8409257531292078</v>
      </c>
      <c r="AI117">
        <f t="shared" si="57"/>
        <v>1.8409257531292078</v>
      </c>
      <c r="AK117">
        <v>66.332660000000004</v>
      </c>
      <c r="AL117">
        <v>7.5809568862728882E-2</v>
      </c>
      <c r="AM117">
        <f t="shared" si="38"/>
        <v>5.0286503561179821</v>
      </c>
      <c r="AN117">
        <f t="shared" si="48"/>
        <v>0.58079173454044231</v>
      </c>
      <c r="AO117">
        <f t="shared" si="49"/>
        <v>0.80265927923096614</v>
      </c>
      <c r="AP117">
        <f t="shared" si="58"/>
        <v>1.221982342014083</v>
      </c>
      <c r="AR117">
        <v>56.340719999999997</v>
      </c>
      <c r="AS117">
        <v>0.48251424247141256</v>
      </c>
      <c r="AT117">
        <f t="shared" si="39"/>
        <v>27.185199831093961</v>
      </c>
      <c r="AU117">
        <f t="shared" si="50"/>
        <v>0.50085676153059921</v>
      </c>
      <c r="AV117">
        <f t="shared" si="51"/>
        <v>0.72272430622112305</v>
      </c>
      <c r="AW117">
        <f t="shared" si="59"/>
        <v>0.72272430622112305</v>
      </c>
      <c r="AY117" s="4">
        <f t="shared" si="31"/>
        <v>59.496221243364054</v>
      </c>
      <c r="AZ117">
        <f t="shared" si="52"/>
        <v>-0.22186754469052383</v>
      </c>
    </row>
    <row r="118" spans="1:52" x14ac:dyDescent="0.35">
      <c r="A118" s="2">
        <v>40026</v>
      </c>
      <c r="B118">
        <v>75.422920000000005</v>
      </c>
      <c r="C118">
        <v>4.3489996265982343E-2</v>
      </c>
      <c r="D118">
        <f t="shared" si="60"/>
        <v>3.2801425091694854</v>
      </c>
      <c r="E118">
        <f t="shared" si="40"/>
        <v>5.0365308815917054</v>
      </c>
      <c r="F118">
        <f t="shared" si="32"/>
        <v>3.7618811388478548</v>
      </c>
      <c r="G118">
        <f t="shared" si="53"/>
        <v>3.2518839366780119</v>
      </c>
      <c r="I118">
        <v>67.566829999999996</v>
      </c>
      <c r="J118">
        <v>7.9014346914646705E-2</v>
      </c>
      <c r="K118">
        <f t="shared" si="33"/>
        <v>5.3387489455429584</v>
      </c>
      <c r="L118">
        <f t="shared" si="41"/>
        <v>10.32109893264186</v>
      </c>
      <c r="M118">
        <f t="shared" si="34"/>
        <v>1.5226869122022997</v>
      </c>
      <c r="N118">
        <f t="shared" si="54"/>
        <v>0.95216494686129094</v>
      </c>
      <c r="P118">
        <v>55.719090000000001</v>
      </c>
      <c r="Q118">
        <v>0.10843210382595202</v>
      </c>
      <c r="R118">
        <f t="shared" si="35"/>
        <v>6.0417381519675653</v>
      </c>
      <c r="S118">
        <f t="shared" si="42"/>
        <v>9.1960145547416605</v>
      </c>
      <c r="T118">
        <f t="shared" si="43"/>
        <v>0.39760253430210035</v>
      </c>
      <c r="U118">
        <f t="shared" si="55"/>
        <v>0.26445520373118336</v>
      </c>
      <c r="W118">
        <v>86.799350000000004</v>
      </c>
      <c r="X118">
        <v>7.3079714321793263E-2</v>
      </c>
      <c r="Y118">
        <f t="shared" si="36"/>
        <v>6.3432717013173461</v>
      </c>
      <c r="Z118">
        <f t="shared" si="44"/>
        <v>9.7809764585074852</v>
      </c>
      <c r="AA118">
        <f t="shared" si="45"/>
        <v>0.98256443806792504</v>
      </c>
      <c r="AB118">
        <f t="shared" si="56"/>
        <v>0.85836131506128277</v>
      </c>
      <c r="AD118">
        <v>61.95646</v>
      </c>
      <c r="AE118">
        <v>0.13766002733748425</v>
      </c>
      <c r="AF118">
        <f t="shared" si="37"/>
        <v>8.5289279773337494</v>
      </c>
      <c r="AG118">
        <f t="shared" si="46"/>
        <v>6.4893278568520119</v>
      </c>
      <c r="AH118">
        <f t="shared" si="47"/>
        <v>2.3090841635875483</v>
      </c>
      <c r="AI118">
        <f t="shared" si="57"/>
        <v>2.3090841635875483</v>
      </c>
      <c r="AK118">
        <v>72.222610000000003</v>
      </c>
      <c r="AL118">
        <v>7.5809568862728882E-2</v>
      </c>
      <c r="AM118">
        <f t="shared" si="38"/>
        <v>5.4751649262410123</v>
      </c>
      <c r="AN118">
        <f t="shared" si="48"/>
        <v>8.8794117407623894</v>
      </c>
      <c r="AO118">
        <f t="shared" si="49"/>
        <v>8.0999720322829205E-2</v>
      </c>
      <c r="AP118">
        <f t="shared" si="58"/>
        <v>0.30286726501335304</v>
      </c>
      <c r="AR118">
        <v>61.600149999999999</v>
      </c>
      <c r="AS118">
        <v>0.48251424247141256</v>
      </c>
      <c r="AT118">
        <f t="shared" si="39"/>
        <v>29.722949713375385</v>
      </c>
      <c r="AU118">
        <f t="shared" si="50"/>
        <v>9.3350422216826434</v>
      </c>
      <c r="AV118">
        <f t="shared" si="51"/>
        <v>0.53663020124308325</v>
      </c>
      <c r="AW118">
        <f t="shared" si="59"/>
        <v>0.53663020124308325</v>
      </c>
      <c r="AY118" s="4">
        <f t="shared" si="31"/>
        <v>64.73094392494751</v>
      </c>
      <c r="AZ118">
        <f t="shared" si="52"/>
        <v>8.7984120204395602</v>
      </c>
    </row>
    <row r="119" spans="1:52" x14ac:dyDescent="0.35">
      <c r="A119" s="2">
        <v>40057</v>
      </c>
      <c r="B119">
        <v>78.416759999999996</v>
      </c>
      <c r="C119">
        <v>4.3489996265982343E-2</v>
      </c>
      <c r="D119">
        <f t="shared" si="60"/>
        <v>3.4103445995904336</v>
      </c>
      <c r="E119">
        <f t="shared" si="40"/>
        <v>3.9694034651535537</v>
      </c>
      <c r="F119">
        <f t="shared" si="32"/>
        <v>0.41878220975490876</v>
      </c>
      <c r="G119">
        <f t="shared" si="53"/>
        <v>3.343098929092946</v>
      </c>
      <c r="I119">
        <v>71.497780000000006</v>
      </c>
      <c r="J119">
        <v>7.9014346914646705E-2</v>
      </c>
      <c r="K119">
        <f t="shared" si="33"/>
        <v>5.6493503925470892</v>
      </c>
      <c r="L119">
        <f t="shared" si="41"/>
        <v>5.8178695078635601</v>
      </c>
      <c r="M119">
        <f t="shared" si="34"/>
        <v>2.2672482524649151</v>
      </c>
      <c r="N119">
        <f t="shared" si="54"/>
        <v>0.74456134026261545</v>
      </c>
      <c r="P119">
        <v>58.020949999999999</v>
      </c>
      <c r="Q119">
        <v>0.10843210382595202</v>
      </c>
      <c r="R119">
        <f t="shared" si="35"/>
        <v>6.291333674480371</v>
      </c>
      <c r="S119">
        <f t="shared" si="42"/>
        <v>4.1311873542801969</v>
      </c>
      <c r="T119">
        <f t="shared" si="43"/>
        <v>0.58056609888155197</v>
      </c>
      <c r="U119">
        <f t="shared" si="55"/>
        <v>0.18296356457945162</v>
      </c>
      <c r="W119">
        <v>91.764889999999994</v>
      </c>
      <c r="X119">
        <v>7.3079714321793263E-2</v>
      </c>
      <c r="Y119">
        <f t="shared" si="36"/>
        <v>6.7061519459707828</v>
      </c>
      <c r="Z119">
        <f t="shared" si="44"/>
        <v>5.7207110421909624</v>
      </c>
      <c r="AA119">
        <f t="shared" si="45"/>
        <v>2.1700897867923175</v>
      </c>
      <c r="AB119">
        <f t="shared" si="56"/>
        <v>0.13899437679523086</v>
      </c>
      <c r="AD119">
        <v>60.423549999999999</v>
      </c>
      <c r="AE119">
        <v>0.13766002733748425</v>
      </c>
      <c r="AF119">
        <f t="shared" si="37"/>
        <v>8.3179075448278468</v>
      </c>
      <c r="AG119">
        <f t="shared" si="46"/>
        <v>-2.4741729918074773</v>
      </c>
      <c r="AH119">
        <f t="shared" si="47"/>
        <v>6.0247942472061222</v>
      </c>
      <c r="AI119">
        <f t="shared" si="57"/>
        <v>6.0247942472061222</v>
      </c>
      <c r="AK119">
        <v>76.319630000000004</v>
      </c>
      <c r="AL119">
        <v>7.5809568862728882E-2</v>
      </c>
      <c r="AM119">
        <f t="shared" si="38"/>
        <v>5.7857582460629891</v>
      </c>
      <c r="AN119">
        <f t="shared" si="48"/>
        <v>5.6727664646846643</v>
      </c>
      <c r="AO119">
        <f t="shared" si="49"/>
        <v>2.1221452092860194</v>
      </c>
      <c r="AP119">
        <f t="shared" si="58"/>
        <v>6.6762668111535408</v>
      </c>
      <c r="AR119">
        <v>63.974170000000001</v>
      </c>
      <c r="AS119">
        <v>0.48251424247141256</v>
      </c>
      <c r="AT119">
        <f t="shared" si="39"/>
        <v>30.868448175287366</v>
      </c>
      <c r="AU119">
        <f t="shared" si="50"/>
        <v>3.8539191868850908</v>
      </c>
      <c r="AV119">
        <f t="shared" si="51"/>
        <v>0.3032979314864459</v>
      </c>
      <c r="AW119">
        <f t="shared" si="59"/>
        <v>0.3032979314864459</v>
      </c>
      <c r="AY119" s="4">
        <f t="shared" si="31"/>
        <v>67.02929457876688</v>
      </c>
      <c r="AZ119">
        <f t="shared" si="52"/>
        <v>3.5506212553986449</v>
      </c>
    </row>
    <row r="120" spans="1:52" x14ac:dyDescent="0.35">
      <c r="A120" s="2">
        <v>40087</v>
      </c>
      <c r="B120">
        <v>78.792310000000001</v>
      </c>
      <c r="C120">
        <v>4.3489996265982343E-2</v>
      </c>
      <c r="D120">
        <f t="shared" si="60"/>
        <v>3.4266772676881234</v>
      </c>
      <c r="E120">
        <f t="shared" si="40"/>
        <v>0.47891547674248081</v>
      </c>
      <c r="F120">
        <f t="shared" si="32"/>
        <v>0.88228220168256044</v>
      </c>
      <c r="G120">
        <f t="shared" si="53"/>
        <v>0.46349999192765168</v>
      </c>
      <c r="I120">
        <v>72.626400000000004</v>
      </c>
      <c r="J120">
        <v>7.9014346914646705E-2</v>
      </c>
      <c r="K120">
        <f t="shared" si="33"/>
        <v>5.7385275647618981</v>
      </c>
      <c r="L120">
        <f t="shared" si="41"/>
        <v>1.5785385224548198</v>
      </c>
      <c r="M120">
        <f t="shared" si="34"/>
        <v>0.2173408440297786</v>
      </c>
      <c r="N120">
        <f t="shared" si="54"/>
        <v>2.0499074084351365</v>
      </c>
      <c r="P120">
        <v>59.171889999999998</v>
      </c>
      <c r="Q120">
        <v>0.10843210382595202</v>
      </c>
      <c r="R120">
        <f t="shared" si="35"/>
        <v>6.4161325200578112</v>
      </c>
      <c r="S120">
        <f t="shared" si="42"/>
        <v>1.983662797661867</v>
      </c>
      <c r="T120">
        <f t="shared" si="43"/>
        <v>0.62246511923682579</v>
      </c>
      <c r="U120">
        <f t="shared" si="55"/>
        <v>4.1899020355273819E-2</v>
      </c>
      <c r="W120">
        <v>94.57217</v>
      </c>
      <c r="X120">
        <v>7.3079714321793263E-2</v>
      </c>
      <c r="Y120">
        <f t="shared" si="36"/>
        <v>6.9113071663920671</v>
      </c>
      <c r="Z120">
        <f t="shared" si="44"/>
        <v>3.0592092465865806</v>
      </c>
      <c r="AA120">
        <f t="shared" si="45"/>
        <v>1.6980115681615393</v>
      </c>
      <c r="AB120">
        <f t="shared" si="56"/>
        <v>4.3267826790445829</v>
      </c>
      <c r="AD120">
        <v>57.70776</v>
      </c>
      <c r="AE120">
        <v>0.13766002733748425</v>
      </c>
      <c r="AF120">
        <f t="shared" si="37"/>
        <v>7.9440518191849803</v>
      </c>
      <c r="AG120">
        <f t="shared" si="46"/>
        <v>-4.4945886165245197</v>
      </c>
      <c r="AH120">
        <f t="shared" si="47"/>
        <v>5.8557862949495609</v>
      </c>
      <c r="AI120">
        <f t="shared" si="57"/>
        <v>5.8557862949495609</v>
      </c>
      <c r="AK120">
        <v>78.261470000000003</v>
      </c>
      <c r="AL120">
        <v>7.5809568862728882E-2</v>
      </c>
      <c r="AM120">
        <f t="shared" si="38"/>
        <v>5.9329682992633908</v>
      </c>
      <c r="AN120">
        <f t="shared" si="48"/>
        <v>2.5443519576811457</v>
      </c>
      <c r="AO120">
        <f t="shared" si="49"/>
        <v>1.1831542792561045</v>
      </c>
      <c r="AP120">
        <f t="shared" si="58"/>
        <v>2.3674669761425404</v>
      </c>
      <c r="AR120">
        <v>65.432329999999993</v>
      </c>
      <c r="AS120">
        <v>0.48251424247141256</v>
      </c>
      <c r="AT120">
        <f t="shared" si="39"/>
        <v>31.572031143089479</v>
      </c>
      <c r="AU120">
        <f t="shared" si="50"/>
        <v>2.2792949091797299</v>
      </c>
      <c r="AV120">
        <f t="shared" si="51"/>
        <v>0.91809723075468863</v>
      </c>
      <c r="AW120">
        <f t="shared" si="59"/>
        <v>0.91809723075468863</v>
      </c>
      <c r="AY120" s="4">
        <f t="shared" si="31"/>
        <v>67.94169578043774</v>
      </c>
      <c r="AZ120">
        <f t="shared" si="52"/>
        <v>1.3611976784250412</v>
      </c>
    </row>
    <row r="121" spans="1:52" x14ac:dyDescent="0.35">
      <c r="A121" s="2">
        <v>40118</v>
      </c>
      <c r="B121">
        <v>79.586579999999998</v>
      </c>
      <c r="C121">
        <v>4.3489996265982343E-2</v>
      </c>
      <c r="D121">
        <f t="shared" si="60"/>
        <v>3.461220067022305</v>
      </c>
      <c r="E121">
        <f t="shared" si="40"/>
        <v>1.0080552277246246</v>
      </c>
      <c r="F121">
        <f t="shared" si="32"/>
        <v>1.1904536583747238</v>
      </c>
      <c r="G121">
        <f t="shared" si="53"/>
        <v>0.30817145669216339</v>
      </c>
      <c r="I121">
        <v>71.763599999999997</v>
      </c>
      <c r="J121">
        <v>7.9014346914646705E-2</v>
      </c>
      <c r="K121">
        <f t="shared" si="33"/>
        <v>5.6703539862439403</v>
      </c>
      <c r="L121">
        <f t="shared" si="41"/>
        <v>-1.187997752883263</v>
      </c>
      <c r="M121">
        <f t="shared" si="34"/>
        <v>1.0055993222331638</v>
      </c>
      <c r="N121">
        <f t="shared" si="54"/>
        <v>0.78825847820338524</v>
      </c>
      <c r="P121">
        <v>58.651359999999997</v>
      </c>
      <c r="Q121">
        <v>0.10843210382595202</v>
      </c>
      <c r="R121">
        <f t="shared" si="35"/>
        <v>6.3596903570532888</v>
      </c>
      <c r="S121">
        <f t="shared" si="42"/>
        <v>-0.87969135344502236</v>
      </c>
      <c r="T121">
        <f t="shared" si="43"/>
        <v>0.69729292279492316</v>
      </c>
      <c r="U121">
        <f t="shared" si="55"/>
        <v>7.4827803558097372E-2</v>
      </c>
      <c r="W121">
        <v>91.44614</v>
      </c>
      <c r="X121">
        <v>7.3079714321793263E-2</v>
      </c>
      <c r="Y121">
        <f t="shared" si="36"/>
        <v>6.682857787030712</v>
      </c>
      <c r="Z121">
        <f t="shared" si="44"/>
        <v>-3.3054438742391112</v>
      </c>
      <c r="AA121">
        <f t="shared" si="45"/>
        <v>3.123045443589012</v>
      </c>
      <c r="AB121">
        <f t="shared" si="56"/>
        <v>2.7327408513605489</v>
      </c>
      <c r="AD121">
        <v>55.15119</v>
      </c>
      <c r="AE121">
        <v>0.13766002733748425</v>
      </c>
      <c r="AF121">
        <f t="shared" si="37"/>
        <v>7.5921143230947878</v>
      </c>
      <c r="AG121">
        <f t="shared" si="46"/>
        <v>-4.4302014148530517</v>
      </c>
      <c r="AH121">
        <f t="shared" si="47"/>
        <v>4.2478029842029521</v>
      </c>
      <c r="AI121">
        <f t="shared" si="57"/>
        <v>4.2478029842029521</v>
      </c>
      <c r="AK121">
        <v>79.491230000000002</v>
      </c>
      <c r="AL121">
        <v>7.5809568862728882E-2</v>
      </c>
      <c r="AM121">
        <f t="shared" si="38"/>
        <v>6.0261958746680202</v>
      </c>
      <c r="AN121">
        <f t="shared" si="48"/>
        <v>1.5713479442693856</v>
      </c>
      <c r="AO121">
        <f t="shared" si="49"/>
        <v>1.7537463749194848</v>
      </c>
      <c r="AP121">
        <f t="shared" si="58"/>
        <v>0.39254869649444357</v>
      </c>
      <c r="AR121">
        <v>66.371799999999993</v>
      </c>
      <c r="AS121">
        <v>0.48251424247141256</v>
      </c>
      <c r="AT121">
        <f t="shared" si="39"/>
        <v>32.025338798464098</v>
      </c>
      <c r="AU121">
        <f t="shared" si="50"/>
        <v>1.4357886995618241</v>
      </c>
      <c r="AV121">
        <f t="shared" si="51"/>
        <v>1.6181871302119233</v>
      </c>
      <c r="AW121">
        <f t="shared" si="59"/>
        <v>1.6181871302119233</v>
      </c>
      <c r="AY121" s="4">
        <f t="shared" si="31"/>
        <v>67.817771193577158</v>
      </c>
      <c r="AZ121">
        <f t="shared" si="52"/>
        <v>-0.1823984306500992</v>
      </c>
    </row>
    <row r="122" spans="1:52" x14ac:dyDescent="0.35">
      <c r="A122" s="2">
        <v>40148</v>
      </c>
      <c r="B122">
        <v>80.864829999999998</v>
      </c>
      <c r="C122">
        <v>4.3489996265982343E-2</v>
      </c>
      <c r="D122">
        <f t="shared" si="60"/>
        <v>3.5168111547492971</v>
      </c>
      <c r="E122">
        <f t="shared" si="40"/>
        <v>1.606112487808864</v>
      </c>
      <c r="F122">
        <f t="shared" si="32"/>
        <v>0.22511849570145959</v>
      </c>
      <c r="G122">
        <f t="shared" si="53"/>
        <v>0.96533516267326425</v>
      </c>
      <c r="I122">
        <v>73.436779999999999</v>
      </c>
      <c r="J122">
        <v>7.9014346914646705E-2</v>
      </c>
      <c r="K122">
        <f t="shared" si="33"/>
        <v>5.8025592112145885</v>
      </c>
      <c r="L122">
        <f t="shared" si="41"/>
        <v>2.3315162561521552</v>
      </c>
      <c r="M122">
        <f t="shared" si="34"/>
        <v>0.50028527264183165</v>
      </c>
      <c r="N122">
        <f t="shared" si="54"/>
        <v>0.50531404959133219</v>
      </c>
      <c r="P122">
        <v>60.762369999999997</v>
      </c>
      <c r="Q122">
        <v>0.10843210382595202</v>
      </c>
      <c r="R122">
        <f t="shared" si="35"/>
        <v>6.5885916125509114</v>
      </c>
      <c r="S122">
        <f t="shared" si="42"/>
        <v>3.5992515774570188</v>
      </c>
      <c r="T122">
        <f t="shared" si="43"/>
        <v>1.7680205939466953</v>
      </c>
      <c r="U122">
        <f t="shared" si="55"/>
        <v>1.0707276711517721</v>
      </c>
      <c r="W122">
        <v>91.652760000000001</v>
      </c>
      <c r="X122">
        <v>7.3079714321793263E-2</v>
      </c>
      <c r="Y122">
        <f t="shared" si="36"/>
        <v>6.6979575176038804</v>
      </c>
      <c r="Z122">
        <f t="shared" si="44"/>
        <v>0.22594720783184474</v>
      </c>
      <c r="AA122">
        <f t="shared" si="45"/>
        <v>1.6052837756784788</v>
      </c>
      <c r="AB122">
        <f t="shared" si="56"/>
        <v>2.6425192085244733</v>
      </c>
      <c r="AD122">
        <v>57.627830000000003</v>
      </c>
      <c r="AE122">
        <v>0.13766002733748425</v>
      </c>
      <c r="AF122">
        <f t="shared" si="37"/>
        <v>7.9330486531998954</v>
      </c>
      <c r="AG122">
        <f t="shared" si="46"/>
        <v>4.490637464032976</v>
      </c>
      <c r="AH122">
        <f t="shared" si="47"/>
        <v>2.6594064805226525</v>
      </c>
      <c r="AI122">
        <f t="shared" si="57"/>
        <v>2.6594064805226525</v>
      </c>
      <c r="AK122">
        <v>80.633340000000004</v>
      </c>
      <c r="AL122">
        <v>7.5809568862728882E-2</v>
      </c>
      <c r="AM122">
        <f t="shared" si="38"/>
        <v>6.112778741361832</v>
      </c>
      <c r="AN122">
        <f t="shared" si="48"/>
        <v>1.436774849250666</v>
      </c>
      <c r="AO122">
        <f t="shared" si="49"/>
        <v>0.39445613425965753</v>
      </c>
      <c r="AP122">
        <f t="shared" si="58"/>
        <v>0.57685456490975673</v>
      </c>
      <c r="AR122">
        <v>67.164699999999996</v>
      </c>
      <c r="AS122">
        <v>0.48251424247141256</v>
      </c>
      <c r="AT122">
        <f t="shared" si="39"/>
        <v>32.407924341319678</v>
      </c>
      <c r="AU122">
        <f t="shared" si="50"/>
        <v>1.1946338655874911</v>
      </c>
      <c r="AV122">
        <f t="shared" si="51"/>
        <v>0.63659711792283247</v>
      </c>
      <c r="AW122">
        <f t="shared" si="59"/>
        <v>0.63659711792283247</v>
      </c>
      <c r="AY122" s="4">
        <f t="shared" si="31"/>
        <v>69.059671232000085</v>
      </c>
      <c r="AZ122">
        <f t="shared" si="52"/>
        <v>1.8312309835103235</v>
      </c>
    </row>
    <row r="123" spans="1:52" x14ac:dyDescent="0.35">
      <c r="A123" s="2">
        <v>40179</v>
      </c>
      <c r="B123">
        <v>81.30677</v>
      </c>
      <c r="C123">
        <v>4.3567341576629046E-2</v>
      </c>
      <c r="D123">
        <f t="shared" si="60"/>
        <v>3.5423198210824154</v>
      </c>
      <c r="E123">
        <f t="shared" si="40"/>
        <v>0.54651694686058683</v>
      </c>
      <c r="F123">
        <f t="shared" si="32"/>
        <v>1.114794053907886</v>
      </c>
      <c r="G123">
        <f t="shared" si="53"/>
        <v>0.88967555820642641</v>
      </c>
      <c r="I123">
        <v>75.073390000000003</v>
      </c>
      <c r="J123">
        <v>7.8278508637134231E-2</v>
      </c>
      <c r="K123">
        <f t="shared" si="33"/>
        <v>5.8766330075339468</v>
      </c>
      <c r="L123">
        <f t="shared" si="41"/>
        <v>2.228597168884594</v>
      </c>
      <c r="M123">
        <f t="shared" si="34"/>
        <v>0.5672861681161212</v>
      </c>
      <c r="N123">
        <f t="shared" si="54"/>
        <v>6.7000895474289557E-2</v>
      </c>
      <c r="P123">
        <v>61.14987</v>
      </c>
      <c r="Q123">
        <v>0.10977248632621533</v>
      </c>
      <c r="R123">
        <f t="shared" si="35"/>
        <v>6.7125732684248449</v>
      </c>
      <c r="S123">
        <f t="shared" si="42"/>
        <v>0.6377302267834617</v>
      </c>
      <c r="T123">
        <f t="shared" si="43"/>
        <v>1.0235807739850111</v>
      </c>
      <c r="U123">
        <f t="shared" si="55"/>
        <v>0.74443981996168418</v>
      </c>
      <c r="W123">
        <v>93.624899999999997</v>
      </c>
      <c r="X123">
        <v>7.2231448090159731E-2</v>
      </c>
      <c r="Y123">
        <f t="shared" si="36"/>
        <v>6.7626621042963952</v>
      </c>
      <c r="Z123">
        <f t="shared" si="44"/>
        <v>2.1517518948692915</v>
      </c>
      <c r="AA123">
        <f t="shared" si="45"/>
        <v>0.4904408941008187</v>
      </c>
      <c r="AB123">
        <f t="shared" si="56"/>
        <v>2.1689655864218338</v>
      </c>
      <c r="AD123">
        <v>60.272709999999996</v>
      </c>
      <c r="AE123">
        <v>0.13925206631827861</v>
      </c>
      <c r="AF123">
        <f t="shared" si="37"/>
        <v>8.3930994101023728</v>
      </c>
      <c r="AG123">
        <f t="shared" si="46"/>
        <v>4.5895880514674747</v>
      </c>
      <c r="AH123">
        <f t="shared" si="47"/>
        <v>2.9282770506990019</v>
      </c>
      <c r="AI123">
        <f t="shared" si="57"/>
        <v>2.9282770506990019</v>
      </c>
      <c r="AK123">
        <v>82.060370000000006</v>
      </c>
      <c r="AL123">
        <v>7.5316659691329932E-2</v>
      </c>
      <c r="AM123">
        <f t="shared" si="38"/>
        <v>6.1805129614346201</v>
      </c>
      <c r="AN123">
        <f t="shared" si="48"/>
        <v>1.7697766209362031</v>
      </c>
      <c r="AO123">
        <f t="shared" si="49"/>
        <v>0.10846562016773031</v>
      </c>
      <c r="AP123">
        <f t="shared" si="58"/>
        <v>1.7227653633425932</v>
      </c>
      <c r="AR123">
        <v>67.982609999999994</v>
      </c>
      <c r="AS123">
        <v>0.48158148936025313</v>
      </c>
      <c r="AT123">
        <f t="shared" si="39"/>
        <v>32.739166574397238</v>
      </c>
      <c r="AU123">
        <f t="shared" si="50"/>
        <v>1.2177676666463189</v>
      </c>
      <c r="AV123">
        <f t="shared" si="51"/>
        <v>0.44354333412215396</v>
      </c>
      <c r="AW123">
        <f t="shared" si="59"/>
        <v>0.44354333412215396</v>
      </c>
      <c r="AY123" s="4">
        <f t="shared" si="31"/>
        <v>70.20696714727184</v>
      </c>
      <c r="AZ123">
        <f t="shared" si="52"/>
        <v>1.6613110007684728</v>
      </c>
    </row>
    <row r="124" spans="1:52" x14ac:dyDescent="0.35">
      <c r="A124" s="2">
        <v>40210</v>
      </c>
      <c r="B124">
        <v>79.882900000000006</v>
      </c>
      <c r="C124">
        <v>4.3567341576629046E-2</v>
      </c>
      <c r="D124">
        <f t="shared" si="60"/>
        <v>3.4802855904317007</v>
      </c>
      <c r="E124">
        <f t="shared" si="40"/>
        <v>-1.7512317854958326</v>
      </c>
      <c r="F124">
        <f t="shared" si="32"/>
        <v>2.6540580685480926</v>
      </c>
      <c r="G124">
        <f t="shared" si="53"/>
        <v>1.5392640146402066</v>
      </c>
      <c r="I124">
        <v>70.937640000000002</v>
      </c>
      <c r="J124">
        <v>7.8278508637134231E-2</v>
      </c>
      <c r="K124">
        <f t="shared" si="33"/>
        <v>5.5528926654379189</v>
      </c>
      <c r="L124">
        <f t="shared" si="41"/>
        <v>-5.5089426493195592</v>
      </c>
      <c r="M124">
        <f t="shared" si="34"/>
        <v>1.1036527952756341</v>
      </c>
      <c r="N124">
        <f t="shared" si="54"/>
        <v>0.53636662715951289</v>
      </c>
      <c r="P124">
        <v>58.194459999999999</v>
      </c>
      <c r="Q124">
        <v>0.10977248632621533</v>
      </c>
      <c r="R124">
        <f t="shared" si="35"/>
        <v>6.3881505646114851</v>
      </c>
      <c r="S124">
        <f t="shared" si="42"/>
        <v>-4.8330601520493843</v>
      </c>
      <c r="T124">
        <f t="shared" si="43"/>
        <v>0.42777029800545918</v>
      </c>
      <c r="U124">
        <f t="shared" si="55"/>
        <v>0.59581047597955195</v>
      </c>
      <c r="W124">
        <v>87.347189999999998</v>
      </c>
      <c r="X124">
        <v>7.2231448090159731E-2</v>
      </c>
      <c r="Y124">
        <f t="shared" si="36"/>
        <v>6.3092140203063192</v>
      </c>
      <c r="Z124">
        <f t="shared" si="44"/>
        <v>-6.7051713806903894</v>
      </c>
      <c r="AA124">
        <f t="shared" si="45"/>
        <v>2.2998815266464643</v>
      </c>
      <c r="AB124">
        <f t="shared" si="56"/>
        <v>0.62839552405253762</v>
      </c>
      <c r="AD124">
        <v>57.755459999999999</v>
      </c>
      <c r="AE124">
        <v>0.13925206631827861</v>
      </c>
      <c r="AF124">
        <f t="shared" si="37"/>
        <v>8.0425671461626873</v>
      </c>
      <c r="AG124">
        <f t="shared" si="46"/>
        <v>-4.1764340777111215</v>
      </c>
      <c r="AH124">
        <f t="shared" si="47"/>
        <v>0.22885577633280363</v>
      </c>
      <c r="AI124">
        <f t="shared" si="57"/>
        <v>0.22885577633280363</v>
      </c>
      <c r="AK124">
        <v>79.334130000000002</v>
      </c>
      <c r="AL124">
        <v>7.5316659691329932E-2</v>
      </c>
      <c r="AM124">
        <f t="shared" si="38"/>
        <v>5.9751816711177286</v>
      </c>
      <c r="AN124">
        <f t="shared" si="48"/>
        <v>-3.3222370311028371</v>
      </c>
      <c r="AO124">
        <f t="shared" si="49"/>
        <v>1.0830528229410881</v>
      </c>
      <c r="AP124">
        <f t="shared" si="58"/>
        <v>0.57825817782738476</v>
      </c>
      <c r="AR124">
        <v>65.130939999999995</v>
      </c>
      <c r="AS124">
        <v>0.48158148936025313</v>
      </c>
      <c r="AT124">
        <f t="shared" si="39"/>
        <v>31.365855088633282</v>
      </c>
      <c r="AU124">
        <f t="shared" si="50"/>
        <v>-4.1947050870803526</v>
      </c>
      <c r="AV124">
        <f t="shared" si="51"/>
        <v>0.21058476696357253</v>
      </c>
      <c r="AW124">
        <f t="shared" si="59"/>
        <v>0.21058476696357253</v>
      </c>
      <c r="AY124" s="4">
        <f t="shared" si="31"/>
        <v>67.114146746701124</v>
      </c>
      <c r="AZ124">
        <f t="shared" si="52"/>
        <v>-4.4052898540439251</v>
      </c>
    </row>
    <row r="125" spans="1:52" x14ac:dyDescent="0.35">
      <c r="A125" s="2">
        <v>40238</v>
      </c>
      <c r="B125">
        <v>83.455370000000002</v>
      </c>
      <c r="C125">
        <v>4.3567341576629046E-2</v>
      </c>
      <c r="D125">
        <f t="shared" si="60"/>
        <v>3.6359286111939606</v>
      </c>
      <c r="E125">
        <f t="shared" si="40"/>
        <v>4.4721335855358202</v>
      </c>
      <c r="F125">
        <f t="shared" si="32"/>
        <v>1.2392735051445003</v>
      </c>
      <c r="G125">
        <f t="shared" si="53"/>
        <v>1.4147845634035923</v>
      </c>
      <c r="I125">
        <v>75.481939999999994</v>
      </c>
      <c r="J125">
        <v>7.8278508637134231E-2</v>
      </c>
      <c r="K125">
        <f t="shared" si="33"/>
        <v>5.9086136922376475</v>
      </c>
      <c r="L125">
        <f t="shared" si="41"/>
        <v>6.4060490312336293</v>
      </c>
      <c r="M125">
        <f t="shared" si="34"/>
        <v>0.69464194055330886</v>
      </c>
      <c r="N125">
        <f t="shared" si="54"/>
        <v>0.40901085472232523</v>
      </c>
      <c r="P125">
        <v>62.050190000000001</v>
      </c>
      <c r="Q125">
        <v>0.10977248632621533</v>
      </c>
      <c r="R125">
        <f t="shared" si="35"/>
        <v>6.8114036333140637</v>
      </c>
      <c r="S125">
        <f t="shared" si="42"/>
        <v>6.6255963196496737</v>
      </c>
      <c r="T125">
        <f t="shared" si="43"/>
        <v>0.91418922896935317</v>
      </c>
      <c r="U125">
        <f t="shared" si="55"/>
        <v>0.48641893096389399</v>
      </c>
      <c r="W125">
        <v>91.453180000000003</v>
      </c>
      <c r="X125">
        <v>7.2231448090159731E-2</v>
      </c>
      <c r="Y125">
        <f t="shared" si="36"/>
        <v>6.6057956238500344</v>
      </c>
      <c r="Z125">
        <f t="shared" si="44"/>
        <v>4.7007694237215958</v>
      </c>
      <c r="AA125">
        <f t="shared" si="45"/>
        <v>1.0106376669587247</v>
      </c>
      <c r="AB125">
        <f t="shared" si="56"/>
        <v>0.78178189062592107</v>
      </c>
      <c r="AD125">
        <v>60.433219999999999</v>
      </c>
      <c r="AE125">
        <v>0.13925206631827861</v>
      </c>
      <c r="AF125">
        <f t="shared" si="37"/>
        <v>8.4154507592671202</v>
      </c>
      <c r="AG125">
        <f t="shared" si="46"/>
        <v>4.6363755045843336</v>
      </c>
      <c r="AH125">
        <f t="shared" si="47"/>
        <v>1.0750315860959869</v>
      </c>
      <c r="AI125">
        <f t="shared" si="57"/>
        <v>1.0750315860959869</v>
      </c>
      <c r="AK125">
        <v>85.234250000000003</v>
      </c>
      <c r="AL125">
        <v>7.5316659691329932E-2</v>
      </c>
      <c r="AM125">
        <f t="shared" si="38"/>
        <v>6.4195590012957382</v>
      </c>
      <c r="AN125">
        <f t="shared" si="48"/>
        <v>7.4370513674253402</v>
      </c>
      <c r="AO125">
        <f t="shared" si="49"/>
        <v>1.7256442767450197</v>
      </c>
      <c r="AP125">
        <f t="shared" si="58"/>
        <v>6.1309341307889449</v>
      </c>
      <c r="AR125">
        <v>68.836860000000001</v>
      </c>
      <c r="AS125">
        <v>0.48158148936025313</v>
      </c>
      <c r="AT125">
        <f t="shared" si="39"/>
        <v>33.150557561683236</v>
      </c>
      <c r="AU125">
        <f t="shared" si="50"/>
        <v>5.689953192752939</v>
      </c>
      <c r="AV125">
        <f t="shared" si="51"/>
        <v>2.1453897927381504E-2</v>
      </c>
      <c r="AW125">
        <f t="shared" si="59"/>
        <v>2.1453897927381504E-2</v>
      </c>
      <c r="AY125" s="4">
        <f t="shared" si="31"/>
        <v>70.94730888284181</v>
      </c>
      <c r="AZ125">
        <f t="shared" si="52"/>
        <v>5.7114070906803205</v>
      </c>
    </row>
    <row r="126" spans="1:52" x14ac:dyDescent="0.35">
      <c r="A126" s="2">
        <v>40269</v>
      </c>
      <c r="B126">
        <v>84.781040000000004</v>
      </c>
      <c r="C126">
        <v>4.3567341576629046E-2</v>
      </c>
      <c r="D126">
        <f t="shared" si="60"/>
        <v>3.6936845289018505</v>
      </c>
      <c r="E126">
        <f t="shared" si="40"/>
        <v>1.5884777696150598</v>
      </c>
      <c r="F126">
        <f t="shared" si="32"/>
        <v>1.6319893159877363</v>
      </c>
      <c r="G126">
        <f t="shared" si="53"/>
        <v>0.39271581084323604</v>
      </c>
      <c r="I126">
        <v>76.909989999999993</v>
      </c>
      <c r="J126">
        <v>7.8278508637134231E-2</v>
      </c>
      <c r="K126">
        <f t="shared" si="33"/>
        <v>6.0203993164969072</v>
      </c>
      <c r="L126">
        <f t="shared" si="41"/>
        <v>1.8919095084201532</v>
      </c>
      <c r="M126">
        <f t="shared" si="34"/>
        <v>1.328557577182643</v>
      </c>
      <c r="N126">
        <f t="shared" si="54"/>
        <v>0.63391563662933414</v>
      </c>
      <c r="P126">
        <v>64.681719999999999</v>
      </c>
      <c r="Q126">
        <v>0.10977248632621533</v>
      </c>
      <c r="R126">
        <f t="shared" si="35"/>
        <v>7.1002732242560889</v>
      </c>
      <c r="S126">
        <f t="shared" si="42"/>
        <v>4.2409700921141491</v>
      </c>
      <c r="T126">
        <f t="shared" si="43"/>
        <v>1.020503006511353</v>
      </c>
      <c r="U126">
        <f t="shared" si="55"/>
        <v>0.10631377754199978</v>
      </c>
      <c r="W126">
        <v>93.066149999999993</v>
      </c>
      <c r="X126">
        <v>7.2231448090159731E-2</v>
      </c>
      <c r="Y126">
        <f t="shared" si="36"/>
        <v>6.7223027826760182</v>
      </c>
      <c r="Z126">
        <f t="shared" si="44"/>
        <v>1.7637112236009722</v>
      </c>
      <c r="AA126">
        <f t="shared" si="45"/>
        <v>1.4567558620018239</v>
      </c>
      <c r="AB126">
        <f t="shared" si="56"/>
        <v>0.38172427590583702</v>
      </c>
      <c r="AD126">
        <v>63.633119999999998</v>
      </c>
      <c r="AE126">
        <v>0.13925206631827861</v>
      </c>
      <c r="AF126">
        <f t="shared" si="37"/>
        <v>8.8610434462789804</v>
      </c>
      <c r="AG126">
        <f t="shared" si="46"/>
        <v>5.2949354676120164</v>
      </c>
      <c r="AH126">
        <f t="shared" si="47"/>
        <v>2.0744683820092202</v>
      </c>
      <c r="AI126">
        <f t="shared" si="57"/>
        <v>2.0744683820092202</v>
      </c>
      <c r="AK126">
        <v>86.779560000000004</v>
      </c>
      <c r="AL126">
        <v>7.5316659691329932E-2</v>
      </c>
      <c r="AM126">
        <f t="shared" si="38"/>
        <v>6.5359465886833474</v>
      </c>
      <c r="AN126">
        <f t="shared" si="48"/>
        <v>1.8130153078134592</v>
      </c>
      <c r="AO126">
        <f t="shared" si="49"/>
        <v>1.4074517777893369</v>
      </c>
      <c r="AP126">
        <f t="shared" si="58"/>
        <v>4.3039553128909835</v>
      </c>
      <c r="AR126">
        <v>71.22054</v>
      </c>
      <c r="AS126">
        <v>0.48158148936025313</v>
      </c>
      <c r="AT126">
        <f t="shared" si="39"/>
        <v>34.298493726241482</v>
      </c>
      <c r="AU126">
        <f t="shared" si="50"/>
        <v>3.4627959497280925</v>
      </c>
      <c r="AV126">
        <f t="shared" si="51"/>
        <v>0.24232886412529631</v>
      </c>
      <c r="AW126">
        <f t="shared" si="59"/>
        <v>0.24232886412529631</v>
      </c>
      <c r="AY126" s="4">
        <f t="shared" si="31"/>
        <v>73.232143613534674</v>
      </c>
      <c r="AZ126">
        <f t="shared" si="52"/>
        <v>3.2204670856027962</v>
      </c>
    </row>
    <row r="127" spans="1:52" x14ac:dyDescent="0.35">
      <c r="A127" s="2">
        <v>40299</v>
      </c>
      <c r="B127">
        <v>82.30941</v>
      </c>
      <c r="C127">
        <v>4.3567341576629046E-2</v>
      </c>
      <c r="D127">
        <f t="shared" si="60"/>
        <v>3.5860021804408064</v>
      </c>
      <c r="E127">
        <f t="shared" si="40"/>
        <v>-2.9153098381430653</v>
      </c>
      <c r="F127">
        <f t="shared" si="32"/>
        <v>5.0103352732556061</v>
      </c>
      <c r="G127">
        <f t="shared" si="53"/>
        <v>3.3783459572678698</v>
      </c>
      <c r="I127">
        <v>69.40558</v>
      </c>
      <c r="J127">
        <v>7.8278508637134231E-2</v>
      </c>
      <c r="K127">
        <f t="shared" si="33"/>
        <v>5.432965293495311</v>
      </c>
      <c r="L127">
        <f t="shared" si="41"/>
        <v>-9.757393025275384</v>
      </c>
      <c r="M127">
        <f t="shared" si="34"/>
        <v>1.831747913876713</v>
      </c>
      <c r="N127">
        <f t="shared" si="54"/>
        <v>0.50319033669406998</v>
      </c>
      <c r="P127">
        <v>60.698749999999997</v>
      </c>
      <c r="Q127">
        <v>0.10977248632621533</v>
      </c>
      <c r="R127">
        <f t="shared" si="35"/>
        <v>6.6630527043933627</v>
      </c>
      <c r="S127">
        <f t="shared" si="42"/>
        <v>-6.1577985248382427</v>
      </c>
      <c r="T127">
        <f t="shared" si="43"/>
        <v>1.7678465865604283</v>
      </c>
      <c r="U127">
        <f t="shared" si="55"/>
        <v>0.74734358004907531</v>
      </c>
      <c r="W127">
        <v>82.329049999999995</v>
      </c>
      <c r="X127">
        <v>7.2231448090159731E-2</v>
      </c>
      <c r="Y127">
        <f t="shared" si="36"/>
        <v>5.9467465013871648</v>
      </c>
      <c r="Z127">
        <f t="shared" si="44"/>
        <v>-11.537062616214378</v>
      </c>
      <c r="AA127">
        <f t="shared" si="45"/>
        <v>3.6114175048157069</v>
      </c>
      <c r="AB127">
        <f t="shared" si="56"/>
        <v>1.5369491228064867</v>
      </c>
      <c r="AD127">
        <v>59.225200000000001</v>
      </c>
      <c r="AE127">
        <v>0.13925206631827861</v>
      </c>
      <c r="AF127">
        <f t="shared" si="37"/>
        <v>8.2472314781133136</v>
      </c>
      <c r="AG127">
        <f t="shared" si="46"/>
        <v>-6.9270845119648321</v>
      </c>
      <c r="AH127">
        <f t="shared" si="47"/>
        <v>0.9985605994338389</v>
      </c>
      <c r="AI127">
        <f t="shared" si="57"/>
        <v>0.9985605994338389</v>
      </c>
      <c r="AK127">
        <v>79.410709999999995</v>
      </c>
      <c r="AL127">
        <v>7.5316659691329932E-2</v>
      </c>
      <c r="AM127">
        <f t="shared" si="38"/>
        <v>5.9809494209168905</v>
      </c>
      <c r="AN127">
        <f t="shared" si="48"/>
        <v>-8.4914581267754858</v>
      </c>
      <c r="AO127">
        <f t="shared" si="49"/>
        <v>0.56581301537681483</v>
      </c>
      <c r="AP127">
        <f t="shared" si="58"/>
        <v>2.6546540702259813</v>
      </c>
      <c r="AR127">
        <v>65.557079999999999</v>
      </c>
      <c r="AS127">
        <v>0.48158148936025313</v>
      </c>
      <c r="AT127">
        <f t="shared" si="39"/>
        <v>31.571076224509262</v>
      </c>
      <c r="AU127">
        <f t="shared" si="50"/>
        <v>-7.9520037337543314</v>
      </c>
      <c r="AV127">
        <f t="shared" si="51"/>
        <v>2.6358622355660444E-2</v>
      </c>
      <c r="AW127">
        <f t="shared" si="59"/>
        <v>2.6358622355660444E-2</v>
      </c>
      <c r="AY127" s="4">
        <f t="shared" si="31"/>
        <v>67.42802380325611</v>
      </c>
      <c r="AZ127">
        <f t="shared" si="52"/>
        <v>-7.925645111398671</v>
      </c>
    </row>
    <row r="128" spans="1:52" x14ac:dyDescent="0.35">
      <c r="A128" s="2">
        <v>40330</v>
      </c>
      <c r="B128">
        <v>81.456850000000003</v>
      </c>
      <c r="C128">
        <v>4.3567341576629046E-2</v>
      </c>
      <c r="D128">
        <f t="shared" si="60"/>
        <v>3.548858407706236</v>
      </c>
      <c r="E128">
        <f t="shared" si="40"/>
        <v>-1.0357989444949256</v>
      </c>
      <c r="F128">
        <f t="shared" si="32"/>
        <v>1.285454529519392</v>
      </c>
      <c r="G128">
        <f t="shared" si="53"/>
        <v>3.7248807437362141</v>
      </c>
      <c r="I128">
        <v>69.33381</v>
      </c>
      <c r="J128">
        <v>7.8278508637134231E-2</v>
      </c>
      <c r="K128">
        <f t="shared" si="33"/>
        <v>5.4273472449304236</v>
      </c>
      <c r="L128">
        <f t="shared" si="41"/>
        <v>-0.10340667133680315</v>
      </c>
      <c r="M128">
        <f t="shared" si="34"/>
        <v>2.2178468026775144</v>
      </c>
      <c r="N128">
        <f t="shared" si="54"/>
        <v>0.38609888880080145</v>
      </c>
      <c r="P128">
        <v>61.533520000000003</v>
      </c>
      <c r="Q128">
        <v>0.10977248632621533</v>
      </c>
      <c r="R128">
        <f t="shared" si="35"/>
        <v>6.7546874828038979</v>
      </c>
      <c r="S128">
        <f t="shared" si="42"/>
        <v>1.3752672007248945</v>
      </c>
      <c r="T128">
        <f t="shared" si="43"/>
        <v>3.6965206747392121</v>
      </c>
      <c r="U128">
        <f t="shared" si="55"/>
        <v>1.9286740881787838</v>
      </c>
      <c r="W128">
        <v>81.596029999999999</v>
      </c>
      <c r="X128">
        <v>7.2231448090159731E-2</v>
      </c>
      <c r="Y128">
        <f t="shared" si="36"/>
        <v>5.8937994053081164</v>
      </c>
      <c r="Z128">
        <f t="shared" si="44"/>
        <v>-0.89035401234436318</v>
      </c>
      <c r="AA128">
        <f t="shared" si="45"/>
        <v>1.4308994616699544</v>
      </c>
      <c r="AB128">
        <f t="shared" si="56"/>
        <v>0.43233886223611551</v>
      </c>
      <c r="AD128">
        <v>56.326340000000002</v>
      </c>
      <c r="AE128">
        <v>0.13925206631827861</v>
      </c>
      <c r="AF128">
        <f t="shared" si="37"/>
        <v>7.8435592331459096</v>
      </c>
      <c r="AG128">
        <f t="shared" si="46"/>
        <v>-4.8946394440204539</v>
      </c>
      <c r="AH128">
        <f t="shared" si="47"/>
        <v>2.5733859700061363</v>
      </c>
      <c r="AI128">
        <f t="shared" si="57"/>
        <v>2.5733859700061363</v>
      </c>
      <c r="AK128">
        <v>77.931809999999999</v>
      </c>
      <c r="AL128">
        <v>7.5316659691329932E-2</v>
      </c>
      <c r="AM128">
        <f t="shared" si="38"/>
        <v>5.8695636128993831</v>
      </c>
      <c r="AN128">
        <f t="shared" si="48"/>
        <v>-1.8623432531959416</v>
      </c>
      <c r="AO128">
        <f t="shared" si="49"/>
        <v>0.45891022081837596</v>
      </c>
      <c r="AP128">
        <f t="shared" si="58"/>
        <v>8.3845553322170474</v>
      </c>
      <c r="AR128">
        <v>63.384979999999999</v>
      </c>
      <c r="AS128">
        <v>0.48158148936025313</v>
      </c>
      <c r="AT128">
        <f t="shared" si="39"/>
        <v>30.525033071469856</v>
      </c>
      <c r="AU128">
        <f t="shared" si="50"/>
        <v>-3.3132958331884232</v>
      </c>
      <c r="AV128">
        <f t="shared" si="51"/>
        <v>0.99204235917410566</v>
      </c>
      <c r="AW128">
        <f t="shared" si="59"/>
        <v>0.99204235917410566</v>
      </c>
      <c r="AY128" s="4">
        <f t="shared" si="31"/>
        <v>65.862848458263827</v>
      </c>
      <c r="AZ128">
        <f t="shared" si="52"/>
        <v>-2.3212534740143176</v>
      </c>
    </row>
    <row r="129" spans="1:52" x14ac:dyDescent="0.35">
      <c r="A129" s="2">
        <v>40360</v>
      </c>
      <c r="B129">
        <v>80.525130000000004</v>
      </c>
      <c r="C129">
        <v>4.3567341576629046E-2</v>
      </c>
      <c r="D129">
        <f t="shared" si="60"/>
        <v>3.5082658442124592</v>
      </c>
      <c r="E129">
        <f t="shared" si="40"/>
        <v>-1.1438203171372341</v>
      </c>
      <c r="F129">
        <f t="shared" si="32"/>
        <v>1.024321261638883</v>
      </c>
      <c r="G129">
        <f t="shared" si="53"/>
        <v>0.26113326788050895</v>
      </c>
      <c r="I129">
        <v>69.032229999999998</v>
      </c>
      <c r="J129">
        <v>7.8278508637134231E-2</v>
      </c>
      <c r="K129">
        <f t="shared" si="33"/>
        <v>5.4037400122956365</v>
      </c>
      <c r="L129">
        <f t="shared" si="41"/>
        <v>-0.43496816344003042</v>
      </c>
      <c r="M129">
        <f t="shared" si="34"/>
        <v>0.31546910794167937</v>
      </c>
      <c r="N129">
        <f t="shared" si="54"/>
        <v>1.9023776947358351</v>
      </c>
      <c r="P129">
        <v>61.429409999999997</v>
      </c>
      <c r="Q129">
        <v>0.10977248632621533</v>
      </c>
      <c r="R129">
        <f t="shared" si="35"/>
        <v>6.743259069252475</v>
      </c>
      <c r="S129">
        <f t="shared" si="42"/>
        <v>-0.16919233614459683</v>
      </c>
      <c r="T129">
        <f t="shared" si="43"/>
        <v>4.9693280646245785E-2</v>
      </c>
      <c r="U129">
        <f t="shared" si="55"/>
        <v>3.6468273940929663</v>
      </c>
      <c r="W129">
        <v>82.78886</v>
      </c>
      <c r="X129">
        <v>7.2231448090159731E-2</v>
      </c>
      <c r="Y129">
        <f t="shared" si="36"/>
        <v>5.9799592435335009</v>
      </c>
      <c r="Z129">
        <f t="shared" si="44"/>
        <v>1.4618725935563237</v>
      </c>
      <c r="AA129">
        <f t="shared" si="45"/>
        <v>1.5813716490546748</v>
      </c>
      <c r="AB129">
        <f t="shared" si="56"/>
        <v>0.99201432095146158</v>
      </c>
      <c r="AD129">
        <v>54.571680000000001</v>
      </c>
      <c r="AE129">
        <v>0.13925206631827861</v>
      </c>
      <c r="AF129">
        <f t="shared" si="37"/>
        <v>7.5992192024598779</v>
      </c>
      <c r="AG129">
        <f t="shared" si="46"/>
        <v>-3.1151677882852002</v>
      </c>
      <c r="AH129">
        <f t="shared" si="47"/>
        <v>2.9956687327868492</v>
      </c>
      <c r="AI129">
        <f t="shared" si="57"/>
        <v>2.9956687327868492</v>
      </c>
      <c r="AK129">
        <v>78.219160000000002</v>
      </c>
      <c r="AL129">
        <v>7.5316659691329932E-2</v>
      </c>
      <c r="AM129">
        <f t="shared" si="38"/>
        <v>5.8912058550616866</v>
      </c>
      <c r="AN129">
        <f t="shared" si="48"/>
        <v>0.36871978207615452</v>
      </c>
      <c r="AO129">
        <f t="shared" si="49"/>
        <v>0.48821883757450557</v>
      </c>
      <c r="AP129">
        <f t="shared" si="58"/>
        <v>2.8094723115888232</v>
      </c>
      <c r="AR129">
        <v>63.662109999999998</v>
      </c>
      <c r="AS129">
        <v>0.48158148936025313</v>
      </c>
      <c r="AT129">
        <f t="shared" si="39"/>
        <v>30.658493749616262</v>
      </c>
      <c r="AU129">
        <f t="shared" si="50"/>
        <v>0.43721714513438314</v>
      </c>
      <c r="AV129">
        <f t="shared" si="51"/>
        <v>0.55671620063273419</v>
      </c>
      <c r="AW129">
        <f t="shared" si="59"/>
        <v>0.55671620063273419</v>
      </c>
      <c r="AY129" s="4">
        <f t="shared" si="31"/>
        <v>65.784142976431895</v>
      </c>
      <c r="AZ129">
        <f t="shared" si="52"/>
        <v>-0.11949905549835105</v>
      </c>
    </row>
    <row r="130" spans="1:52" x14ac:dyDescent="0.35">
      <c r="A130" s="2">
        <v>40391</v>
      </c>
      <c r="B130">
        <v>81.789439999999999</v>
      </c>
      <c r="C130">
        <v>4.3567341576629046E-2</v>
      </c>
      <c r="D130">
        <f t="shared" si="60"/>
        <v>3.5633484698412068</v>
      </c>
      <c r="E130">
        <f t="shared" si="40"/>
        <v>1.5700812901512817</v>
      </c>
      <c r="F130">
        <f t="shared" si="32"/>
        <v>0.25196628202308613</v>
      </c>
      <c r="G130">
        <f t="shared" si="53"/>
        <v>0.77235497961579691</v>
      </c>
      <c r="I130">
        <v>70.418080000000003</v>
      </c>
      <c r="J130">
        <v>7.8278508637134231E-2</v>
      </c>
      <c r="K130">
        <f t="shared" si="33"/>
        <v>5.5122222834904093</v>
      </c>
      <c r="L130">
        <f t="shared" si="41"/>
        <v>2.0075405357758314</v>
      </c>
      <c r="M130">
        <f t="shared" si="34"/>
        <v>0.68942552764763576</v>
      </c>
      <c r="N130">
        <f t="shared" si="54"/>
        <v>0.37395641970595639</v>
      </c>
      <c r="P130">
        <v>62.023200000000003</v>
      </c>
      <c r="Q130">
        <v>0.10977248632621533</v>
      </c>
      <c r="R130">
        <f t="shared" si="35"/>
        <v>6.8084408739081193</v>
      </c>
      <c r="S130">
        <f t="shared" si="42"/>
        <v>0.96662168821091132</v>
      </c>
      <c r="T130">
        <f t="shared" si="43"/>
        <v>0.35149331991728427</v>
      </c>
      <c r="U130">
        <f t="shared" si="55"/>
        <v>0.30180003927103849</v>
      </c>
      <c r="W130">
        <v>83.463509999999999</v>
      </c>
      <c r="X130">
        <v>7.2231448090159731E-2</v>
      </c>
      <c r="Y130">
        <f t="shared" si="36"/>
        <v>6.0286901899875271</v>
      </c>
      <c r="Z130">
        <f t="shared" si="44"/>
        <v>0.81490432408417579</v>
      </c>
      <c r="AA130">
        <f t="shared" si="45"/>
        <v>0.50321068404401981</v>
      </c>
      <c r="AB130">
        <f t="shared" si="56"/>
        <v>2.4924580487428294</v>
      </c>
      <c r="AD130">
        <v>53.794269999999997</v>
      </c>
      <c r="AE130">
        <v>0.13925206631827861</v>
      </c>
      <c r="AF130">
        <f t="shared" si="37"/>
        <v>7.4909632535833852</v>
      </c>
      <c r="AG130">
        <f t="shared" si="46"/>
        <v>-1.4245667349804925</v>
      </c>
      <c r="AH130">
        <f t="shared" si="47"/>
        <v>2.7426817431086881</v>
      </c>
      <c r="AI130">
        <f t="shared" si="57"/>
        <v>2.7426817431086881</v>
      </c>
      <c r="AK130">
        <v>80.002539999999996</v>
      </c>
      <c r="AL130">
        <v>7.5316659691329932E-2</v>
      </c>
      <c r="AM130">
        <f t="shared" si="38"/>
        <v>6.0255240796220102</v>
      </c>
      <c r="AN130">
        <f t="shared" si="48"/>
        <v>2.2799784605204154</v>
      </c>
      <c r="AO130">
        <f t="shared" si="49"/>
        <v>0.96186345239221982</v>
      </c>
      <c r="AP130">
        <f t="shared" si="58"/>
        <v>1.0813625078905709</v>
      </c>
      <c r="AR130">
        <v>64.832359999999994</v>
      </c>
      <c r="AS130">
        <v>0.48158148936025313</v>
      </c>
      <c r="AT130">
        <f t="shared" si="39"/>
        <v>31.222064487540099</v>
      </c>
      <c r="AU130">
        <f t="shared" si="50"/>
        <v>1.8382205679327912</v>
      </c>
      <c r="AV130">
        <f t="shared" si="51"/>
        <v>0.52010555980459561</v>
      </c>
      <c r="AW130">
        <f t="shared" si="59"/>
        <v>0.52010555980459561</v>
      </c>
      <c r="AY130" s="4">
        <f t="shared" si="31"/>
        <v>66.651253637972758</v>
      </c>
      <c r="AZ130">
        <f t="shared" si="52"/>
        <v>1.3181150081281956</v>
      </c>
    </row>
    <row r="131" spans="1:52" x14ac:dyDescent="0.35">
      <c r="A131" s="2">
        <v>40422</v>
      </c>
      <c r="B131">
        <v>84.823800000000006</v>
      </c>
      <c r="C131">
        <v>4.3567341576629046E-2</v>
      </c>
      <c r="D131">
        <f t="shared" si="60"/>
        <v>3.6955474684276672</v>
      </c>
      <c r="E131">
        <f t="shared" si="40"/>
        <v>3.7099654918776981</v>
      </c>
      <c r="F131">
        <f t="shared" si="32"/>
        <v>1.0012787783877375</v>
      </c>
      <c r="G131">
        <f t="shared" si="53"/>
        <v>0.74931249636465136</v>
      </c>
      <c r="I131">
        <v>72.666439999999994</v>
      </c>
      <c r="J131">
        <v>7.8278508637134231E-2</v>
      </c>
      <c r="K131">
        <f t="shared" si="33"/>
        <v>5.6882205511697963</v>
      </c>
      <c r="L131">
        <f t="shared" si="41"/>
        <v>3.192873193929735</v>
      </c>
      <c r="M131">
        <f t="shared" si="34"/>
        <v>0.48418648043977441</v>
      </c>
      <c r="N131">
        <f t="shared" si="54"/>
        <v>0.20523904720786135</v>
      </c>
      <c r="P131">
        <v>63.141359999999999</v>
      </c>
      <c r="Q131">
        <v>0.10977248632621533</v>
      </c>
      <c r="R131">
        <f t="shared" si="35"/>
        <v>6.9311840772186395</v>
      </c>
      <c r="S131">
        <f t="shared" si="42"/>
        <v>1.802809271369421</v>
      </c>
      <c r="T131">
        <f t="shared" si="43"/>
        <v>0.90587744212053956</v>
      </c>
      <c r="U131">
        <f t="shared" si="55"/>
        <v>0.55438412220325528</v>
      </c>
      <c r="W131">
        <v>84.412899999999993</v>
      </c>
      <c r="X131">
        <v>7.2231448090159731E-2</v>
      </c>
      <c r="Y131">
        <f t="shared" si="36"/>
        <v>6.0972660044898435</v>
      </c>
      <c r="Z131">
        <f t="shared" si="44"/>
        <v>1.137491102399113</v>
      </c>
      <c r="AA131">
        <f t="shared" si="45"/>
        <v>1.5711956110908476</v>
      </c>
      <c r="AB131">
        <f t="shared" si="56"/>
        <v>1.1714861320178405</v>
      </c>
      <c r="AD131">
        <v>54.000549999999997</v>
      </c>
      <c r="AE131">
        <v>0.13925206631827861</v>
      </c>
      <c r="AF131">
        <f t="shared" si="37"/>
        <v>7.5196881698235192</v>
      </c>
      <c r="AG131">
        <f t="shared" si="46"/>
        <v>0.38346091507515112</v>
      </c>
      <c r="AH131">
        <f t="shared" si="47"/>
        <v>2.3252257984148095</v>
      </c>
      <c r="AI131">
        <f t="shared" si="57"/>
        <v>2.3252257984148095</v>
      </c>
      <c r="AK131">
        <v>83.620540000000005</v>
      </c>
      <c r="AL131">
        <v>7.5316659691329932E-2</v>
      </c>
      <c r="AM131">
        <f t="shared" si="38"/>
        <v>6.2980197543852423</v>
      </c>
      <c r="AN131">
        <f t="shared" si="48"/>
        <v>4.5223564151838369</v>
      </c>
      <c r="AO131">
        <f t="shared" si="49"/>
        <v>1.8136697016938763</v>
      </c>
      <c r="AP131">
        <f t="shared" si="58"/>
        <v>0.49555469356568072</v>
      </c>
      <c r="AR131">
        <v>66.918480000000002</v>
      </c>
      <c r="AS131">
        <v>0.48158148936025313</v>
      </c>
      <c r="AT131">
        <f t="shared" si="39"/>
        <v>32.226701264124316</v>
      </c>
      <c r="AU131">
        <f t="shared" si="50"/>
        <v>3.2177141168391987</v>
      </c>
      <c r="AV131">
        <f t="shared" si="51"/>
        <v>0.50902740334923813</v>
      </c>
      <c r="AW131">
        <f t="shared" si="59"/>
        <v>0.50902740334923813</v>
      </c>
      <c r="AY131" s="4">
        <f t="shared" ref="AY131:AY194" si="61">AT131+AM131+AF131+Y131+R131+K131+D131</f>
        <v>68.456627289639016</v>
      </c>
      <c r="AZ131">
        <f t="shared" si="52"/>
        <v>2.7086867134899606</v>
      </c>
    </row>
    <row r="132" spans="1:52" x14ac:dyDescent="0.35">
      <c r="A132" s="2">
        <v>40452</v>
      </c>
      <c r="B132">
        <v>87.64761</v>
      </c>
      <c r="C132">
        <v>4.3567341576629046E-2</v>
      </c>
      <c r="D132">
        <f t="shared" si="60"/>
        <v>3.8185733632451675</v>
      </c>
      <c r="E132">
        <f t="shared" si="40"/>
        <v>3.3290302957424522</v>
      </c>
      <c r="F132">
        <f t="shared" ref="F132:F195" si="62">ABS(E132-$AZ132)</f>
        <v>5.7066256538695903E-2</v>
      </c>
      <c r="G132">
        <f t="shared" si="53"/>
        <v>0.94421252184904159</v>
      </c>
      <c r="I132">
        <v>74.468900000000005</v>
      </c>
      <c r="J132">
        <v>7.8278508637134231E-2</v>
      </c>
      <c r="K132">
        <f t="shared" ref="K132:K195" si="63">I132*J132</f>
        <v>5.8293144318478856</v>
      </c>
      <c r="L132">
        <f t="shared" si="41"/>
        <v>2.4804572784905998</v>
      </c>
      <c r="M132">
        <f t="shared" ref="M132:M195" si="64">ABS(L132-$AZ132)</f>
        <v>0.90563927379054832</v>
      </c>
      <c r="N132">
        <f t="shared" si="54"/>
        <v>0.4214527933507739</v>
      </c>
      <c r="P132">
        <v>65.558899999999994</v>
      </c>
      <c r="Q132">
        <v>0.10977248632621533</v>
      </c>
      <c r="R132">
        <f t="shared" ref="R132:R195" si="65">P132*Q132</f>
        <v>7.1965634538117182</v>
      </c>
      <c r="S132">
        <f t="shared" si="42"/>
        <v>3.8287740397102477</v>
      </c>
      <c r="T132">
        <f t="shared" si="43"/>
        <v>0.44267748742909951</v>
      </c>
      <c r="U132">
        <f t="shared" si="55"/>
        <v>0.46319995469144004</v>
      </c>
      <c r="W132">
        <v>86.643249999999995</v>
      </c>
      <c r="X132">
        <v>7.2231448090159731E-2</v>
      </c>
      <c r="Y132">
        <f t="shared" ref="Y132:Y195" si="66">W132*X132</f>
        <v>6.2583674147377319</v>
      </c>
      <c r="Z132">
        <f t="shared" si="44"/>
        <v>2.6421909447489789</v>
      </c>
      <c r="AA132">
        <f t="shared" si="45"/>
        <v>0.74390560753216928</v>
      </c>
      <c r="AB132">
        <f t="shared" si="56"/>
        <v>1.5813201908826402</v>
      </c>
      <c r="AD132">
        <v>53.352699999999999</v>
      </c>
      <c r="AE132">
        <v>0.13925206631827861</v>
      </c>
      <c r="AF132">
        <f t="shared" ref="AF132:AF195" si="67">AD132*AE132</f>
        <v>7.4294737186592226</v>
      </c>
      <c r="AG132">
        <f t="shared" si="46"/>
        <v>-1.1997100029536689</v>
      </c>
      <c r="AH132">
        <f t="shared" si="47"/>
        <v>4.5858065552348171</v>
      </c>
      <c r="AI132">
        <f t="shared" si="57"/>
        <v>4.5858065552348171</v>
      </c>
      <c r="AK132">
        <v>86.237300000000005</v>
      </c>
      <c r="AL132">
        <v>7.5316659691329932E-2</v>
      </c>
      <c r="AM132">
        <f t="shared" ref="AM132:AM195" si="68">AK132*AL132</f>
        <v>6.4951053767991267</v>
      </c>
      <c r="AN132">
        <f t="shared" si="48"/>
        <v>3.1293268376406003</v>
      </c>
      <c r="AO132">
        <f t="shared" si="49"/>
        <v>0.25676971464054787</v>
      </c>
      <c r="AP132">
        <f t="shared" si="58"/>
        <v>2.4519169988494127</v>
      </c>
      <c r="AR132">
        <v>70.075860000000006</v>
      </c>
      <c r="AS132">
        <v>0.48158148936025313</v>
      </c>
      <c r="AT132">
        <f t="shared" ref="AT132:AT195" si="69">AR132*AS132</f>
        <v>33.747237027000594</v>
      </c>
      <c r="AU132">
        <f t="shared" si="50"/>
        <v>4.7182482327751574</v>
      </c>
      <c r="AV132">
        <f t="shared" si="51"/>
        <v>1.3321516804940092</v>
      </c>
      <c r="AW132">
        <f t="shared" si="59"/>
        <v>1.3321516804940092</v>
      </c>
      <c r="AY132" s="4">
        <f t="shared" si="61"/>
        <v>70.774634786101444</v>
      </c>
      <c r="AZ132">
        <f t="shared" si="52"/>
        <v>3.3860965522811481</v>
      </c>
    </row>
    <row r="133" spans="1:52" x14ac:dyDescent="0.35">
      <c r="A133" s="2">
        <v>40483</v>
      </c>
      <c r="B133">
        <v>89.567830000000001</v>
      </c>
      <c r="C133">
        <v>4.3567341576629046E-2</v>
      </c>
      <c r="D133">
        <f t="shared" si="60"/>
        <v>3.9022322438874424</v>
      </c>
      <c r="E133">
        <f t="shared" ref="E133:E196" si="70">((B133/B132)-1)*100</f>
        <v>2.1908412562533064</v>
      </c>
      <c r="F133">
        <f t="shared" si="62"/>
        <v>0.49418650702326428</v>
      </c>
      <c r="G133">
        <f t="shared" si="53"/>
        <v>0.43712025048456837</v>
      </c>
      <c r="I133">
        <v>74.929060000000007</v>
      </c>
      <c r="J133">
        <v>7.8278508637134231E-2</v>
      </c>
      <c r="K133">
        <f t="shared" si="63"/>
        <v>5.8653350703823497</v>
      </c>
      <c r="L133">
        <f t="shared" ref="L133:L196" si="71">((I133/I132)-1)*100</f>
        <v>0.61792238102080788</v>
      </c>
      <c r="M133">
        <f t="shared" si="64"/>
        <v>1.0787323682092342</v>
      </c>
      <c r="N133">
        <f t="shared" si="54"/>
        <v>0.17309309441868592</v>
      </c>
      <c r="P133">
        <v>68.643479999999997</v>
      </c>
      <c r="Q133">
        <v>0.10977248632621533</v>
      </c>
      <c r="R133">
        <f t="shared" si="65"/>
        <v>7.535165469683835</v>
      </c>
      <c r="S133">
        <f t="shared" ref="S133:S196" si="72">((P133/P132)-1)*100</f>
        <v>4.705051488051204</v>
      </c>
      <c r="T133">
        <f t="shared" ref="T133:T196" si="73">ABS(S133-$AZ133)</f>
        <v>3.0083967388211619</v>
      </c>
      <c r="U133">
        <f t="shared" si="55"/>
        <v>2.5657192513920624</v>
      </c>
      <c r="W133">
        <v>85.733270000000005</v>
      </c>
      <c r="X133">
        <v>7.2231448090159731E-2</v>
      </c>
      <c r="Y133">
        <f t="shared" si="66"/>
        <v>6.1926382416046488</v>
      </c>
      <c r="Z133">
        <f t="shared" ref="Z133:Z196" si="74">((W133/W132)-1)*100</f>
        <v>-1.0502606954378879</v>
      </c>
      <c r="AA133">
        <f t="shared" ref="AA133:AA196" si="75">ABS(Z133-$AZ133)</f>
        <v>2.74691544466793</v>
      </c>
      <c r="AB133">
        <f t="shared" si="56"/>
        <v>1.838891110566887</v>
      </c>
      <c r="AD133">
        <v>54.72381</v>
      </c>
      <c r="AE133">
        <v>0.13925206631827861</v>
      </c>
      <c r="AF133">
        <f t="shared" si="67"/>
        <v>7.6204036193088776</v>
      </c>
      <c r="AG133">
        <f t="shared" ref="AG133:AG196" si="76">((AD133/AD132)-1)*100</f>
        <v>2.5698980557685047</v>
      </c>
      <c r="AH133">
        <f t="shared" ref="AH133:AH196" si="77">ABS(AG133-$AZ133)</f>
        <v>0.8732433065384626</v>
      </c>
      <c r="AI133">
        <f t="shared" si="57"/>
        <v>0.8732433065384626</v>
      </c>
      <c r="AK133">
        <v>86.952719999999999</v>
      </c>
      <c r="AL133">
        <v>7.5316659691329932E-2</v>
      </c>
      <c r="AM133">
        <f t="shared" si="68"/>
        <v>6.5489884214754976</v>
      </c>
      <c r="AN133">
        <f t="shared" ref="AN133:AN196" si="78">((AK133/AK132)-1)*100</f>
        <v>0.82959461856990657</v>
      </c>
      <c r="AO133">
        <f t="shared" ref="AO133:AO196" si="79">ABS(AN133-$AZ133)</f>
        <v>0.86706013066013554</v>
      </c>
      <c r="AP133">
        <f t="shared" si="58"/>
        <v>2.5190364216210126</v>
      </c>
      <c r="AR133">
        <v>71.245829999999998</v>
      </c>
      <c r="AS133">
        <v>0.48158148936025313</v>
      </c>
      <c r="AT133">
        <f t="shared" si="69"/>
        <v>34.3106729221074</v>
      </c>
      <c r="AU133">
        <f t="shared" ref="AU133:AU196" si="80">((AR133/AR132)-1)*100</f>
        <v>1.6695763705218747</v>
      </c>
      <c r="AV133">
        <f t="shared" ref="AV133:AV196" si="81">ABS(AU133-$AZ133)</f>
        <v>2.7078378708167428E-2</v>
      </c>
      <c r="AW133">
        <f t="shared" si="59"/>
        <v>2.7078378708167428E-2</v>
      </c>
      <c r="AY133" s="4">
        <f t="shared" si="61"/>
        <v>71.975435988450045</v>
      </c>
      <c r="AZ133">
        <f t="shared" ref="AZ133:AZ196" si="82">((AY133/AY132)-1)*100</f>
        <v>1.6966547492300421</v>
      </c>
    </row>
    <row r="134" spans="1:52" x14ac:dyDescent="0.35">
      <c r="A134" s="2">
        <v>40513</v>
      </c>
      <c r="B134">
        <v>92.647379999999998</v>
      </c>
      <c r="C134">
        <v>4.3567341576629046E-2</v>
      </c>
      <c r="D134">
        <f t="shared" si="60"/>
        <v>4.0364000506397506</v>
      </c>
      <c r="E134">
        <f t="shared" si="70"/>
        <v>3.438232231371452</v>
      </c>
      <c r="F134">
        <f t="shared" si="62"/>
        <v>0.45472560181625266</v>
      </c>
      <c r="G134">
        <f t="shared" ref="G134:G197" si="83">ABS(F134-F133)</f>
        <v>3.9460905207011621E-2</v>
      </c>
      <c r="I134">
        <v>75.920599999999993</v>
      </c>
      <c r="J134">
        <v>7.8278508637134231E-2</v>
      </c>
      <c r="K134">
        <f t="shared" si="63"/>
        <v>5.9429513428364125</v>
      </c>
      <c r="L134">
        <f t="shared" si="71"/>
        <v>1.3233050034258786</v>
      </c>
      <c r="M134">
        <f t="shared" si="64"/>
        <v>1.6602016261293207</v>
      </c>
      <c r="N134">
        <f t="shared" ref="N134:N197" si="84">ABS(M134-M133)</f>
        <v>0.58146925792008641</v>
      </c>
      <c r="P134">
        <v>71.575749999999999</v>
      </c>
      <c r="Q134">
        <v>0.10977248632621533</v>
      </c>
      <c r="R134">
        <f t="shared" si="65"/>
        <v>7.8570480381636072</v>
      </c>
      <c r="S134">
        <f t="shared" si="72"/>
        <v>4.2717385540476771</v>
      </c>
      <c r="T134">
        <f t="shared" si="73"/>
        <v>1.2882319244924778</v>
      </c>
      <c r="U134">
        <f t="shared" ref="U134:U197" si="85">ABS(T134-T133)</f>
        <v>1.7201648143286841</v>
      </c>
      <c r="W134">
        <v>85.386539999999997</v>
      </c>
      <c r="X134">
        <v>7.2231448090159731E-2</v>
      </c>
      <c r="Y134">
        <f t="shared" si="66"/>
        <v>6.1675934316083474</v>
      </c>
      <c r="Z134">
        <f t="shared" si="74"/>
        <v>-0.40442875910368103</v>
      </c>
      <c r="AA134">
        <f t="shared" si="75"/>
        <v>3.3879353886588803</v>
      </c>
      <c r="AB134">
        <f t="shared" ref="AB134:AB197" si="86">ABS(AA134-AH133)</f>
        <v>2.5146920821204177</v>
      </c>
      <c r="AD134">
        <v>57.70776</v>
      </c>
      <c r="AE134">
        <v>0.13925206631827861</v>
      </c>
      <c r="AF134">
        <f t="shared" si="67"/>
        <v>8.0359248225993056</v>
      </c>
      <c r="AG134">
        <f t="shared" si="76"/>
        <v>5.4527453406478799</v>
      </c>
      <c r="AH134">
        <f t="shared" si="77"/>
        <v>2.4692387110926806</v>
      </c>
      <c r="AI134">
        <f t="shared" ref="AI134:AI197" si="87">ABS(AH134-AQ133)</f>
        <v>2.4692387110926806</v>
      </c>
      <c r="AK134">
        <v>89.170230000000004</v>
      </c>
      <c r="AL134">
        <v>7.5316659691329932E-2</v>
      </c>
      <c r="AM134">
        <f t="shared" si="68"/>
        <v>6.7160038675076192</v>
      </c>
      <c r="AN134">
        <f t="shared" si="78"/>
        <v>2.5502479968424252</v>
      </c>
      <c r="AO134">
        <f t="shared" si="79"/>
        <v>0.43325863271277409</v>
      </c>
      <c r="AP134">
        <f t="shared" ref="AP134:AP197" si="88">ABS(AO134-AZ133)</f>
        <v>1.263396116517268</v>
      </c>
      <c r="AR134">
        <v>73.439089999999993</v>
      </c>
      <c r="AS134">
        <v>0.48158148936025313</v>
      </c>
      <c r="AT134">
        <f t="shared" si="69"/>
        <v>35.366906339461671</v>
      </c>
      <c r="AU134">
        <f t="shared" si="80"/>
        <v>3.0784398188637763</v>
      </c>
      <c r="AV134">
        <f t="shared" si="81"/>
        <v>9.4933189308576971E-2</v>
      </c>
      <c r="AW134">
        <f t="shared" ref="AW134:AW197" si="89">ABS(AV134-BG133)</f>
        <v>9.4933189308576971E-2</v>
      </c>
      <c r="AY134" s="4">
        <f t="shared" si="61"/>
        <v>74.122827892816716</v>
      </c>
      <c r="AZ134">
        <f t="shared" si="82"/>
        <v>2.9835066295551993</v>
      </c>
    </row>
    <row r="135" spans="1:52" x14ac:dyDescent="0.35">
      <c r="A135" s="2">
        <v>40544</v>
      </c>
      <c r="B135">
        <v>93.417090000000002</v>
      </c>
      <c r="C135">
        <v>4.4215085112220463E-2</v>
      </c>
      <c r="D135">
        <f t="shared" si="60"/>
        <v>4.130444585285959</v>
      </c>
      <c r="E135">
        <f t="shared" si="70"/>
        <v>0.83079521514801691</v>
      </c>
      <c r="F135">
        <f t="shared" si="62"/>
        <v>1.9121672822374425</v>
      </c>
      <c r="G135">
        <f t="shared" si="83"/>
        <v>1.4574416804211898</v>
      </c>
      <c r="I135">
        <v>78.069239999999994</v>
      </c>
      <c r="J135">
        <v>7.8714820726496604E-2</v>
      </c>
      <c r="K135">
        <f t="shared" si="63"/>
        <v>6.1452062308538373</v>
      </c>
      <c r="L135">
        <f t="shared" si="71"/>
        <v>2.8301146197474703</v>
      </c>
      <c r="M135">
        <f t="shared" si="64"/>
        <v>8.7152122362010864E-2</v>
      </c>
      <c r="N135">
        <f t="shared" si="84"/>
        <v>1.5730495037673098</v>
      </c>
      <c r="P135">
        <v>72.219660000000005</v>
      </c>
      <c r="Q135">
        <v>0.11225570738116798</v>
      </c>
      <c r="R135">
        <f t="shared" si="65"/>
        <v>8.107069020127442</v>
      </c>
      <c r="S135">
        <f t="shared" si="72"/>
        <v>0.89962033230528426</v>
      </c>
      <c r="T135">
        <f t="shared" si="73"/>
        <v>1.8433421650801751</v>
      </c>
      <c r="U135">
        <f t="shared" si="85"/>
        <v>0.55511024058769731</v>
      </c>
      <c r="W135">
        <v>88.555689999999998</v>
      </c>
      <c r="X135">
        <v>7.1578321400407513E-2</v>
      </c>
      <c r="Y135">
        <f t="shared" si="66"/>
        <v>6.3386676406548537</v>
      </c>
      <c r="Z135">
        <f t="shared" si="74"/>
        <v>3.7115334571467651</v>
      </c>
      <c r="AA135">
        <f t="shared" si="75"/>
        <v>0.96857095976130569</v>
      </c>
      <c r="AB135">
        <f t="shared" si="86"/>
        <v>1.5006677513313749</v>
      </c>
      <c r="AD135">
        <v>59.51399</v>
      </c>
      <c r="AE135">
        <v>0.13705634023991131</v>
      </c>
      <c r="AF135">
        <f t="shared" si="67"/>
        <v>8.1567696624746802</v>
      </c>
      <c r="AG135">
        <f t="shared" si="76"/>
        <v>3.1299603380897212</v>
      </c>
      <c r="AH135">
        <f t="shared" si="77"/>
        <v>0.3869978407042618</v>
      </c>
      <c r="AI135">
        <f t="shared" si="87"/>
        <v>0.3869978407042618</v>
      </c>
      <c r="AK135">
        <v>90.498249999999999</v>
      </c>
      <c r="AL135">
        <v>7.4960072324412361E-2</v>
      </c>
      <c r="AM135">
        <f t="shared" si="68"/>
        <v>6.7837553652327509</v>
      </c>
      <c r="AN135">
        <f t="shared" si="78"/>
        <v>1.4893087076258471</v>
      </c>
      <c r="AO135">
        <f t="shared" si="79"/>
        <v>1.2536537897596123</v>
      </c>
      <c r="AP135">
        <f t="shared" si="88"/>
        <v>1.729852839795587</v>
      </c>
      <c r="AR135">
        <v>75.83663</v>
      </c>
      <c r="AS135">
        <v>0.48121965281538376</v>
      </c>
      <c r="AT135">
        <f t="shared" si="69"/>
        <v>36.494076759288717</v>
      </c>
      <c r="AU135">
        <f t="shared" si="80"/>
        <v>3.2646646356865316</v>
      </c>
      <c r="AV135">
        <f t="shared" si="81"/>
        <v>0.52170213830107226</v>
      </c>
      <c r="AW135">
        <f t="shared" si="89"/>
        <v>0.52170213830107226</v>
      </c>
      <c r="AY135" s="4">
        <f t="shared" si="61"/>
        <v>76.155989263918244</v>
      </c>
      <c r="AZ135">
        <f t="shared" si="82"/>
        <v>2.7429624973854594</v>
      </c>
    </row>
    <row r="136" spans="1:52" x14ac:dyDescent="0.35">
      <c r="A136" s="2">
        <v>40575</v>
      </c>
      <c r="B136">
        <v>97.070179999999993</v>
      </c>
      <c r="C136">
        <v>4.4215085112220463E-2</v>
      </c>
      <c r="D136">
        <f t="shared" si="60"/>
        <v>4.2919662705585599</v>
      </c>
      <c r="E136">
        <f t="shared" si="70"/>
        <v>3.9105157311151384</v>
      </c>
      <c r="F136">
        <f t="shared" si="62"/>
        <v>0.79476867659373784</v>
      </c>
      <c r="G136">
        <f t="shared" si="83"/>
        <v>1.1173986056437046</v>
      </c>
      <c r="I136">
        <v>80.270840000000007</v>
      </c>
      <c r="J136">
        <v>7.8714820726496604E-2</v>
      </c>
      <c r="K136">
        <f t="shared" si="63"/>
        <v>6.3185047801652932</v>
      </c>
      <c r="L136">
        <f t="shared" si="71"/>
        <v>2.8200607563235058</v>
      </c>
      <c r="M136">
        <f t="shared" si="64"/>
        <v>0.29568629819789471</v>
      </c>
      <c r="N136">
        <f t="shared" si="84"/>
        <v>0.20853417583588385</v>
      </c>
      <c r="P136">
        <v>74.39622</v>
      </c>
      <c r="Q136">
        <v>0.11225570738116798</v>
      </c>
      <c r="R136">
        <f t="shared" si="65"/>
        <v>8.351400302584997</v>
      </c>
      <c r="S136">
        <f t="shared" si="72"/>
        <v>3.0138053820801591</v>
      </c>
      <c r="T136">
        <f t="shared" si="73"/>
        <v>0.10194167244124142</v>
      </c>
      <c r="U136">
        <f t="shared" si="85"/>
        <v>1.7414004926389337</v>
      </c>
      <c r="W136">
        <v>92.545050000000003</v>
      </c>
      <c r="X136">
        <v>7.1578321400407513E-2</v>
      </c>
      <c r="Y136">
        <f t="shared" si="66"/>
        <v>6.6242193329167831</v>
      </c>
      <c r="Z136">
        <f t="shared" si="74"/>
        <v>4.5049166236523108</v>
      </c>
      <c r="AA136">
        <f t="shared" si="75"/>
        <v>1.3891695691309103</v>
      </c>
      <c r="AB136">
        <f t="shared" si="86"/>
        <v>1.0021717284266485</v>
      </c>
      <c r="AD136">
        <v>61.142940000000003</v>
      </c>
      <c r="AE136">
        <v>0.13705634023991131</v>
      </c>
      <c r="AF136">
        <f t="shared" si="67"/>
        <v>8.3800275879084829</v>
      </c>
      <c r="AG136">
        <f t="shared" si="76"/>
        <v>2.7370875318559529</v>
      </c>
      <c r="AH136">
        <f t="shared" si="77"/>
        <v>0.37865952266544767</v>
      </c>
      <c r="AI136">
        <f t="shared" si="87"/>
        <v>0.37865952266544767</v>
      </c>
      <c r="AK136">
        <v>91.298730000000006</v>
      </c>
      <c r="AL136">
        <v>7.4960072324412361E-2</v>
      </c>
      <c r="AM136">
        <f t="shared" si="68"/>
        <v>6.8437594039269971</v>
      </c>
      <c r="AN136">
        <f t="shared" si="78"/>
        <v>0.88452539137497954</v>
      </c>
      <c r="AO136">
        <f t="shared" si="79"/>
        <v>2.231221663146421</v>
      </c>
      <c r="AP136">
        <f t="shared" si="88"/>
        <v>0.51174083423903838</v>
      </c>
      <c r="AR136">
        <v>78.381960000000007</v>
      </c>
      <c r="AS136">
        <v>0.48121965281538376</v>
      </c>
      <c r="AT136">
        <f t="shared" si="69"/>
        <v>37.7189395781893</v>
      </c>
      <c r="AU136">
        <f t="shared" si="80"/>
        <v>3.3563332125913448</v>
      </c>
      <c r="AV136">
        <f t="shared" si="81"/>
        <v>0.24058615806994421</v>
      </c>
      <c r="AW136">
        <f t="shared" si="89"/>
        <v>0.24058615806994421</v>
      </c>
      <c r="AY136" s="4">
        <f t="shared" si="61"/>
        <v>78.528817256250406</v>
      </c>
      <c r="AZ136">
        <f t="shared" si="82"/>
        <v>3.1157470545214005</v>
      </c>
    </row>
    <row r="137" spans="1:52" x14ac:dyDescent="0.35">
      <c r="A137" s="2">
        <v>40603</v>
      </c>
      <c r="B137">
        <v>97.167119999999997</v>
      </c>
      <c r="C137">
        <v>4.4215085112220463E-2</v>
      </c>
      <c r="D137">
        <f t="shared" si="60"/>
        <v>4.296252480909339</v>
      </c>
      <c r="E137">
        <f t="shared" si="70"/>
        <v>9.9865890843098271E-2</v>
      </c>
      <c r="F137">
        <f t="shared" si="62"/>
        <v>2.5525293328862442</v>
      </c>
      <c r="G137">
        <f t="shared" si="83"/>
        <v>1.7577606562925063</v>
      </c>
      <c r="I137">
        <v>77.717140000000001</v>
      </c>
      <c r="J137">
        <v>7.8714820726496604E-2</v>
      </c>
      <c r="K137">
        <f t="shared" si="63"/>
        <v>6.1174907424760381</v>
      </c>
      <c r="L137">
        <f t="shared" si="71"/>
        <v>-3.1813545242581287</v>
      </c>
      <c r="M137">
        <f t="shared" si="64"/>
        <v>0.7286910822149828</v>
      </c>
      <c r="N137">
        <f t="shared" si="84"/>
        <v>0.43300478401708808</v>
      </c>
      <c r="P137">
        <v>71.134280000000004</v>
      </c>
      <c r="Q137">
        <v>0.11225570738116798</v>
      </c>
      <c r="R137">
        <f t="shared" si="65"/>
        <v>7.9852289204500702</v>
      </c>
      <c r="S137">
        <f t="shared" si="72"/>
        <v>-4.3845507204532623</v>
      </c>
      <c r="T137">
        <f t="shared" si="73"/>
        <v>1.9318872784101164</v>
      </c>
      <c r="U137">
        <f t="shared" si="85"/>
        <v>1.829945605968875</v>
      </c>
      <c r="W137">
        <v>90.338750000000005</v>
      </c>
      <c r="X137">
        <v>7.1578321400407513E-2</v>
      </c>
      <c r="Y137">
        <f t="shared" si="66"/>
        <v>6.4662960824110645</v>
      </c>
      <c r="Z137">
        <f t="shared" si="74"/>
        <v>-2.3840281030698018</v>
      </c>
      <c r="AA137">
        <f t="shared" si="75"/>
        <v>6.8635338973344062E-2</v>
      </c>
      <c r="AB137">
        <f t="shared" si="86"/>
        <v>0.31002418369210361</v>
      </c>
      <c r="AD137">
        <v>56.808509999999998</v>
      </c>
      <c r="AE137">
        <v>0.13705634023991131</v>
      </c>
      <c r="AF137">
        <f t="shared" si="67"/>
        <v>7.7859664750824038</v>
      </c>
      <c r="AG137">
        <f t="shared" si="76"/>
        <v>-7.0890114214331224</v>
      </c>
      <c r="AH137">
        <f t="shared" si="77"/>
        <v>4.636347979389976</v>
      </c>
      <c r="AI137">
        <f t="shared" si="87"/>
        <v>4.636347979389976</v>
      </c>
      <c r="AK137">
        <v>88.811160000000001</v>
      </c>
      <c r="AL137">
        <v>7.4960072324412361E-2</v>
      </c>
      <c r="AM137">
        <f t="shared" si="68"/>
        <v>6.6572909768149584</v>
      </c>
      <c r="AN137">
        <f t="shared" si="78"/>
        <v>-2.7246490723364936</v>
      </c>
      <c r="AO137">
        <f t="shared" si="79"/>
        <v>0.27198563029334766</v>
      </c>
      <c r="AP137">
        <f t="shared" si="88"/>
        <v>2.8437614242280529</v>
      </c>
      <c r="AR137">
        <v>77.499420000000001</v>
      </c>
      <c r="AS137">
        <v>0.48121965281538376</v>
      </c>
      <c r="AT137">
        <f t="shared" si="69"/>
        <v>37.294243985793607</v>
      </c>
      <c r="AU137">
        <f t="shared" si="80"/>
        <v>-1.1259478584102811</v>
      </c>
      <c r="AV137">
        <f t="shared" si="81"/>
        <v>1.3267155836328648</v>
      </c>
      <c r="AW137">
        <f t="shared" si="89"/>
        <v>1.3267155836328648</v>
      </c>
      <c r="AY137" s="4">
        <f t="shared" si="61"/>
        <v>76.60276966393748</v>
      </c>
      <c r="AZ137">
        <f t="shared" si="82"/>
        <v>-2.4526634420431459</v>
      </c>
    </row>
    <row r="138" spans="1:52" x14ac:dyDescent="0.35">
      <c r="A138" s="2">
        <v>40634</v>
      </c>
      <c r="B138">
        <v>97.375990000000002</v>
      </c>
      <c r="C138">
        <v>4.4215085112220463E-2</v>
      </c>
      <c r="D138">
        <f t="shared" si="60"/>
        <v>4.305487685736729</v>
      </c>
      <c r="E138">
        <f t="shared" si="70"/>
        <v>0.21495954598633737</v>
      </c>
      <c r="F138">
        <f t="shared" si="62"/>
        <v>1.4294730246334098</v>
      </c>
      <c r="G138">
        <f t="shared" si="83"/>
        <v>1.1230563082528344</v>
      </c>
      <c r="I138">
        <v>79.38682</v>
      </c>
      <c r="J138">
        <v>7.8714820726496604E-2</v>
      </c>
      <c r="K138">
        <f t="shared" si="63"/>
        <v>6.2489193043466553</v>
      </c>
      <c r="L138">
        <f t="shared" si="71"/>
        <v>2.148406387574231</v>
      </c>
      <c r="M138">
        <f t="shared" si="64"/>
        <v>0.50397381695448384</v>
      </c>
      <c r="N138">
        <f t="shared" si="84"/>
        <v>0.22471726526049896</v>
      </c>
      <c r="P138">
        <v>73.686769999999996</v>
      </c>
      <c r="Q138">
        <v>0.11225570738116798</v>
      </c>
      <c r="R138">
        <f t="shared" si="65"/>
        <v>8.2717604909834268</v>
      </c>
      <c r="S138">
        <f t="shared" si="72"/>
        <v>3.5882699592938661</v>
      </c>
      <c r="T138">
        <f t="shared" si="73"/>
        <v>1.9438373886741189</v>
      </c>
      <c r="U138">
        <f t="shared" si="85"/>
        <v>1.19501102640025E-2</v>
      </c>
      <c r="W138">
        <v>91.677180000000007</v>
      </c>
      <c r="X138">
        <v>7.1578321400407513E-2</v>
      </c>
      <c r="Y138">
        <f t="shared" si="66"/>
        <v>6.5620986551230125</v>
      </c>
      <c r="Z138">
        <f t="shared" si="74"/>
        <v>1.4815679871594378</v>
      </c>
      <c r="AA138">
        <f t="shared" si="75"/>
        <v>0.1628645834603093</v>
      </c>
      <c r="AB138">
        <f t="shared" si="86"/>
        <v>4.4734833959296667</v>
      </c>
      <c r="AD138">
        <v>54.42342</v>
      </c>
      <c r="AE138">
        <v>0.13705634023991131</v>
      </c>
      <c r="AF138">
        <f t="shared" si="67"/>
        <v>7.4590747685395939</v>
      </c>
      <c r="AG138">
        <f t="shared" si="76"/>
        <v>-4.1984730808817154</v>
      </c>
      <c r="AH138">
        <f t="shared" si="77"/>
        <v>5.8429056515014626</v>
      </c>
      <c r="AI138">
        <f t="shared" si="87"/>
        <v>5.8429056515014626</v>
      </c>
      <c r="AK138">
        <v>91.159829999999999</v>
      </c>
      <c r="AL138">
        <v>7.4960072324412361E-2</v>
      </c>
      <c r="AM138">
        <f t="shared" si="68"/>
        <v>6.8333474498811357</v>
      </c>
      <c r="AN138">
        <f t="shared" si="78"/>
        <v>2.6445662909931666</v>
      </c>
      <c r="AO138">
        <f t="shared" si="79"/>
        <v>1.0001337203734195</v>
      </c>
      <c r="AP138">
        <f t="shared" si="88"/>
        <v>3.4527971624165654</v>
      </c>
      <c r="AR138">
        <v>79.343729999999994</v>
      </c>
      <c r="AS138">
        <v>0.48121965281538376</v>
      </c>
      <c r="AT138">
        <f t="shared" si="69"/>
        <v>38.181762203677543</v>
      </c>
      <c r="AU138">
        <f t="shared" si="80"/>
        <v>2.3797726486211035</v>
      </c>
      <c r="AV138">
        <f t="shared" si="81"/>
        <v>0.73534007800135637</v>
      </c>
      <c r="AW138">
        <f t="shared" si="89"/>
        <v>0.73534007800135637</v>
      </c>
      <c r="AY138" s="4">
        <f t="shared" si="61"/>
        <v>77.862450558288089</v>
      </c>
      <c r="AZ138">
        <f t="shared" si="82"/>
        <v>1.6444325706197471</v>
      </c>
    </row>
    <row r="139" spans="1:52" x14ac:dyDescent="0.35">
      <c r="A139" s="2">
        <v>40664</v>
      </c>
      <c r="B139">
        <v>95.00018</v>
      </c>
      <c r="C139">
        <v>4.4215085112220463E-2</v>
      </c>
      <c r="D139">
        <f t="shared" si="60"/>
        <v>4.2004410443762641</v>
      </c>
      <c r="E139">
        <f t="shared" si="70"/>
        <v>-2.4398314204559068</v>
      </c>
      <c r="F139">
        <f t="shared" si="62"/>
        <v>1.638885701216608</v>
      </c>
      <c r="G139">
        <f t="shared" si="83"/>
        <v>0.20941267658319829</v>
      </c>
      <c r="I139">
        <v>79.271510000000006</v>
      </c>
      <c r="J139">
        <v>7.8714820726496604E-2</v>
      </c>
      <c r="K139">
        <f t="shared" si="63"/>
        <v>6.2398426983686832</v>
      </c>
      <c r="L139">
        <f t="shared" si="71"/>
        <v>-0.14525081115479566</v>
      </c>
      <c r="M139">
        <f t="shared" si="64"/>
        <v>0.65569490808450315</v>
      </c>
      <c r="N139">
        <f t="shared" si="84"/>
        <v>0.1517210911300193</v>
      </c>
      <c r="P139">
        <v>73.447710000000001</v>
      </c>
      <c r="Q139">
        <v>0.11225570738116798</v>
      </c>
      <c r="R139">
        <f t="shared" si="65"/>
        <v>8.2449246415768851</v>
      </c>
      <c r="S139">
        <f t="shared" si="72"/>
        <v>-0.32442730221449168</v>
      </c>
      <c r="T139">
        <f t="shared" si="73"/>
        <v>0.47651841702480713</v>
      </c>
      <c r="U139">
        <f t="shared" si="85"/>
        <v>1.4673189716493118</v>
      </c>
      <c r="W139">
        <v>90.117710000000002</v>
      </c>
      <c r="X139">
        <v>7.1578321400407513E-2</v>
      </c>
      <c r="Y139">
        <f t="shared" si="66"/>
        <v>6.4504744102487184</v>
      </c>
      <c r="Z139">
        <f t="shared" si="74"/>
        <v>-1.7010449056133803</v>
      </c>
      <c r="AA139">
        <f t="shared" si="75"/>
        <v>0.90009918637408148</v>
      </c>
      <c r="AB139">
        <f t="shared" si="86"/>
        <v>4.9428064651273811</v>
      </c>
      <c r="AD139">
        <v>54.206829999999997</v>
      </c>
      <c r="AE139">
        <v>0.13705634023991131</v>
      </c>
      <c r="AF139">
        <f t="shared" si="67"/>
        <v>7.4293897358070309</v>
      </c>
      <c r="AG139">
        <f t="shared" si="76"/>
        <v>-0.39797204953309073</v>
      </c>
      <c r="AH139">
        <f t="shared" si="77"/>
        <v>0.40297366970620807</v>
      </c>
      <c r="AI139">
        <f t="shared" si="87"/>
        <v>0.40297366970620807</v>
      </c>
      <c r="AK139">
        <v>90.131590000000003</v>
      </c>
      <c r="AL139">
        <v>7.4960072324412361E-2</v>
      </c>
      <c r="AM139">
        <f t="shared" si="68"/>
        <v>6.7562705051142817</v>
      </c>
      <c r="AN139">
        <f t="shared" si="78"/>
        <v>-1.1279529591049053</v>
      </c>
      <c r="AO139">
        <f t="shared" si="79"/>
        <v>0.32700723986560654</v>
      </c>
      <c r="AP139">
        <f t="shared" si="88"/>
        <v>1.3174253307541406</v>
      </c>
      <c r="AR139">
        <v>78.794520000000006</v>
      </c>
      <c r="AS139">
        <v>0.48121965281538376</v>
      </c>
      <c r="AT139">
        <f t="shared" si="69"/>
        <v>37.917471558154816</v>
      </c>
      <c r="AU139">
        <f t="shared" si="80"/>
        <v>-0.69219080070975769</v>
      </c>
      <c r="AV139">
        <f t="shared" si="81"/>
        <v>0.10875491852954111</v>
      </c>
      <c r="AW139">
        <f t="shared" si="89"/>
        <v>0.10875491852954111</v>
      </c>
      <c r="AY139" s="4">
        <f t="shared" si="61"/>
        <v>77.238814593646666</v>
      </c>
      <c r="AZ139">
        <f t="shared" si="82"/>
        <v>-0.8009457192392988</v>
      </c>
    </row>
    <row r="140" spans="1:52" x14ac:dyDescent="0.35">
      <c r="A140" s="2">
        <v>40695</v>
      </c>
      <c r="B140">
        <v>91.540750000000003</v>
      </c>
      <c r="C140">
        <v>4.4215085112220463E-2</v>
      </c>
      <c r="D140">
        <f t="shared" si="60"/>
        <v>4.0474820524864956</v>
      </c>
      <c r="E140">
        <f t="shared" si="70"/>
        <v>-3.6414983634767806</v>
      </c>
      <c r="F140">
        <f t="shared" si="62"/>
        <v>0.16753452250792833</v>
      </c>
      <c r="G140">
        <f t="shared" si="83"/>
        <v>1.4713511787086797</v>
      </c>
      <c r="I140">
        <v>76.684479999999994</v>
      </c>
      <c r="J140">
        <v>7.8714820726496604E-2</v>
      </c>
      <c r="K140">
        <f t="shared" si="63"/>
        <v>6.0362050957046138</v>
      </c>
      <c r="L140">
        <f t="shared" si="71"/>
        <v>-3.2635053880013309</v>
      </c>
      <c r="M140">
        <f t="shared" si="64"/>
        <v>0.2104584529675213</v>
      </c>
      <c r="N140">
        <f t="shared" si="84"/>
        <v>0.44523645511698184</v>
      </c>
      <c r="P140">
        <v>71.421520000000001</v>
      </c>
      <c r="Q140">
        <v>0.11225570738116798</v>
      </c>
      <c r="R140">
        <f t="shared" si="65"/>
        <v>8.0174732498382362</v>
      </c>
      <c r="S140">
        <f t="shared" si="72"/>
        <v>-2.7586836948354176</v>
      </c>
      <c r="T140">
        <f t="shared" si="73"/>
        <v>0.7152801461334346</v>
      </c>
      <c r="U140">
        <f t="shared" si="85"/>
        <v>0.23876172910862747</v>
      </c>
      <c r="W140">
        <v>84.691450000000003</v>
      </c>
      <c r="X140">
        <v>7.1578321400407513E-2</v>
      </c>
      <c r="Y140">
        <f t="shared" si="66"/>
        <v>6.0620718279665429</v>
      </c>
      <c r="Z140">
        <f t="shared" si="74"/>
        <v>-6.0213025830327949</v>
      </c>
      <c r="AA140">
        <f t="shared" si="75"/>
        <v>2.5473387420639426</v>
      </c>
      <c r="AB140">
        <f t="shared" si="86"/>
        <v>2.1443650723577345</v>
      </c>
      <c r="AD140">
        <v>52.991709999999998</v>
      </c>
      <c r="AE140">
        <v>0.13705634023991131</v>
      </c>
      <c r="AF140">
        <f t="shared" si="67"/>
        <v>7.26284983565471</v>
      </c>
      <c r="AG140">
        <f t="shared" si="76"/>
        <v>-2.2416363399224815</v>
      </c>
      <c r="AH140">
        <f t="shared" si="77"/>
        <v>1.2323275010463708</v>
      </c>
      <c r="AI140">
        <f t="shared" si="87"/>
        <v>1.2323275010463708</v>
      </c>
      <c r="AK140">
        <v>87.829620000000006</v>
      </c>
      <c r="AL140">
        <v>7.4960072324412361E-2</v>
      </c>
      <c r="AM140">
        <f t="shared" si="68"/>
        <v>6.5837146674256548</v>
      </c>
      <c r="AN140">
        <f t="shared" si="78"/>
        <v>-2.5540101977564067</v>
      </c>
      <c r="AO140">
        <f t="shared" si="79"/>
        <v>0.91995364321244555</v>
      </c>
      <c r="AP140">
        <f t="shared" si="88"/>
        <v>1.7208993624517444</v>
      </c>
      <c r="AR140">
        <v>75.944050000000004</v>
      </c>
      <c r="AS140">
        <v>0.48121965281538376</v>
      </c>
      <c r="AT140">
        <f t="shared" si="69"/>
        <v>36.545769374394148</v>
      </c>
      <c r="AU140">
        <f t="shared" si="80"/>
        <v>-3.617599294976348</v>
      </c>
      <c r="AV140">
        <f t="shared" si="81"/>
        <v>0.14363545400749578</v>
      </c>
      <c r="AW140">
        <f t="shared" si="89"/>
        <v>0.14363545400749578</v>
      </c>
      <c r="AY140" s="4">
        <f t="shared" si="61"/>
        <v>74.555566103470412</v>
      </c>
      <c r="AZ140">
        <f t="shared" si="82"/>
        <v>-3.4739638409688522</v>
      </c>
    </row>
    <row r="141" spans="1:52" x14ac:dyDescent="0.35">
      <c r="A141" s="2">
        <v>40725</v>
      </c>
      <c r="B141">
        <v>92.721580000000003</v>
      </c>
      <c r="C141">
        <v>4.4215085112220463E-2</v>
      </c>
      <c r="D141">
        <f t="shared" si="60"/>
        <v>4.099692551439559</v>
      </c>
      <c r="E141">
        <f t="shared" si="70"/>
        <v>1.2899501041885753</v>
      </c>
      <c r="F141">
        <f t="shared" si="62"/>
        <v>0.28892554436237283</v>
      </c>
      <c r="G141">
        <f t="shared" si="83"/>
        <v>0.1213910218544445</v>
      </c>
      <c r="I141">
        <v>76.091549999999998</v>
      </c>
      <c r="J141">
        <v>7.8714820726496604E-2</v>
      </c>
      <c r="K141">
        <f t="shared" si="63"/>
        <v>5.9895327170512527</v>
      </c>
      <c r="L141">
        <f t="shared" si="71"/>
        <v>-0.77320730348565681</v>
      </c>
      <c r="M141">
        <f t="shared" si="64"/>
        <v>2.3520829520366049</v>
      </c>
      <c r="N141">
        <f t="shared" si="84"/>
        <v>2.1416244990690836</v>
      </c>
      <c r="P141">
        <v>72.655360000000002</v>
      </c>
      <c r="Q141">
        <v>0.11225570738116798</v>
      </c>
      <c r="R141">
        <f t="shared" si="65"/>
        <v>8.1559788318334174</v>
      </c>
      <c r="S141">
        <f t="shared" si="72"/>
        <v>1.7275465433947756</v>
      </c>
      <c r="T141">
        <f t="shared" si="73"/>
        <v>0.14867089484382756</v>
      </c>
      <c r="U141">
        <f t="shared" si="85"/>
        <v>0.56660925128960704</v>
      </c>
      <c r="W141">
        <v>80.794420000000002</v>
      </c>
      <c r="X141">
        <v>7.1578321400407513E-2</v>
      </c>
      <c r="Y141">
        <f t="shared" si="66"/>
        <v>5.7831289621195126</v>
      </c>
      <c r="Z141">
        <f t="shared" si="74"/>
        <v>-4.6014444197141513</v>
      </c>
      <c r="AA141">
        <f t="shared" si="75"/>
        <v>6.1803200682650994</v>
      </c>
      <c r="AB141">
        <f t="shared" si="86"/>
        <v>4.9479925672187282</v>
      </c>
      <c r="AD141">
        <v>55.514760000000003</v>
      </c>
      <c r="AE141">
        <v>0.13705634023991131</v>
      </c>
      <c r="AF141">
        <f t="shared" si="67"/>
        <v>7.6086498348970188</v>
      </c>
      <c r="AG141">
        <f t="shared" si="76"/>
        <v>4.7612164242293753</v>
      </c>
      <c r="AH141">
        <f t="shared" si="77"/>
        <v>3.1823407756784272</v>
      </c>
      <c r="AI141">
        <f t="shared" si="87"/>
        <v>3.1823407756784272</v>
      </c>
      <c r="AK141">
        <v>89.613299999999995</v>
      </c>
      <c r="AL141">
        <v>7.4960072324412361E-2</v>
      </c>
      <c r="AM141">
        <f t="shared" si="68"/>
        <v>6.7174194492292623</v>
      </c>
      <c r="AN141">
        <f t="shared" si="78"/>
        <v>2.0308410761654017</v>
      </c>
      <c r="AO141">
        <f t="shared" si="79"/>
        <v>0.45196542761445357</v>
      </c>
      <c r="AP141">
        <f t="shared" si="88"/>
        <v>3.9259292685833058</v>
      </c>
      <c r="AR141">
        <v>77.674099999999996</v>
      </c>
      <c r="AS141">
        <v>0.48121965281538376</v>
      </c>
      <c r="AT141">
        <f t="shared" si="69"/>
        <v>37.378303434747394</v>
      </c>
      <c r="AU141">
        <f t="shared" si="80"/>
        <v>2.2780586497559652</v>
      </c>
      <c r="AV141">
        <f t="shared" si="81"/>
        <v>0.69918300120501709</v>
      </c>
      <c r="AW141">
        <f t="shared" si="89"/>
        <v>0.69918300120501709</v>
      </c>
      <c r="AY141" s="4">
        <f t="shared" si="61"/>
        <v>75.732705781317406</v>
      </c>
      <c r="AZ141">
        <f t="shared" si="82"/>
        <v>1.5788756485509481</v>
      </c>
    </row>
    <row r="142" spans="1:52" x14ac:dyDescent="0.35">
      <c r="A142" s="2">
        <v>40756</v>
      </c>
      <c r="B142">
        <v>86.530249999999995</v>
      </c>
      <c r="C142">
        <v>4.4215085112220463E-2</v>
      </c>
      <c r="D142">
        <f t="shared" si="60"/>
        <v>3.8259423685317144</v>
      </c>
      <c r="E142">
        <f t="shared" si="70"/>
        <v>-6.6773344457676469</v>
      </c>
      <c r="F142">
        <f t="shared" si="62"/>
        <v>5.7464041512626736</v>
      </c>
      <c r="G142">
        <f t="shared" si="83"/>
        <v>5.4574786069003007</v>
      </c>
      <c r="I142">
        <v>64.309460000000001</v>
      </c>
      <c r="J142">
        <v>7.8714820726496604E-2</v>
      </c>
      <c r="K142">
        <f t="shared" si="63"/>
        <v>5.0621076149178048</v>
      </c>
      <c r="L142">
        <f t="shared" si="71"/>
        <v>-15.484097774325789</v>
      </c>
      <c r="M142">
        <f t="shared" si="64"/>
        <v>3.060359177295469</v>
      </c>
      <c r="N142">
        <f t="shared" si="84"/>
        <v>0.70827622525886413</v>
      </c>
      <c r="P142">
        <v>59.239359999999998</v>
      </c>
      <c r="Q142">
        <v>0.11225570738116798</v>
      </c>
      <c r="R142">
        <f t="shared" si="65"/>
        <v>6.6499562616076675</v>
      </c>
      <c r="S142">
        <f t="shared" si="72"/>
        <v>-18.465258447552944</v>
      </c>
      <c r="T142">
        <f t="shared" si="73"/>
        <v>6.041519850522624</v>
      </c>
      <c r="U142">
        <f t="shared" si="85"/>
        <v>5.8928489556787964</v>
      </c>
      <c r="W142">
        <v>67.468059999999994</v>
      </c>
      <c r="X142">
        <v>7.1578321400407513E-2</v>
      </c>
      <c r="Y142">
        <f t="shared" si="66"/>
        <v>4.829250482941978</v>
      </c>
      <c r="Z142">
        <f t="shared" si="74"/>
        <v>-16.494158878793861</v>
      </c>
      <c r="AA142">
        <f t="shared" si="75"/>
        <v>4.0704202817635409</v>
      </c>
      <c r="AB142">
        <f t="shared" si="86"/>
        <v>0.88807950608511366</v>
      </c>
      <c r="AD142">
        <v>50.198569999999997</v>
      </c>
      <c r="AE142">
        <v>0.13705634023991131</v>
      </c>
      <c r="AF142">
        <f t="shared" si="67"/>
        <v>6.8800322894770041</v>
      </c>
      <c r="AG142">
        <f t="shared" si="76"/>
        <v>-9.57617397607412</v>
      </c>
      <c r="AH142">
        <f t="shared" si="77"/>
        <v>2.8475646209562004</v>
      </c>
      <c r="AI142">
        <f t="shared" si="87"/>
        <v>2.8475646209562004</v>
      </c>
      <c r="AK142">
        <v>79.838319999999996</v>
      </c>
      <c r="AL142">
        <v>7.4960072324412361E-2</v>
      </c>
      <c r="AM142">
        <f t="shared" si="68"/>
        <v>5.9846862414595776</v>
      </c>
      <c r="AN142">
        <f t="shared" si="78"/>
        <v>-10.907956743028102</v>
      </c>
      <c r="AO142">
        <f t="shared" si="79"/>
        <v>1.5157818540022188</v>
      </c>
      <c r="AP142">
        <f t="shared" si="88"/>
        <v>6.3093794548729321E-2</v>
      </c>
      <c r="AR142">
        <v>68.766720000000007</v>
      </c>
      <c r="AS142">
        <v>0.48121965281538376</v>
      </c>
      <c r="AT142">
        <f t="shared" si="69"/>
        <v>33.091897123652707</v>
      </c>
      <c r="AU142">
        <f t="shared" si="80"/>
        <v>-11.467632067832124</v>
      </c>
      <c r="AV142">
        <f t="shared" si="81"/>
        <v>0.9561065291981965</v>
      </c>
      <c r="AW142">
        <f t="shared" si="89"/>
        <v>0.9561065291981965</v>
      </c>
      <c r="AY142" s="4">
        <f t="shared" si="61"/>
        <v>66.323872382588462</v>
      </c>
      <c r="AZ142">
        <f t="shared" si="82"/>
        <v>-12.42373859703032</v>
      </c>
    </row>
    <row r="143" spans="1:52" x14ac:dyDescent="0.35">
      <c r="A143" s="2">
        <v>40787</v>
      </c>
      <c r="B143">
        <v>84.745760000000004</v>
      </c>
      <c r="C143">
        <v>4.4215085112220463E-2</v>
      </c>
      <c r="D143">
        <f t="shared" si="60"/>
        <v>3.7470409912998086</v>
      </c>
      <c r="E143">
        <f t="shared" si="70"/>
        <v>-2.0622730201287909</v>
      </c>
      <c r="F143">
        <f t="shared" si="62"/>
        <v>1.8141416351543205</v>
      </c>
      <c r="G143">
        <f t="shared" si="83"/>
        <v>3.9322625161083531</v>
      </c>
      <c r="I143">
        <v>60.326369999999997</v>
      </c>
      <c r="J143">
        <v>7.8714820726496604E-2</v>
      </c>
      <c r="K143">
        <f t="shared" si="63"/>
        <v>4.7485793996303025</v>
      </c>
      <c r="L143">
        <f t="shared" si="71"/>
        <v>-6.1936299884962516</v>
      </c>
      <c r="M143">
        <f t="shared" si="64"/>
        <v>2.3172153332131402</v>
      </c>
      <c r="N143">
        <f t="shared" si="84"/>
        <v>0.74314384408232881</v>
      </c>
      <c r="P143">
        <v>54.413919999999997</v>
      </c>
      <c r="Q143">
        <v>0.11225570738116798</v>
      </c>
      <c r="R143">
        <f t="shared" si="65"/>
        <v>6.1082730809822836</v>
      </c>
      <c r="S143">
        <f t="shared" si="72"/>
        <v>-8.1456653144125752</v>
      </c>
      <c r="T143">
        <f t="shared" si="73"/>
        <v>4.2692506591294634</v>
      </c>
      <c r="U143">
        <f t="shared" si="85"/>
        <v>1.7722691913931605</v>
      </c>
      <c r="W143">
        <v>63.08325</v>
      </c>
      <c r="X143">
        <v>7.1578321400407513E-2</v>
      </c>
      <c r="Y143">
        <f t="shared" si="66"/>
        <v>4.5153931434822576</v>
      </c>
      <c r="Z143">
        <f t="shared" si="74"/>
        <v>-6.499090087961612</v>
      </c>
      <c r="AA143">
        <f t="shared" si="75"/>
        <v>2.6226754326785007</v>
      </c>
      <c r="AB143">
        <f t="shared" si="86"/>
        <v>0.22488918827769977</v>
      </c>
      <c r="AD143">
        <v>48.606999999999999</v>
      </c>
      <c r="AE143">
        <v>0.13705634023991131</v>
      </c>
      <c r="AF143">
        <f t="shared" si="67"/>
        <v>6.6618975300413688</v>
      </c>
      <c r="AG143">
        <f t="shared" si="76"/>
        <v>-3.1705484837516229</v>
      </c>
      <c r="AH143">
        <f t="shared" si="77"/>
        <v>0.70586617153148845</v>
      </c>
      <c r="AI143">
        <f t="shared" si="87"/>
        <v>0.70586617153148845</v>
      </c>
      <c r="AK143">
        <v>79.282269999999997</v>
      </c>
      <c r="AL143">
        <v>7.4960072324412361E-2</v>
      </c>
      <c r="AM143">
        <f t="shared" si="68"/>
        <v>5.943004693243588</v>
      </c>
      <c r="AN143">
        <f t="shared" si="78"/>
        <v>-0.69647006600339623</v>
      </c>
      <c r="AO143">
        <f t="shared" si="79"/>
        <v>3.1799445892797151</v>
      </c>
      <c r="AP143">
        <f t="shared" si="88"/>
        <v>15.603683186310036</v>
      </c>
      <c r="AR143">
        <v>66.557329999999993</v>
      </c>
      <c r="AS143">
        <v>0.48121965281538376</v>
      </c>
      <c r="AT143">
        <f t="shared" si="69"/>
        <v>32.028695234918921</v>
      </c>
      <c r="AU143">
        <f t="shared" si="80"/>
        <v>-3.212876810177967</v>
      </c>
      <c r="AV143">
        <f t="shared" si="81"/>
        <v>0.66353784510514435</v>
      </c>
      <c r="AW143">
        <f t="shared" si="89"/>
        <v>0.66353784510514435</v>
      </c>
      <c r="AY143" s="4">
        <f t="shared" si="61"/>
        <v>63.752884073598537</v>
      </c>
      <c r="AZ143">
        <f t="shared" si="82"/>
        <v>-3.8764146552831114</v>
      </c>
    </row>
    <row r="144" spans="1:52" x14ac:dyDescent="0.35">
      <c r="A144" s="2">
        <v>40817</v>
      </c>
      <c r="B144">
        <v>83.037559999999999</v>
      </c>
      <c r="C144">
        <v>4.4215085112220463E-2</v>
      </c>
      <c r="D144">
        <f t="shared" ref="D144:D207" si="90">B144*C144</f>
        <v>3.6715127829111136</v>
      </c>
      <c r="E144">
        <f t="shared" si="70"/>
        <v>-2.0156760645016369</v>
      </c>
      <c r="F144">
        <f t="shared" si="62"/>
        <v>4.8422565188246613</v>
      </c>
      <c r="G144">
        <f t="shared" si="83"/>
        <v>3.0281148836703409</v>
      </c>
      <c r="I144">
        <v>63.060420000000001</v>
      </c>
      <c r="J144">
        <v>7.8714820726496604E-2</v>
      </c>
      <c r="K144">
        <f t="shared" si="63"/>
        <v>4.9637896552375809</v>
      </c>
      <c r="L144">
        <f t="shared" si="71"/>
        <v>4.5320976548066882</v>
      </c>
      <c r="M144">
        <f t="shared" si="64"/>
        <v>1.7055172004836638</v>
      </c>
      <c r="N144">
        <f t="shared" si="84"/>
        <v>0.61169813272947637</v>
      </c>
      <c r="P144">
        <v>58.464359999999999</v>
      </c>
      <c r="Q144">
        <v>0.11225570738116798</v>
      </c>
      <c r="R144">
        <f t="shared" si="65"/>
        <v>6.562958088387262</v>
      </c>
      <c r="S144">
        <f t="shared" si="72"/>
        <v>7.4437570386401086</v>
      </c>
      <c r="T144">
        <f t="shared" si="73"/>
        <v>4.6171765843170842</v>
      </c>
      <c r="U144">
        <f t="shared" si="85"/>
        <v>0.34792592518762078</v>
      </c>
      <c r="W144">
        <v>68.24785</v>
      </c>
      <c r="X144">
        <v>7.1578321400407513E-2</v>
      </c>
      <c r="Y144">
        <f t="shared" si="66"/>
        <v>4.8850665421868023</v>
      </c>
      <c r="Z144">
        <f t="shared" si="74"/>
        <v>8.1869592958511141</v>
      </c>
      <c r="AA144">
        <f t="shared" si="75"/>
        <v>5.3603788415280897</v>
      </c>
      <c r="AB144">
        <f t="shared" si="86"/>
        <v>4.6545126699966008</v>
      </c>
      <c r="AD144">
        <v>48.341419999999999</v>
      </c>
      <c r="AE144">
        <v>0.13705634023991131</v>
      </c>
      <c r="AF144">
        <f t="shared" si="67"/>
        <v>6.6254981072004533</v>
      </c>
      <c r="AG144">
        <f t="shared" si="76"/>
        <v>-0.54638220832390338</v>
      </c>
      <c r="AH144">
        <f t="shared" si="77"/>
        <v>3.3729626626469278</v>
      </c>
      <c r="AI144">
        <f t="shared" si="87"/>
        <v>3.3729626626469278</v>
      </c>
      <c r="AK144">
        <v>82.01352</v>
      </c>
      <c r="AL144">
        <v>7.4960072324412361E-2</v>
      </c>
      <c r="AM144">
        <f t="shared" si="68"/>
        <v>6.1477393907796394</v>
      </c>
      <c r="AN144">
        <f t="shared" si="78"/>
        <v>3.4449694742594961</v>
      </c>
      <c r="AO144">
        <f t="shared" si="79"/>
        <v>0.61838901993647166</v>
      </c>
      <c r="AP144">
        <f t="shared" si="88"/>
        <v>4.4948036752195826</v>
      </c>
      <c r="AR144">
        <v>67.948899999999995</v>
      </c>
      <c r="AS144">
        <v>0.48121965281538376</v>
      </c>
      <c r="AT144">
        <f t="shared" si="69"/>
        <v>32.698346067187224</v>
      </c>
      <c r="AU144">
        <f t="shared" si="80"/>
        <v>2.0907839902832626</v>
      </c>
      <c r="AV144">
        <f t="shared" si="81"/>
        <v>0.73579646403976184</v>
      </c>
      <c r="AW144">
        <f t="shared" si="89"/>
        <v>0.73579646403976184</v>
      </c>
      <c r="AY144" s="4">
        <f t="shared" si="61"/>
        <v>65.554910633890088</v>
      </c>
      <c r="AZ144">
        <f t="shared" si="82"/>
        <v>2.8265804543230244</v>
      </c>
    </row>
    <row r="145" spans="1:52" x14ac:dyDescent="0.35">
      <c r="A145" s="2">
        <v>40848</v>
      </c>
      <c r="B145">
        <v>83.952889999999996</v>
      </c>
      <c r="C145">
        <v>4.4215085112220463E-2</v>
      </c>
      <c r="D145">
        <f t="shared" si="90"/>
        <v>3.7119841767668822</v>
      </c>
      <c r="E145">
        <f t="shared" si="70"/>
        <v>1.1023084011620776</v>
      </c>
      <c r="F145">
        <f t="shared" si="62"/>
        <v>1.4828364645650072</v>
      </c>
      <c r="G145">
        <f t="shared" si="83"/>
        <v>3.3594200542596542</v>
      </c>
      <c r="I145">
        <v>60.706159999999997</v>
      </c>
      <c r="J145">
        <v>7.8714820726496604E-2</v>
      </c>
      <c r="K145">
        <f t="shared" si="63"/>
        <v>4.7784745013940189</v>
      </c>
      <c r="L145">
        <f t="shared" si="71"/>
        <v>-3.7333401839061753</v>
      </c>
      <c r="M145">
        <f t="shared" si="64"/>
        <v>3.3528121205032457</v>
      </c>
      <c r="N145">
        <f t="shared" si="84"/>
        <v>1.6472949200195819</v>
      </c>
      <c r="P145">
        <v>58.111559999999997</v>
      </c>
      <c r="Q145">
        <v>0.11225570738116798</v>
      </c>
      <c r="R145">
        <f t="shared" si="65"/>
        <v>6.5233542748231859</v>
      </c>
      <c r="S145">
        <f t="shared" si="72"/>
        <v>-0.603444560070443</v>
      </c>
      <c r="T145">
        <f t="shared" si="73"/>
        <v>0.22291649666751345</v>
      </c>
      <c r="U145">
        <f t="shared" si="85"/>
        <v>4.3942600876495703</v>
      </c>
      <c r="W145">
        <v>65.228120000000004</v>
      </c>
      <c r="X145">
        <v>7.1578321400407513E-2</v>
      </c>
      <c r="Y145">
        <f t="shared" si="66"/>
        <v>4.6689193377043496</v>
      </c>
      <c r="Z145">
        <f t="shared" si="74"/>
        <v>-4.4246522051610393</v>
      </c>
      <c r="AA145">
        <f t="shared" si="75"/>
        <v>4.0441241417581093</v>
      </c>
      <c r="AB145">
        <f t="shared" si="86"/>
        <v>0.67116147911118151</v>
      </c>
      <c r="AD145">
        <v>47.053460000000001</v>
      </c>
      <c r="AE145">
        <v>0.13705634023991131</v>
      </c>
      <c r="AF145">
        <f t="shared" si="67"/>
        <v>6.4489750232250573</v>
      </c>
      <c r="AG145">
        <f t="shared" si="76"/>
        <v>-2.6642990627912866</v>
      </c>
      <c r="AH145">
        <f t="shared" si="77"/>
        <v>2.283770999388357</v>
      </c>
      <c r="AI145">
        <f t="shared" si="87"/>
        <v>2.283770999388357</v>
      </c>
      <c r="AK145">
        <v>81.921019999999999</v>
      </c>
      <c r="AL145">
        <v>7.4960072324412361E-2</v>
      </c>
      <c r="AM145">
        <f t="shared" si="68"/>
        <v>6.1408055840896312</v>
      </c>
      <c r="AN145">
        <f t="shared" si="78"/>
        <v>-0.11278628206666808</v>
      </c>
      <c r="AO145">
        <f t="shared" si="79"/>
        <v>0.26774178133626148</v>
      </c>
      <c r="AP145">
        <f t="shared" si="88"/>
        <v>2.5588386729867629</v>
      </c>
      <c r="AR145">
        <v>68.644210000000001</v>
      </c>
      <c r="AS145">
        <v>0.48121965281538376</v>
      </c>
      <c r="AT145">
        <f t="shared" si="69"/>
        <v>33.032942903986296</v>
      </c>
      <c r="AU145">
        <f t="shared" si="80"/>
        <v>1.0232836734664019</v>
      </c>
      <c r="AV145">
        <f t="shared" si="81"/>
        <v>1.4038117368693315</v>
      </c>
      <c r="AW145">
        <f t="shared" si="89"/>
        <v>1.4038117368693315</v>
      </c>
      <c r="AY145" s="4">
        <f t="shared" si="61"/>
        <v>65.305455801989424</v>
      </c>
      <c r="AZ145">
        <f t="shared" si="82"/>
        <v>-0.38052806340292955</v>
      </c>
    </row>
    <row r="146" spans="1:52" x14ac:dyDescent="0.35">
      <c r="A146" s="2">
        <v>40878</v>
      </c>
      <c r="B146">
        <v>82.757480000000001</v>
      </c>
      <c r="C146">
        <v>4.4215085112220463E-2</v>
      </c>
      <c r="D146">
        <f t="shared" si="90"/>
        <v>3.6591290218728827</v>
      </c>
      <c r="E146">
        <f t="shared" si="70"/>
        <v>-1.4239057166465563</v>
      </c>
      <c r="F146">
        <f t="shared" si="62"/>
        <v>2.2026046540866484</v>
      </c>
      <c r="G146">
        <f t="shared" si="83"/>
        <v>0.71976818952164123</v>
      </c>
      <c r="I146">
        <v>61.661679999999997</v>
      </c>
      <c r="J146">
        <v>7.8714820726496604E-2</v>
      </c>
      <c r="K146">
        <f t="shared" si="63"/>
        <v>4.8536880868946009</v>
      </c>
      <c r="L146">
        <f t="shared" si="71"/>
        <v>1.5740083049232467</v>
      </c>
      <c r="M146">
        <f t="shared" si="64"/>
        <v>0.79530936748315462</v>
      </c>
      <c r="N146">
        <f t="shared" si="84"/>
        <v>2.5575027530200911</v>
      </c>
      <c r="P146">
        <v>58.379539999999999</v>
      </c>
      <c r="Q146">
        <v>0.11225570738116798</v>
      </c>
      <c r="R146">
        <f t="shared" si="65"/>
        <v>6.5534365592871913</v>
      </c>
      <c r="S146">
        <f t="shared" si="72"/>
        <v>0.46114748941519235</v>
      </c>
      <c r="T146">
        <f t="shared" si="73"/>
        <v>0.31755144802489976</v>
      </c>
      <c r="U146">
        <f t="shared" si="85"/>
        <v>9.463495135738631E-2</v>
      </c>
      <c r="W146">
        <v>65.187389999999994</v>
      </c>
      <c r="X146">
        <v>7.1578321400407513E-2</v>
      </c>
      <c r="Y146">
        <f t="shared" si="66"/>
        <v>4.6660039526737105</v>
      </c>
      <c r="Z146">
        <f t="shared" si="74"/>
        <v>-6.2442394476514007E-2</v>
      </c>
      <c r="AA146">
        <f t="shared" si="75"/>
        <v>0.84114133191660612</v>
      </c>
      <c r="AB146">
        <f t="shared" si="86"/>
        <v>1.4426296674717509</v>
      </c>
      <c r="AD146">
        <v>47.192700000000002</v>
      </c>
      <c r="AE146">
        <v>0.13705634023991131</v>
      </c>
      <c r="AF146">
        <f t="shared" si="67"/>
        <v>6.4680587480400629</v>
      </c>
      <c r="AG146">
        <f t="shared" si="76"/>
        <v>0.29591872733694125</v>
      </c>
      <c r="AH146">
        <f t="shared" si="77"/>
        <v>0.48278021010315086</v>
      </c>
      <c r="AI146">
        <f t="shared" si="87"/>
        <v>0.48278021010315086</v>
      </c>
      <c r="AK146">
        <v>83.142139999999998</v>
      </c>
      <c r="AL146">
        <v>7.4960072324412361E-2</v>
      </c>
      <c r="AM146">
        <f t="shared" si="68"/>
        <v>6.2323408276064178</v>
      </c>
      <c r="AN146">
        <f t="shared" si="78"/>
        <v>1.4906064402030239</v>
      </c>
      <c r="AO146">
        <f t="shared" si="79"/>
        <v>0.7119075027629318</v>
      </c>
      <c r="AP146">
        <f t="shared" si="88"/>
        <v>1.0924355661658613</v>
      </c>
      <c r="AR146">
        <v>69.368179999999995</v>
      </c>
      <c r="AS146">
        <v>0.48121965281538376</v>
      </c>
      <c r="AT146">
        <f t="shared" si="69"/>
        <v>33.381331496035045</v>
      </c>
      <c r="AU146">
        <f t="shared" si="80"/>
        <v>1.0546701608190823</v>
      </c>
      <c r="AV146">
        <f t="shared" si="81"/>
        <v>0.27597122337899016</v>
      </c>
      <c r="AW146">
        <f t="shared" si="89"/>
        <v>0.27597122337899016</v>
      </c>
      <c r="AY146" s="4">
        <f t="shared" si="61"/>
        <v>65.813988692409922</v>
      </c>
      <c r="AZ146">
        <f t="shared" si="82"/>
        <v>0.77869893744009211</v>
      </c>
    </row>
    <row r="147" spans="1:52" x14ac:dyDescent="0.35">
      <c r="A147" s="2">
        <v>40909</v>
      </c>
      <c r="B147">
        <v>85.881540000000001</v>
      </c>
      <c r="C147">
        <v>4.6461347369154152E-2</v>
      </c>
      <c r="D147">
        <f t="shared" si="90"/>
        <v>3.9901720625379071</v>
      </c>
      <c r="E147">
        <f t="shared" si="70"/>
        <v>3.7749578648359039</v>
      </c>
      <c r="F147">
        <f t="shared" si="62"/>
        <v>5.2468400104831003</v>
      </c>
      <c r="G147">
        <f t="shared" si="83"/>
        <v>3.0442353563964519</v>
      </c>
      <c r="I147">
        <v>64.982759999999999</v>
      </c>
      <c r="J147">
        <v>8.1541193985640678E-2</v>
      </c>
      <c r="K147">
        <f t="shared" si="63"/>
        <v>5.2987718388823319</v>
      </c>
      <c r="L147">
        <f t="shared" si="71"/>
        <v>5.3859706709256105</v>
      </c>
      <c r="M147">
        <f t="shared" si="64"/>
        <v>3.6358272043933937</v>
      </c>
      <c r="N147">
        <f t="shared" si="84"/>
        <v>2.8405178369102391</v>
      </c>
      <c r="P147">
        <v>62.408769999999997</v>
      </c>
      <c r="Q147">
        <v>0.11640855650560901</v>
      </c>
      <c r="R147">
        <f t="shared" si="65"/>
        <v>7.2649148289905563</v>
      </c>
      <c r="S147">
        <f t="shared" si="72"/>
        <v>6.9017844265302442</v>
      </c>
      <c r="T147">
        <f t="shared" si="73"/>
        <v>2.1200134487887601</v>
      </c>
      <c r="U147">
        <f t="shared" si="85"/>
        <v>1.8024620007638603</v>
      </c>
      <c r="W147">
        <v>66.914280000000005</v>
      </c>
      <c r="X147">
        <v>7.1713592445083477E-2</v>
      </c>
      <c r="Y147">
        <f t="shared" si="66"/>
        <v>4.7986634046762005</v>
      </c>
      <c r="Z147">
        <f t="shared" si="74"/>
        <v>2.6491166466398042</v>
      </c>
      <c r="AA147">
        <f t="shared" si="75"/>
        <v>6.3726812286792001</v>
      </c>
      <c r="AB147">
        <f t="shared" si="86"/>
        <v>5.8899010185760492</v>
      </c>
      <c r="AD147">
        <v>47.84957</v>
      </c>
      <c r="AE147">
        <v>0.14348010469389794</v>
      </c>
      <c r="AF147">
        <f t="shared" si="67"/>
        <v>6.865461313157998</v>
      </c>
      <c r="AG147">
        <f t="shared" si="76"/>
        <v>1.3918889997817319</v>
      </c>
      <c r="AH147">
        <f t="shared" si="77"/>
        <v>7.6299088755372724</v>
      </c>
      <c r="AI147">
        <f t="shared" si="87"/>
        <v>7.6299088755372724</v>
      </c>
      <c r="AK147">
        <v>86.263390000000001</v>
      </c>
      <c r="AL147">
        <v>7.8580383226267786E-2</v>
      </c>
      <c r="AM147">
        <f t="shared" si="68"/>
        <v>6.7786102445969965</v>
      </c>
      <c r="AN147">
        <f t="shared" si="78"/>
        <v>3.7541131368521441</v>
      </c>
      <c r="AO147">
        <f t="shared" si="79"/>
        <v>5.2676847384668601</v>
      </c>
      <c r="AP147">
        <f t="shared" si="88"/>
        <v>4.488985801026768</v>
      </c>
      <c r="AR147">
        <v>72.313050000000004</v>
      </c>
      <c r="AS147">
        <v>0.50827616914350116</v>
      </c>
      <c r="AT147">
        <f t="shared" si="69"/>
        <v>36.75500003308246</v>
      </c>
      <c r="AU147">
        <f t="shared" si="80"/>
        <v>4.2452749949616786</v>
      </c>
      <c r="AV147">
        <f t="shared" si="81"/>
        <v>4.7765228803573256</v>
      </c>
      <c r="AW147">
        <f t="shared" si="89"/>
        <v>4.7765228803573256</v>
      </c>
      <c r="AY147" s="4">
        <f t="shared" si="61"/>
        <v>71.751593725924451</v>
      </c>
      <c r="AZ147">
        <f t="shared" si="82"/>
        <v>9.0217978753190042</v>
      </c>
    </row>
    <row r="148" spans="1:52" x14ac:dyDescent="0.35">
      <c r="A148" s="2">
        <v>40940</v>
      </c>
      <c r="B148">
        <v>87.510720000000006</v>
      </c>
      <c r="C148">
        <v>4.6461347369154152E-2</v>
      </c>
      <c r="D148">
        <f t="shared" si="90"/>
        <v>4.0658659604447855</v>
      </c>
      <c r="E148">
        <f t="shared" si="70"/>
        <v>1.8970083675723615</v>
      </c>
      <c r="F148">
        <f t="shared" si="62"/>
        <v>3.3144426352897716</v>
      </c>
      <c r="G148">
        <f t="shared" si="83"/>
        <v>1.9323973751933288</v>
      </c>
      <c r="I148">
        <v>68.633089999999996</v>
      </c>
      <c r="J148">
        <v>8.1541193985640678E-2</v>
      </c>
      <c r="K148">
        <f t="shared" si="63"/>
        <v>5.5964241055239352</v>
      </c>
      <c r="L148">
        <f t="shared" si="71"/>
        <v>5.617382210296995</v>
      </c>
      <c r="M148">
        <f t="shared" si="64"/>
        <v>0.405931207434862</v>
      </c>
      <c r="N148">
        <f t="shared" si="84"/>
        <v>3.2298959969585317</v>
      </c>
      <c r="P148">
        <v>67.238060000000004</v>
      </c>
      <c r="Q148">
        <v>0.11640855650560901</v>
      </c>
      <c r="R148">
        <f t="shared" si="65"/>
        <v>7.8270855068375296</v>
      </c>
      <c r="S148">
        <f t="shared" si="72"/>
        <v>7.7381592362740115</v>
      </c>
      <c r="T148">
        <f t="shared" si="73"/>
        <v>2.5267082334118784</v>
      </c>
      <c r="U148">
        <f t="shared" si="85"/>
        <v>0.40669478462311837</v>
      </c>
      <c r="W148">
        <v>71.861770000000007</v>
      </c>
      <c r="X148">
        <v>7.1713592445083477E-2</v>
      </c>
      <c r="Y148">
        <f t="shared" si="66"/>
        <v>5.1534656861623267</v>
      </c>
      <c r="Z148">
        <f t="shared" si="74"/>
        <v>7.3937730481445918</v>
      </c>
      <c r="AA148">
        <f t="shared" si="75"/>
        <v>2.1823220452824588</v>
      </c>
      <c r="AB148">
        <f t="shared" si="86"/>
        <v>5.4475868302548136</v>
      </c>
      <c r="AD148">
        <v>51.525840000000002</v>
      </c>
      <c r="AE148">
        <v>0.14348010469389794</v>
      </c>
      <c r="AF148">
        <f t="shared" si="67"/>
        <v>7.3929329176410343</v>
      </c>
      <c r="AG148">
        <f t="shared" si="76"/>
        <v>7.6829739535799524</v>
      </c>
      <c r="AH148">
        <f t="shared" si="77"/>
        <v>2.4715229507178194</v>
      </c>
      <c r="AI148">
        <f t="shared" si="87"/>
        <v>2.4715229507178194</v>
      </c>
      <c r="AK148">
        <v>89.363560000000007</v>
      </c>
      <c r="AL148">
        <v>7.8580383226267786E-2</v>
      </c>
      <c r="AM148">
        <f t="shared" si="68"/>
        <v>7.0222227912635757</v>
      </c>
      <c r="AN148">
        <f t="shared" si="78"/>
        <v>3.5938420690399653</v>
      </c>
      <c r="AO148">
        <f t="shared" si="79"/>
        <v>1.6176089338221677</v>
      </c>
      <c r="AP148">
        <f t="shared" si="88"/>
        <v>7.4041889414968365</v>
      </c>
      <c r="AR148">
        <v>75.614199999999997</v>
      </c>
      <c r="AS148">
        <v>0.50827616914350116</v>
      </c>
      <c r="AT148">
        <f t="shared" si="69"/>
        <v>38.432895908850526</v>
      </c>
      <c r="AU148">
        <f t="shared" si="80"/>
        <v>4.5650819596186221</v>
      </c>
      <c r="AV148">
        <f t="shared" si="81"/>
        <v>0.64636904324351097</v>
      </c>
      <c r="AW148">
        <f t="shared" si="89"/>
        <v>0.64636904324351097</v>
      </c>
      <c r="AY148" s="4">
        <f t="shared" si="61"/>
        <v>75.490892876723706</v>
      </c>
      <c r="AZ148">
        <f t="shared" si="82"/>
        <v>5.211451002862133</v>
      </c>
    </row>
    <row r="149" spans="1:52" x14ac:dyDescent="0.35">
      <c r="A149" s="2">
        <v>40969</v>
      </c>
      <c r="B149">
        <v>86.923370000000006</v>
      </c>
      <c r="C149">
        <v>4.6461347369154152E-2</v>
      </c>
      <c r="D149">
        <f t="shared" si="90"/>
        <v>4.0385768880675128</v>
      </c>
      <c r="E149">
        <f t="shared" si="70"/>
        <v>-0.671174914341921</v>
      </c>
      <c r="F149">
        <f t="shared" si="62"/>
        <v>2.3165464605970243</v>
      </c>
      <c r="G149">
        <f t="shared" si="83"/>
        <v>0.99789617469274727</v>
      </c>
      <c r="I149">
        <v>70.216759999999994</v>
      </c>
      <c r="J149">
        <v>8.1541193985640678E-2</v>
      </c>
      <c r="K149">
        <f t="shared" si="63"/>
        <v>5.7255584482031745</v>
      </c>
      <c r="L149">
        <f t="shared" si="71"/>
        <v>2.3074438292083332</v>
      </c>
      <c r="M149">
        <f t="shared" si="64"/>
        <v>0.66207228295322995</v>
      </c>
      <c r="N149">
        <f t="shared" si="84"/>
        <v>0.25614107551836796</v>
      </c>
      <c r="P149">
        <v>68.830470000000005</v>
      </c>
      <c r="Q149">
        <v>0.11640855650560901</v>
      </c>
      <c r="R149">
        <f t="shared" si="65"/>
        <v>8.0124556563026257</v>
      </c>
      <c r="S149">
        <f t="shared" si="72"/>
        <v>2.3683163969930199</v>
      </c>
      <c r="T149">
        <f t="shared" si="73"/>
        <v>0.72294485073791659</v>
      </c>
      <c r="U149">
        <f t="shared" si="85"/>
        <v>1.8037633826739619</v>
      </c>
      <c r="W149">
        <v>72.59675</v>
      </c>
      <c r="X149">
        <v>7.1713592445083477E-2</v>
      </c>
      <c r="Y149">
        <f t="shared" si="66"/>
        <v>5.2061737423376142</v>
      </c>
      <c r="Z149">
        <f t="shared" si="74"/>
        <v>1.0227691302343356</v>
      </c>
      <c r="AA149">
        <f t="shared" si="75"/>
        <v>0.62260241602076771</v>
      </c>
      <c r="AB149">
        <f t="shared" si="86"/>
        <v>1.8489205346970516</v>
      </c>
      <c r="AD149">
        <v>54.868850000000002</v>
      </c>
      <c r="AE149">
        <v>0.14348010469389794</v>
      </c>
      <c r="AF149">
        <f t="shared" si="67"/>
        <v>7.8725883424337821</v>
      </c>
      <c r="AG149">
        <f t="shared" si="76"/>
        <v>6.4880262019988422</v>
      </c>
      <c r="AH149">
        <f t="shared" si="77"/>
        <v>4.8426546557437389</v>
      </c>
      <c r="AI149">
        <f t="shared" si="87"/>
        <v>4.8426546557437389</v>
      </c>
      <c r="AK149">
        <v>89.091530000000006</v>
      </c>
      <c r="AL149">
        <v>7.8580383226267786E-2</v>
      </c>
      <c r="AM149">
        <f t="shared" si="68"/>
        <v>7.0008465696145334</v>
      </c>
      <c r="AN149">
        <f t="shared" si="78"/>
        <v>-0.30440819501819094</v>
      </c>
      <c r="AO149">
        <f t="shared" si="79"/>
        <v>1.9497797412732942</v>
      </c>
      <c r="AP149">
        <f t="shared" si="88"/>
        <v>3.2616712615888388</v>
      </c>
      <c r="AR149">
        <v>76.487549999999999</v>
      </c>
      <c r="AS149">
        <v>0.50827616914350116</v>
      </c>
      <c r="AT149">
        <f t="shared" si="69"/>
        <v>38.876798901172002</v>
      </c>
      <c r="AU149">
        <f t="shared" si="80"/>
        <v>1.1550079217924614</v>
      </c>
      <c r="AV149">
        <f t="shared" si="81"/>
        <v>0.49036362446264192</v>
      </c>
      <c r="AW149">
        <f t="shared" si="89"/>
        <v>0.49036362446264192</v>
      </c>
      <c r="AY149" s="4">
        <f t="shared" si="61"/>
        <v>76.732998548131235</v>
      </c>
      <c r="AZ149">
        <f t="shared" si="82"/>
        <v>1.6453715462551033</v>
      </c>
    </row>
    <row r="150" spans="1:52" x14ac:dyDescent="0.35">
      <c r="A150" s="2">
        <v>41000</v>
      </c>
      <c r="B150">
        <v>84.621129999999994</v>
      </c>
      <c r="C150">
        <v>4.6461347369154152E-2</v>
      </c>
      <c r="D150">
        <f t="shared" si="90"/>
        <v>3.9316117157003512</v>
      </c>
      <c r="E150">
        <f t="shared" si="70"/>
        <v>-2.6485857600781149</v>
      </c>
      <c r="F150">
        <f t="shared" si="62"/>
        <v>0.33215305733902412</v>
      </c>
      <c r="G150">
        <f t="shared" si="83"/>
        <v>1.9843934032580002</v>
      </c>
      <c r="I150">
        <v>65.934250000000006</v>
      </c>
      <c r="J150">
        <v>8.1541193985640678E-2</v>
      </c>
      <c r="K150">
        <f t="shared" si="63"/>
        <v>5.3763574695477292</v>
      </c>
      <c r="L150">
        <f t="shared" si="71"/>
        <v>-6.0989854843772173</v>
      </c>
      <c r="M150">
        <f t="shared" si="64"/>
        <v>3.1182466669600784</v>
      </c>
      <c r="N150">
        <f t="shared" si="84"/>
        <v>2.4561743840068484</v>
      </c>
      <c r="P150">
        <v>66.669340000000005</v>
      </c>
      <c r="Q150">
        <v>0.11640855650560901</v>
      </c>
      <c r="R150">
        <f t="shared" si="65"/>
        <v>7.7608816325816594</v>
      </c>
      <c r="S150">
        <f t="shared" si="72"/>
        <v>-3.1397867833824145</v>
      </c>
      <c r="T150">
        <f t="shared" si="73"/>
        <v>0.15904796596527548</v>
      </c>
      <c r="U150">
        <f t="shared" si="85"/>
        <v>0.5638968847726411</v>
      </c>
      <c r="W150">
        <v>65.583110000000005</v>
      </c>
      <c r="X150">
        <v>7.1713592445083477E-2</v>
      </c>
      <c r="Y150">
        <f t="shared" si="66"/>
        <v>4.7032004218210792</v>
      </c>
      <c r="Z150">
        <f t="shared" si="74"/>
        <v>-9.6610936439992088</v>
      </c>
      <c r="AA150">
        <f t="shared" si="75"/>
        <v>6.6803548265820698</v>
      </c>
      <c r="AB150">
        <f t="shared" si="86"/>
        <v>1.8377001708383309</v>
      </c>
      <c r="AD150">
        <v>52.652639999999998</v>
      </c>
      <c r="AE150">
        <v>0.14348010469389794</v>
      </c>
      <c r="AF150">
        <f t="shared" si="67"/>
        <v>7.5546062996101178</v>
      </c>
      <c r="AG150">
        <f t="shared" si="76"/>
        <v>-4.0391041547253153</v>
      </c>
      <c r="AH150">
        <f t="shared" si="77"/>
        <v>1.0583653373081763</v>
      </c>
      <c r="AI150">
        <f t="shared" si="87"/>
        <v>1.0583653373081763</v>
      </c>
      <c r="AK150">
        <v>86.816860000000005</v>
      </c>
      <c r="AL150">
        <v>7.8580383226267786E-2</v>
      </c>
      <c r="AM150">
        <f t="shared" si="68"/>
        <v>6.8221021293012392</v>
      </c>
      <c r="AN150">
        <f t="shared" si="78"/>
        <v>-2.5531832262842502</v>
      </c>
      <c r="AO150">
        <f t="shared" si="79"/>
        <v>0.42755559113288877</v>
      </c>
      <c r="AP150">
        <f t="shared" si="88"/>
        <v>1.2178159551222145</v>
      </c>
      <c r="AR150">
        <v>75.346890000000002</v>
      </c>
      <c r="AS150">
        <v>0.50827616914350116</v>
      </c>
      <c r="AT150">
        <f t="shared" si="69"/>
        <v>38.297028606076779</v>
      </c>
      <c r="AU150">
        <f t="shared" si="80"/>
        <v>-1.4913015255423878</v>
      </c>
      <c r="AV150">
        <f t="shared" si="81"/>
        <v>1.4894372918747512</v>
      </c>
      <c r="AW150">
        <f t="shared" si="89"/>
        <v>1.4894372918747512</v>
      </c>
      <c r="AY150" s="4">
        <f t="shared" si="61"/>
        <v>74.445788274638957</v>
      </c>
      <c r="AZ150">
        <f t="shared" si="82"/>
        <v>-2.980738817417139</v>
      </c>
    </row>
    <row r="151" spans="1:52" x14ac:dyDescent="0.35">
      <c r="A151" s="2">
        <v>41030</v>
      </c>
      <c r="B151">
        <v>81.095110000000005</v>
      </c>
      <c r="C151">
        <v>4.6461347369154152E-2</v>
      </c>
      <c r="D151">
        <f t="shared" si="90"/>
        <v>3.7677880756497668</v>
      </c>
      <c r="E151">
        <f t="shared" si="70"/>
        <v>-4.1668316175876967</v>
      </c>
      <c r="F151">
        <f t="shared" si="62"/>
        <v>0.84696899430252159</v>
      </c>
      <c r="G151">
        <f t="shared" si="83"/>
        <v>0.51481593696349748</v>
      </c>
      <c r="I151">
        <v>62.719880000000003</v>
      </c>
      <c r="J151">
        <v>8.1541193985640678E-2</v>
      </c>
      <c r="K151">
        <f t="shared" si="63"/>
        <v>5.1142539018361051</v>
      </c>
      <c r="L151">
        <f t="shared" si="71"/>
        <v>-4.8751142236394651</v>
      </c>
      <c r="M151">
        <f t="shared" si="64"/>
        <v>0.13868638825075319</v>
      </c>
      <c r="N151">
        <f t="shared" si="84"/>
        <v>2.9795602787093252</v>
      </c>
      <c r="P151">
        <v>62.917720000000003</v>
      </c>
      <c r="Q151">
        <v>0.11640855650560901</v>
      </c>
      <c r="R151">
        <f t="shared" si="65"/>
        <v>7.3241609638240863</v>
      </c>
      <c r="S151">
        <f t="shared" si="72"/>
        <v>-5.6272043491056074</v>
      </c>
      <c r="T151">
        <f t="shared" si="73"/>
        <v>0.6134037372153891</v>
      </c>
      <c r="U151">
        <f t="shared" si="85"/>
        <v>0.45435577125011362</v>
      </c>
      <c r="W151">
        <v>60.998339999999999</v>
      </c>
      <c r="X151">
        <v>7.1713592445083477E-2</v>
      </c>
      <c r="Y151">
        <f t="shared" si="66"/>
        <v>4.3744100945866329</v>
      </c>
      <c r="Z151">
        <f t="shared" si="74"/>
        <v>-6.9907785708851033</v>
      </c>
      <c r="AA151">
        <f t="shared" si="75"/>
        <v>1.976977958994885</v>
      </c>
      <c r="AB151">
        <f t="shared" si="86"/>
        <v>0.91861262168670876</v>
      </c>
      <c r="AD151">
        <v>48.31176</v>
      </c>
      <c r="AE151">
        <v>0.14348010469389794</v>
      </c>
      <c r="AF151">
        <f t="shared" si="67"/>
        <v>6.9317763827464702</v>
      </c>
      <c r="AG151">
        <f t="shared" si="76"/>
        <v>-8.2443729317276393</v>
      </c>
      <c r="AH151">
        <f t="shared" si="77"/>
        <v>3.230572319837421</v>
      </c>
      <c r="AI151">
        <f t="shared" si="87"/>
        <v>3.230572319837421</v>
      </c>
      <c r="AK151">
        <v>82.942130000000006</v>
      </c>
      <c r="AL151">
        <v>7.8580383226267786E-2</v>
      </c>
      <c r="AM151">
        <f t="shared" si="68"/>
        <v>6.5176243610029223</v>
      </c>
      <c r="AN151">
        <f t="shared" si="78"/>
        <v>-4.4631077419754579</v>
      </c>
      <c r="AO151">
        <f t="shared" si="79"/>
        <v>0.55069286991476041</v>
      </c>
      <c r="AP151">
        <f t="shared" si="88"/>
        <v>3.5314316873318994</v>
      </c>
      <c r="AR151">
        <v>72.171809999999994</v>
      </c>
      <c r="AS151">
        <v>0.50827616914350116</v>
      </c>
      <c r="AT151">
        <f t="shared" si="69"/>
        <v>36.683211106952626</v>
      </c>
      <c r="AU151">
        <f t="shared" si="80"/>
        <v>-4.213949640124504</v>
      </c>
      <c r="AV151">
        <f t="shared" si="81"/>
        <v>0.79985097176571429</v>
      </c>
      <c r="AW151">
        <f t="shared" si="89"/>
        <v>0.79985097176571429</v>
      </c>
      <c r="AY151" s="4">
        <f t="shared" si="61"/>
        <v>70.71322488659861</v>
      </c>
      <c r="AZ151">
        <f t="shared" si="82"/>
        <v>-5.0138006118902183</v>
      </c>
    </row>
    <row r="152" spans="1:52" x14ac:dyDescent="0.35">
      <c r="A152" s="2">
        <v>41061</v>
      </c>
      <c r="B152">
        <v>80.170079999999999</v>
      </c>
      <c r="C152">
        <v>4.6461347369154152E-2</v>
      </c>
      <c r="D152">
        <f t="shared" si="90"/>
        <v>3.7248099354928779</v>
      </c>
      <c r="E152">
        <f t="shared" si="70"/>
        <v>-1.1406729702937768</v>
      </c>
      <c r="F152">
        <f t="shared" si="62"/>
        <v>0.91919870057074471</v>
      </c>
      <c r="G152">
        <f t="shared" si="83"/>
        <v>7.2229706268223115E-2</v>
      </c>
      <c r="I152">
        <v>61.78586</v>
      </c>
      <c r="J152">
        <v>8.1541193985640678E-2</v>
      </c>
      <c r="K152">
        <f t="shared" si="63"/>
        <v>5.0380927958296366</v>
      </c>
      <c r="L152">
        <f t="shared" si="71"/>
        <v>-1.4891929002415205</v>
      </c>
      <c r="M152">
        <f t="shared" si="64"/>
        <v>0.57067877062300099</v>
      </c>
      <c r="N152">
        <f t="shared" si="84"/>
        <v>0.4319923823722478</v>
      </c>
      <c r="P152">
        <v>59.941099999999999</v>
      </c>
      <c r="Q152">
        <v>0.11640855650560901</v>
      </c>
      <c r="R152">
        <f t="shared" si="65"/>
        <v>6.9776569263583603</v>
      </c>
      <c r="S152">
        <f t="shared" si="72"/>
        <v>-4.7309724510042672</v>
      </c>
      <c r="T152">
        <f t="shared" si="73"/>
        <v>2.6711007801397457</v>
      </c>
      <c r="U152">
        <f t="shared" si="85"/>
        <v>2.0576970429243566</v>
      </c>
      <c r="W152">
        <v>59.443269999999998</v>
      </c>
      <c r="X152">
        <v>7.1713592445083477E-2</v>
      </c>
      <c r="Y152">
        <f t="shared" si="66"/>
        <v>4.2628904383830575</v>
      </c>
      <c r="Z152">
        <f t="shared" si="74"/>
        <v>-2.5493644581147668</v>
      </c>
      <c r="AA152">
        <f t="shared" si="75"/>
        <v>0.48949278725024525</v>
      </c>
      <c r="AB152">
        <f t="shared" si="86"/>
        <v>2.7410795325871757</v>
      </c>
      <c r="AD152">
        <v>47.262970000000003</v>
      </c>
      <c r="AE152">
        <v>0.14348010469389794</v>
      </c>
      <c r="AF152">
        <f t="shared" si="67"/>
        <v>6.7812958837445576</v>
      </c>
      <c r="AG152">
        <f t="shared" si="76"/>
        <v>-2.1708793055769338</v>
      </c>
      <c r="AH152">
        <f t="shared" si="77"/>
        <v>0.11100763471241226</v>
      </c>
      <c r="AI152">
        <f t="shared" si="87"/>
        <v>0.11100763471241226</v>
      </c>
      <c r="AK152">
        <v>82.784580000000005</v>
      </c>
      <c r="AL152">
        <v>7.8580383226267786E-2</v>
      </c>
      <c r="AM152">
        <f t="shared" si="68"/>
        <v>6.5052440216256242</v>
      </c>
      <c r="AN152">
        <f t="shared" si="78"/>
        <v>-0.18995171693806379</v>
      </c>
      <c r="AO152">
        <f t="shared" si="79"/>
        <v>1.8699199539264577</v>
      </c>
      <c r="AP152">
        <f t="shared" si="88"/>
        <v>6.8837205658166756</v>
      </c>
      <c r="AR152">
        <v>70.761989999999997</v>
      </c>
      <c r="AS152">
        <v>0.50827616914350116</v>
      </c>
      <c r="AT152">
        <f t="shared" si="69"/>
        <v>35.966633198170733</v>
      </c>
      <c r="AU152">
        <f t="shared" si="80"/>
        <v>-1.9534219801332409</v>
      </c>
      <c r="AV152">
        <f t="shared" si="81"/>
        <v>0.10644969073128063</v>
      </c>
      <c r="AW152">
        <f t="shared" si="89"/>
        <v>0.10644969073128063</v>
      </c>
      <c r="AY152" s="4">
        <f t="shared" si="61"/>
        <v>69.256623199604846</v>
      </c>
      <c r="AZ152">
        <f t="shared" si="82"/>
        <v>-2.0598716708645215</v>
      </c>
    </row>
    <row r="153" spans="1:52" x14ac:dyDescent="0.35">
      <c r="A153" s="2">
        <v>41091</v>
      </c>
      <c r="B153">
        <v>81.075720000000004</v>
      </c>
      <c r="C153">
        <v>4.6461347369154152E-2</v>
      </c>
      <c r="D153">
        <f t="shared" si="90"/>
        <v>3.7668871901242786</v>
      </c>
      <c r="E153">
        <f t="shared" si="70"/>
        <v>1.129648367570546</v>
      </c>
      <c r="F153">
        <f t="shared" si="62"/>
        <v>1.9703969559230927</v>
      </c>
      <c r="G153">
        <f t="shared" si="83"/>
        <v>1.051198255352348</v>
      </c>
      <c r="I153">
        <v>64.647589999999994</v>
      </c>
      <c r="J153">
        <v>8.1541193985640678E-2</v>
      </c>
      <c r="K153">
        <f t="shared" si="63"/>
        <v>5.2714416768941641</v>
      </c>
      <c r="L153">
        <f t="shared" si="71"/>
        <v>4.6316908108100963</v>
      </c>
      <c r="M153">
        <f t="shared" si="64"/>
        <v>1.5316454873164576</v>
      </c>
      <c r="N153">
        <f t="shared" si="84"/>
        <v>0.96096671669345657</v>
      </c>
      <c r="P153">
        <v>63.287869999999998</v>
      </c>
      <c r="Q153">
        <v>0.11640855650560901</v>
      </c>
      <c r="R153">
        <f t="shared" si="65"/>
        <v>7.3672495910146374</v>
      </c>
      <c r="S153">
        <f t="shared" si="72"/>
        <v>5.5834310681652566</v>
      </c>
      <c r="T153">
        <f t="shared" si="73"/>
        <v>2.4833857446716179</v>
      </c>
      <c r="U153">
        <f t="shared" si="85"/>
        <v>0.18771503546812784</v>
      </c>
      <c r="W153">
        <v>61.072920000000003</v>
      </c>
      <c r="X153">
        <v>7.1713592445083477E-2</v>
      </c>
      <c r="Y153">
        <f t="shared" si="66"/>
        <v>4.3797584943111882</v>
      </c>
      <c r="Z153">
        <f t="shared" si="74"/>
        <v>2.74152145398463</v>
      </c>
      <c r="AA153">
        <f t="shared" si="75"/>
        <v>0.35852386950900872</v>
      </c>
      <c r="AB153">
        <f t="shared" si="86"/>
        <v>0.24751623479659646</v>
      </c>
      <c r="AD153">
        <v>48.089370000000002</v>
      </c>
      <c r="AE153">
        <v>0.14348010469389794</v>
      </c>
      <c r="AF153">
        <f t="shared" si="67"/>
        <v>6.8998678422635953</v>
      </c>
      <c r="AG153">
        <f t="shared" si="76"/>
        <v>1.7485147463225381</v>
      </c>
      <c r="AH153">
        <f t="shared" si="77"/>
        <v>1.3515305771711006</v>
      </c>
      <c r="AI153">
        <f t="shared" si="87"/>
        <v>1.3515305771711006</v>
      </c>
      <c r="AK153">
        <v>85.468519999999998</v>
      </c>
      <c r="AL153">
        <v>7.8580383226267786E-2</v>
      </c>
      <c r="AM153">
        <f t="shared" si="68"/>
        <v>6.7161490553819325</v>
      </c>
      <c r="AN153">
        <f t="shared" si="78"/>
        <v>3.242077208098415</v>
      </c>
      <c r="AO153">
        <f t="shared" si="79"/>
        <v>0.14203188460477634</v>
      </c>
      <c r="AP153">
        <f t="shared" si="88"/>
        <v>2.2019035554692978</v>
      </c>
      <c r="AR153">
        <v>72.799509999999998</v>
      </c>
      <c r="AS153">
        <v>0.50827616914350116</v>
      </c>
      <c r="AT153">
        <f t="shared" si="69"/>
        <v>37.002256058324001</v>
      </c>
      <c r="AU153">
        <f t="shared" si="80"/>
        <v>2.8793989541560316</v>
      </c>
      <c r="AV153">
        <f t="shared" si="81"/>
        <v>0.22064636933760706</v>
      </c>
      <c r="AW153">
        <f t="shared" si="89"/>
        <v>0.22064636933760706</v>
      </c>
      <c r="AY153" s="4">
        <f t="shared" si="61"/>
        <v>71.403609908313811</v>
      </c>
      <c r="AZ153">
        <f t="shared" si="82"/>
        <v>3.1000453234936387</v>
      </c>
    </row>
    <row r="154" spans="1:52" x14ac:dyDescent="0.35">
      <c r="A154" s="2">
        <v>41122</v>
      </c>
      <c r="B154">
        <v>83.058070000000001</v>
      </c>
      <c r="C154">
        <v>4.6461347369154152E-2</v>
      </c>
      <c r="D154">
        <f t="shared" si="90"/>
        <v>3.8589898420815216</v>
      </c>
      <c r="E154">
        <f t="shared" si="70"/>
        <v>2.4450600007005718</v>
      </c>
      <c r="F154">
        <f t="shared" si="62"/>
        <v>1.0453154256385044</v>
      </c>
      <c r="G154">
        <f t="shared" si="83"/>
        <v>0.92508153028458828</v>
      </c>
      <c r="I154">
        <v>68.866669999999999</v>
      </c>
      <c r="J154">
        <v>8.1541193985640678E-2</v>
      </c>
      <c r="K154">
        <f t="shared" si="63"/>
        <v>5.6154704976151013</v>
      </c>
      <c r="L154">
        <f t="shared" si="71"/>
        <v>6.5262757668151261</v>
      </c>
      <c r="M154">
        <f t="shared" si="64"/>
        <v>3.0359003404760498</v>
      </c>
      <c r="N154">
        <f t="shared" si="84"/>
        <v>1.5042548531595923</v>
      </c>
      <c r="P154">
        <v>66.817790000000002</v>
      </c>
      <c r="Q154">
        <v>0.11640855650560901</v>
      </c>
      <c r="R154">
        <f t="shared" si="65"/>
        <v>7.778162482794917</v>
      </c>
      <c r="S154">
        <f t="shared" si="72"/>
        <v>5.5775617033722247</v>
      </c>
      <c r="T154">
        <f t="shared" si="73"/>
        <v>2.0871862770331484</v>
      </c>
      <c r="U154">
        <f t="shared" si="85"/>
        <v>0.39619946763846947</v>
      </c>
      <c r="W154">
        <v>65.166039999999995</v>
      </c>
      <c r="X154">
        <v>7.1713592445083477E-2</v>
      </c>
      <c r="Y154">
        <f t="shared" si="66"/>
        <v>4.6732908338200074</v>
      </c>
      <c r="Z154">
        <f t="shared" si="74"/>
        <v>6.702021124910984</v>
      </c>
      <c r="AA154">
        <f t="shared" si="75"/>
        <v>3.2116456985719077</v>
      </c>
      <c r="AB154">
        <f t="shared" si="86"/>
        <v>1.8601151214008071</v>
      </c>
      <c r="AD154">
        <v>48.264710000000001</v>
      </c>
      <c r="AE154">
        <v>0.14348010469389794</v>
      </c>
      <c r="AF154">
        <f t="shared" si="67"/>
        <v>6.9250256438206224</v>
      </c>
      <c r="AG154">
        <f t="shared" si="76"/>
        <v>0.36461280320370104</v>
      </c>
      <c r="AH154">
        <f t="shared" si="77"/>
        <v>3.1257626231353752</v>
      </c>
      <c r="AI154">
        <f t="shared" si="87"/>
        <v>3.1257626231353752</v>
      </c>
      <c r="AK154">
        <v>87.88861</v>
      </c>
      <c r="AL154">
        <v>7.8580383226267786E-2</v>
      </c>
      <c r="AM154">
        <f t="shared" si="68"/>
        <v>6.9063206550239915</v>
      </c>
      <c r="AN154">
        <f t="shared" si="78"/>
        <v>2.8315571628009906</v>
      </c>
      <c r="AO154">
        <f t="shared" si="79"/>
        <v>0.6588182635380857</v>
      </c>
      <c r="AP154">
        <f t="shared" si="88"/>
        <v>2.441227059955553</v>
      </c>
      <c r="AR154">
        <v>75.035200000000003</v>
      </c>
      <c r="AS154">
        <v>0.50827616914350116</v>
      </c>
      <c r="AT154">
        <f t="shared" si="69"/>
        <v>38.138604006916438</v>
      </c>
      <c r="AU154">
        <f t="shared" si="80"/>
        <v>3.0710234176026807</v>
      </c>
      <c r="AV154">
        <f t="shared" si="81"/>
        <v>0.41935200873639555</v>
      </c>
      <c r="AW154">
        <f t="shared" si="89"/>
        <v>0.41935200873639555</v>
      </c>
      <c r="AY154" s="4">
        <f t="shared" si="61"/>
        <v>73.89586396207261</v>
      </c>
      <c r="AZ154">
        <f t="shared" si="82"/>
        <v>3.4903754263390763</v>
      </c>
    </row>
    <row r="155" spans="1:52" x14ac:dyDescent="0.35">
      <c r="A155" s="2">
        <v>41153</v>
      </c>
      <c r="B155">
        <v>85.561710000000005</v>
      </c>
      <c r="C155">
        <v>4.6461347369154152E-2</v>
      </c>
      <c r="D155">
        <f t="shared" si="90"/>
        <v>3.9753123298088306</v>
      </c>
      <c r="E155">
        <f t="shared" si="70"/>
        <v>3.014324797096779</v>
      </c>
      <c r="F155">
        <f t="shared" si="62"/>
        <v>0.24317467311250063</v>
      </c>
      <c r="G155">
        <f t="shared" si="83"/>
        <v>0.80214075252600381</v>
      </c>
      <c r="I155">
        <v>70.236109999999996</v>
      </c>
      <c r="J155">
        <v>8.1541193985640678E-2</v>
      </c>
      <c r="K155">
        <f t="shared" si="63"/>
        <v>5.7271362703067972</v>
      </c>
      <c r="L155">
        <f t="shared" si="71"/>
        <v>1.9885381418907055</v>
      </c>
      <c r="M155">
        <f t="shared" si="64"/>
        <v>0.78261198209357286</v>
      </c>
      <c r="N155">
        <f t="shared" si="84"/>
        <v>2.253288358382477</v>
      </c>
      <c r="P155">
        <v>69.603549999999998</v>
      </c>
      <c r="Q155">
        <v>0.11640855650560901</v>
      </c>
      <c r="R155">
        <f t="shared" si="65"/>
        <v>8.1024487831659826</v>
      </c>
      <c r="S155">
        <f t="shared" si="72"/>
        <v>4.1691890737481696</v>
      </c>
      <c r="T155">
        <f t="shared" si="73"/>
        <v>1.3980389497638912</v>
      </c>
      <c r="U155">
        <f t="shared" si="85"/>
        <v>0.6891473272692572</v>
      </c>
      <c r="W155">
        <v>69.638189999999994</v>
      </c>
      <c r="X155">
        <v>7.1713592445083477E-2</v>
      </c>
      <c r="Y155">
        <f t="shared" si="66"/>
        <v>4.9940047762732878</v>
      </c>
      <c r="Z155">
        <f t="shared" si="74"/>
        <v>6.862700265352939</v>
      </c>
      <c r="AA155">
        <f t="shared" si="75"/>
        <v>4.0915501413686606</v>
      </c>
      <c r="AB155">
        <f t="shared" si="86"/>
        <v>0.96578751823328535</v>
      </c>
      <c r="AD155">
        <v>47.91854</v>
      </c>
      <c r="AE155">
        <v>0.14348010469389794</v>
      </c>
      <c r="AF155">
        <f t="shared" si="67"/>
        <v>6.875357135978736</v>
      </c>
      <c r="AG155">
        <f t="shared" si="76"/>
        <v>-0.71723211431292677</v>
      </c>
      <c r="AH155">
        <f t="shared" si="77"/>
        <v>3.4883822382972052</v>
      </c>
      <c r="AI155">
        <f t="shared" si="87"/>
        <v>3.4883822382972052</v>
      </c>
      <c r="AK155">
        <v>88.030690000000007</v>
      </c>
      <c r="AL155">
        <v>7.8580383226267786E-2</v>
      </c>
      <c r="AM155">
        <f t="shared" si="68"/>
        <v>6.9174853558727802</v>
      </c>
      <c r="AN155">
        <f t="shared" si="78"/>
        <v>0.16165917290080767</v>
      </c>
      <c r="AO155">
        <f t="shared" si="79"/>
        <v>2.6094909510834707</v>
      </c>
      <c r="AP155">
        <f t="shared" si="88"/>
        <v>0.88088447525560554</v>
      </c>
      <c r="AR155">
        <v>77.422250000000005</v>
      </c>
      <c r="AS155">
        <v>0.50827616914350116</v>
      </c>
      <c r="AT155">
        <f t="shared" si="69"/>
        <v>39.351884636470437</v>
      </c>
      <c r="AU155">
        <f t="shared" si="80"/>
        <v>3.1812402712326993</v>
      </c>
      <c r="AV155">
        <f t="shared" si="81"/>
        <v>0.41009014724842086</v>
      </c>
      <c r="AW155">
        <f t="shared" si="89"/>
        <v>0.41009014724842086</v>
      </c>
      <c r="AY155" s="4">
        <f t="shared" si="61"/>
        <v>75.943629287876846</v>
      </c>
      <c r="AZ155">
        <f t="shared" si="82"/>
        <v>2.7711501239842784</v>
      </c>
    </row>
    <row r="156" spans="1:52" x14ac:dyDescent="0.35">
      <c r="A156" s="2">
        <v>41183</v>
      </c>
      <c r="B156">
        <v>86.066699999999997</v>
      </c>
      <c r="C156">
        <v>4.6461347369154152E-2</v>
      </c>
      <c r="D156">
        <f t="shared" si="90"/>
        <v>3.9987748456167793</v>
      </c>
      <c r="E156">
        <f t="shared" si="70"/>
        <v>0.59020559547020568</v>
      </c>
      <c r="F156">
        <f t="shared" si="62"/>
        <v>0.58518283158082163</v>
      </c>
      <c r="G156">
        <f t="shared" si="83"/>
        <v>0.342008158468321</v>
      </c>
      <c r="I156">
        <v>69.359610000000004</v>
      </c>
      <c r="J156">
        <v>8.1541193985640678E-2</v>
      </c>
      <c r="K156">
        <f t="shared" si="63"/>
        <v>5.6556654137783831</v>
      </c>
      <c r="L156">
        <f t="shared" si="71"/>
        <v>-1.2479335771869993</v>
      </c>
      <c r="M156">
        <f t="shared" si="64"/>
        <v>1.2529563410763833</v>
      </c>
      <c r="N156">
        <f t="shared" si="84"/>
        <v>0.47034435898281046</v>
      </c>
      <c r="P156">
        <v>69.998760000000004</v>
      </c>
      <c r="Q156">
        <v>0.11640855650560901</v>
      </c>
      <c r="R156">
        <f t="shared" si="65"/>
        <v>8.1484546087825649</v>
      </c>
      <c r="S156">
        <f t="shared" si="72"/>
        <v>0.56780149863047136</v>
      </c>
      <c r="T156">
        <f t="shared" si="73"/>
        <v>0.56277873474108731</v>
      </c>
      <c r="U156">
        <f t="shared" si="85"/>
        <v>0.8352602150228039</v>
      </c>
      <c r="W156">
        <v>68.869320000000002</v>
      </c>
      <c r="X156">
        <v>7.1713592445083477E-2</v>
      </c>
      <c r="Y156">
        <f t="shared" si="66"/>
        <v>4.9388663464500366</v>
      </c>
      <c r="Z156">
        <f t="shared" si="74"/>
        <v>-1.104092452718819</v>
      </c>
      <c r="AA156">
        <f t="shared" si="75"/>
        <v>1.109115216608203</v>
      </c>
      <c r="AB156">
        <f t="shared" si="86"/>
        <v>2.3792670216890022</v>
      </c>
      <c r="AD156">
        <v>47.462150000000001</v>
      </c>
      <c r="AE156">
        <v>0.14348010469389794</v>
      </c>
      <c r="AF156">
        <f t="shared" si="67"/>
        <v>6.8098742509974883</v>
      </c>
      <c r="AG156">
        <f t="shared" si="76"/>
        <v>-0.95242885112943876</v>
      </c>
      <c r="AH156">
        <f t="shared" si="77"/>
        <v>0.95745161501882281</v>
      </c>
      <c r="AI156">
        <f t="shared" si="87"/>
        <v>0.95745161501882281</v>
      </c>
      <c r="AK156">
        <v>88.430549999999997</v>
      </c>
      <c r="AL156">
        <v>7.8580383226267786E-2</v>
      </c>
      <c r="AM156">
        <f t="shared" si="68"/>
        <v>6.9489065079096344</v>
      </c>
      <c r="AN156">
        <f t="shared" si="78"/>
        <v>0.45422795163820862</v>
      </c>
      <c r="AO156">
        <f t="shared" si="79"/>
        <v>0.44920518774882456</v>
      </c>
      <c r="AP156">
        <f t="shared" si="88"/>
        <v>2.3219449362354538</v>
      </c>
      <c r="AR156">
        <v>77.609189999999998</v>
      </c>
      <c r="AS156">
        <v>0.50827616914350116</v>
      </c>
      <c r="AT156">
        <f t="shared" si="69"/>
        <v>39.446901783530116</v>
      </c>
      <c r="AU156">
        <f t="shared" si="80"/>
        <v>0.2414551372505791</v>
      </c>
      <c r="AV156">
        <f t="shared" si="81"/>
        <v>0.23643237336119505</v>
      </c>
      <c r="AW156">
        <f t="shared" si="89"/>
        <v>0.23643237336119505</v>
      </c>
      <c r="AY156" s="4">
        <f t="shared" si="61"/>
        <v>75.947443757065003</v>
      </c>
      <c r="AZ156">
        <f t="shared" si="82"/>
        <v>5.022763889384052E-3</v>
      </c>
    </row>
    <row r="157" spans="1:52" x14ac:dyDescent="0.35">
      <c r="A157" s="2">
        <v>41214</v>
      </c>
      <c r="B157">
        <v>84.825329999999994</v>
      </c>
      <c r="C157">
        <v>4.6461347369154152E-2</v>
      </c>
      <c r="D157">
        <f t="shared" si="90"/>
        <v>3.9410991228331325</v>
      </c>
      <c r="E157">
        <f t="shared" si="70"/>
        <v>-1.4423348403040936</v>
      </c>
      <c r="F157">
        <f t="shared" si="62"/>
        <v>0.43818626493862256</v>
      </c>
      <c r="G157">
        <f t="shared" si="83"/>
        <v>0.14699656664219907</v>
      </c>
      <c r="I157">
        <v>69.867609999999999</v>
      </c>
      <c r="J157">
        <v>8.1541193985640678E-2</v>
      </c>
      <c r="K157">
        <f t="shared" si="63"/>
        <v>5.6970883403230888</v>
      </c>
      <c r="L157">
        <f t="shared" si="71"/>
        <v>0.73241472955225539</v>
      </c>
      <c r="M157">
        <f t="shared" si="64"/>
        <v>1.7365633049177265</v>
      </c>
      <c r="N157">
        <f t="shared" si="84"/>
        <v>0.48360696384134316</v>
      </c>
      <c r="P157">
        <v>69.726939999999999</v>
      </c>
      <c r="Q157">
        <v>0.11640855650560901</v>
      </c>
      <c r="R157">
        <f t="shared" si="65"/>
        <v>8.1168124349532089</v>
      </c>
      <c r="S157">
        <f t="shared" si="72"/>
        <v>-0.3883211645463458</v>
      </c>
      <c r="T157">
        <f t="shared" si="73"/>
        <v>0.61582741081912529</v>
      </c>
      <c r="U157">
        <f t="shared" si="85"/>
        <v>5.3048676078037982E-2</v>
      </c>
      <c r="W157">
        <v>67.767489999999995</v>
      </c>
      <c r="X157">
        <v>7.1713592445083477E-2</v>
      </c>
      <c r="Y157">
        <f t="shared" si="66"/>
        <v>4.8598501588862701</v>
      </c>
      <c r="Z157">
        <f t="shared" si="74"/>
        <v>-1.599885115752564</v>
      </c>
      <c r="AA157">
        <f t="shared" si="75"/>
        <v>0.59573654038709289</v>
      </c>
      <c r="AB157">
        <f t="shared" si="86"/>
        <v>0.36171507463172992</v>
      </c>
      <c r="AD157">
        <v>48.621830000000003</v>
      </c>
      <c r="AE157">
        <v>0.14348010469389794</v>
      </c>
      <c r="AF157">
        <f t="shared" si="67"/>
        <v>6.9762652588089082</v>
      </c>
      <c r="AG157">
        <f t="shared" si="76"/>
        <v>2.4433785658677598</v>
      </c>
      <c r="AH157">
        <f t="shared" si="77"/>
        <v>3.4475271412332309</v>
      </c>
      <c r="AI157">
        <f t="shared" si="87"/>
        <v>3.4475271412332309</v>
      </c>
      <c r="AK157">
        <v>87.758960000000002</v>
      </c>
      <c r="AL157">
        <v>7.8580383226267786E-2</v>
      </c>
      <c r="AM157">
        <f t="shared" si="68"/>
        <v>6.8961327083387056</v>
      </c>
      <c r="AN157">
        <f t="shared" si="78"/>
        <v>-0.75945473594815072</v>
      </c>
      <c r="AO157">
        <f t="shared" si="79"/>
        <v>0.24469383941732037</v>
      </c>
      <c r="AP157">
        <f t="shared" si="88"/>
        <v>0.23967107552793632</v>
      </c>
      <c r="AR157">
        <v>76.134929999999997</v>
      </c>
      <c r="AS157">
        <v>0.50827616914350116</v>
      </c>
      <c r="AT157">
        <f t="shared" si="69"/>
        <v>38.697570558408621</v>
      </c>
      <c r="AU157">
        <f t="shared" si="80"/>
        <v>-1.8995946227502225</v>
      </c>
      <c r="AV157">
        <f t="shared" si="81"/>
        <v>0.89544604738475142</v>
      </c>
      <c r="AW157">
        <f t="shared" si="89"/>
        <v>0.89544604738475142</v>
      </c>
      <c r="AY157" s="4">
        <f t="shared" si="61"/>
        <v>75.184818582551941</v>
      </c>
      <c r="AZ157">
        <f t="shared" si="82"/>
        <v>-1.0041485753654711</v>
      </c>
    </row>
    <row r="158" spans="1:52" x14ac:dyDescent="0.35">
      <c r="A158" s="2">
        <v>41244</v>
      </c>
      <c r="B158">
        <v>85.765000000000001</v>
      </c>
      <c r="C158">
        <v>4.6461347369154152E-2</v>
      </c>
      <c r="D158">
        <f t="shared" si="90"/>
        <v>3.984757457115506</v>
      </c>
      <c r="E158">
        <f t="shared" si="70"/>
        <v>1.1077705209045607</v>
      </c>
      <c r="F158">
        <f t="shared" si="62"/>
        <v>2.5484012436214343</v>
      </c>
      <c r="G158">
        <f t="shared" si="83"/>
        <v>2.1102149786828117</v>
      </c>
      <c r="I158">
        <v>73.216380000000001</v>
      </c>
      <c r="J158">
        <v>8.1541193985640678E-2</v>
      </c>
      <c r="K158">
        <f t="shared" si="63"/>
        <v>5.9701510445063821</v>
      </c>
      <c r="L158">
        <f t="shared" si="71"/>
        <v>4.7930221171154974</v>
      </c>
      <c r="M158">
        <f t="shared" si="64"/>
        <v>1.1368503525895024</v>
      </c>
      <c r="N158">
        <f t="shared" si="84"/>
        <v>0.59971295232822408</v>
      </c>
      <c r="P158">
        <v>72.986949999999993</v>
      </c>
      <c r="Q158">
        <v>0.11640855650560901</v>
      </c>
      <c r="R158">
        <f t="shared" si="65"/>
        <v>8.4963054932470587</v>
      </c>
      <c r="S158">
        <f t="shared" si="72"/>
        <v>4.6753951915859071</v>
      </c>
      <c r="T158">
        <f t="shared" si="73"/>
        <v>1.0192234270599121</v>
      </c>
      <c r="U158">
        <f t="shared" si="85"/>
        <v>0.4033960162407868</v>
      </c>
      <c r="W158">
        <v>70.234499999999997</v>
      </c>
      <c r="X158">
        <v>7.1713592445083477E-2</v>
      </c>
      <c r="Y158">
        <f t="shared" si="66"/>
        <v>5.0367683085842154</v>
      </c>
      <c r="Z158">
        <f t="shared" si="74"/>
        <v>3.6404033851630047</v>
      </c>
      <c r="AA158">
        <f t="shared" si="75"/>
        <v>1.5768379362990359E-2</v>
      </c>
      <c r="AB158">
        <f t="shared" si="86"/>
        <v>3.4317587618702405</v>
      </c>
      <c r="AD158">
        <v>52.546280000000003</v>
      </c>
      <c r="AE158">
        <v>0.14348010469389794</v>
      </c>
      <c r="AF158">
        <f t="shared" si="67"/>
        <v>7.5393457556748755</v>
      </c>
      <c r="AG158">
        <f t="shared" si="76"/>
        <v>8.0713745245705404</v>
      </c>
      <c r="AH158">
        <f t="shared" si="77"/>
        <v>4.4152027600445454</v>
      </c>
      <c r="AI158">
        <f t="shared" si="87"/>
        <v>4.4152027600445454</v>
      </c>
      <c r="AK158">
        <v>89.854399999999998</v>
      </c>
      <c r="AL158">
        <v>7.8580383226267786E-2</v>
      </c>
      <c r="AM158">
        <f t="shared" si="68"/>
        <v>7.0607931865663556</v>
      </c>
      <c r="AN158">
        <f t="shared" si="78"/>
        <v>2.3877220058214021</v>
      </c>
      <c r="AO158">
        <f t="shared" si="79"/>
        <v>1.2684497587045929</v>
      </c>
      <c r="AP158">
        <f t="shared" si="88"/>
        <v>2.272598334070064</v>
      </c>
      <c r="AR158">
        <v>78.393569999999997</v>
      </c>
      <c r="AS158">
        <v>0.50827616914350116</v>
      </c>
      <c r="AT158">
        <f t="shared" si="69"/>
        <v>39.845583445082895</v>
      </c>
      <c r="AU158">
        <f t="shared" si="80"/>
        <v>2.9666278014572223</v>
      </c>
      <c r="AV158">
        <f t="shared" si="81"/>
        <v>0.68954396306877275</v>
      </c>
      <c r="AW158">
        <f t="shared" si="89"/>
        <v>0.68954396306877275</v>
      </c>
      <c r="AY158" s="4">
        <f t="shared" si="61"/>
        <v>77.93370469077729</v>
      </c>
      <c r="AZ158">
        <f t="shared" si="82"/>
        <v>3.656171764525995</v>
      </c>
    </row>
    <row r="159" spans="1:52" x14ac:dyDescent="0.35">
      <c r="A159" s="2">
        <v>41275</v>
      </c>
      <c r="B159">
        <v>88.280299999999997</v>
      </c>
      <c r="C159">
        <v>4.4815039784415492E-2</v>
      </c>
      <c r="D159">
        <f t="shared" si="90"/>
        <v>3.9562851566801349</v>
      </c>
      <c r="E159">
        <f t="shared" si="70"/>
        <v>2.9327814376493899</v>
      </c>
      <c r="F159">
        <f t="shared" si="62"/>
        <v>2.8378903686184787</v>
      </c>
      <c r="G159">
        <f t="shared" si="83"/>
        <v>0.28948912499704438</v>
      </c>
      <c r="I159">
        <v>75.249179999999996</v>
      </c>
      <c r="J159">
        <v>7.7307141695214007E-2</v>
      </c>
      <c r="K159">
        <f t="shared" si="63"/>
        <v>5.8172990207086634</v>
      </c>
      <c r="L159">
        <f t="shared" si="71"/>
        <v>2.7764278976917467</v>
      </c>
      <c r="M159">
        <f t="shared" si="64"/>
        <v>2.6815368286608354</v>
      </c>
      <c r="N159">
        <f t="shared" si="84"/>
        <v>1.544686476071333</v>
      </c>
      <c r="P159">
        <v>74.691180000000003</v>
      </c>
      <c r="Q159">
        <v>0.11021176885400807</v>
      </c>
      <c r="R159">
        <f t="shared" si="65"/>
        <v>8.2318470655931115</v>
      </c>
      <c r="S159">
        <f t="shared" si="72"/>
        <v>2.3349790613253596</v>
      </c>
      <c r="T159">
        <f t="shared" si="73"/>
        <v>2.2400879922944483</v>
      </c>
      <c r="U159">
        <f t="shared" si="85"/>
        <v>1.2208645652345362</v>
      </c>
      <c r="W159">
        <v>75.779300000000006</v>
      </c>
      <c r="X159">
        <v>6.6355678516300171E-2</v>
      </c>
      <c r="Y159">
        <f t="shared" si="66"/>
        <v>5.0283868689902658</v>
      </c>
      <c r="Z159">
        <f t="shared" si="74"/>
        <v>7.8946956267931245</v>
      </c>
      <c r="AA159">
        <f t="shared" si="75"/>
        <v>7.7998045577622133</v>
      </c>
      <c r="AB159">
        <f t="shared" si="86"/>
        <v>3.3846017977176679</v>
      </c>
      <c r="AD159">
        <v>57.738059999999997</v>
      </c>
      <c r="AE159">
        <v>0.13796227633365052</v>
      </c>
      <c r="AF159">
        <f t="shared" si="67"/>
        <v>7.9656741886888929</v>
      </c>
      <c r="AG159">
        <f t="shared" si="76"/>
        <v>9.8803949585013271</v>
      </c>
      <c r="AH159">
        <f t="shared" si="77"/>
        <v>9.7855038894704158</v>
      </c>
      <c r="AI159">
        <f t="shared" si="87"/>
        <v>9.7855038894704158</v>
      </c>
      <c r="AK159">
        <v>93.261340000000004</v>
      </c>
      <c r="AL159">
        <v>7.5400798397740498E-2</v>
      </c>
      <c r="AM159">
        <f t="shared" si="68"/>
        <v>7.0319794956431325</v>
      </c>
      <c r="AN159">
        <f t="shared" si="78"/>
        <v>3.7916228921455186</v>
      </c>
      <c r="AO159">
        <f t="shared" si="79"/>
        <v>3.6967318231146074</v>
      </c>
      <c r="AP159">
        <f t="shared" si="88"/>
        <v>4.0560058588612335E-2</v>
      </c>
      <c r="AR159">
        <v>81.927260000000004</v>
      </c>
      <c r="AS159">
        <v>0.48794729641867124</v>
      </c>
      <c r="AT159">
        <f t="shared" si="69"/>
        <v>39.976185019989551</v>
      </c>
      <c r="AU159">
        <f t="shared" si="80"/>
        <v>4.5076273474980333</v>
      </c>
      <c r="AV159">
        <f t="shared" si="81"/>
        <v>4.412736278467122</v>
      </c>
      <c r="AW159">
        <f t="shared" si="89"/>
        <v>4.412736278467122</v>
      </c>
      <c r="AY159" s="4">
        <f t="shared" si="61"/>
        <v>78.00765681629376</v>
      </c>
      <c r="AZ159">
        <f t="shared" si="82"/>
        <v>9.4891069030911268E-2</v>
      </c>
    </row>
    <row r="160" spans="1:52" x14ac:dyDescent="0.35">
      <c r="A160" s="2">
        <v>41306</v>
      </c>
      <c r="B160">
        <v>88.809550000000002</v>
      </c>
      <c r="C160">
        <v>4.4815039784415492E-2</v>
      </c>
      <c r="D160">
        <f t="shared" si="90"/>
        <v>3.980003516486037</v>
      </c>
      <c r="E160">
        <f t="shared" si="70"/>
        <v>0.59951087615244258</v>
      </c>
      <c r="F160">
        <f t="shared" si="62"/>
        <v>0.94037205060315543</v>
      </c>
      <c r="G160">
        <f t="shared" si="83"/>
        <v>1.8975183180153232</v>
      </c>
      <c r="I160">
        <v>74.807029999999997</v>
      </c>
      <c r="J160">
        <v>7.7307141695214007E-2</v>
      </c>
      <c r="K160">
        <f t="shared" si="63"/>
        <v>5.7831176680081251</v>
      </c>
      <c r="L160">
        <f t="shared" si="71"/>
        <v>-0.58758115370824981</v>
      </c>
      <c r="M160">
        <f t="shared" si="64"/>
        <v>2.1274640804638478</v>
      </c>
      <c r="N160">
        <f t="shared" si="84"/>
        <v>0.5540727481969876</v>
      </c>
      <c r="P160">
        <v>74.363439999999997</v>
      </c>
      <c r="Q160">
        <v>0.11021176885400807</v>
      </c>
      <c r="R160">
        <f t="shared" si="65"/>
        <v>8.1957262604688985</v>
      </c>
      <c r="S160">
        <f t="shared" si="72"/>
        <v>-0.43879344254570407</v>
      </c>
      <c r="T160">
        <f t="shared" si="73"/>
        <v>1.9786763693013021</v>
      </c>
      <c r="U160">
        <f t="shared" si="85"/>
        <v>0.26141162299314624</v>
      </c>
      <c r="W160">
        <v>72.577510000000004</v>
      </c>
      <c r="X160">
        <v>6.6355678516300171E-2</v>
      </c>
      <c r="Y160">
        <f t="shared" si="66"/>
        <v>4.8159299210735611</v>
      </c>
      <c r="Z160">
        <f t="shared" si="74"/>
        <v>-4.2251511956431393</v>
      </c>
      <c r="AA160">
        <f t="shared" si="75"/>
        <v>5.7650341223987374</v>
      </c>
      <c r="AB160">
        <f t="shared" si="86"/>
        <v>4.0204697670716785</v>
      </c>
      <c r="AD160">
        <v>61.937759999999997</v>
      </c>
      <c r="AE160">
        <v>0.13796227633365052</v>
      </c>
      <c r="AF160">
        <f t="shared" si="67"/>
        <v>8.5450743606073249</v>
      </c>
      <c r="AG160">
        <f t="shared" si="76"/>
        <v>7.273711655708559</v>
      </c>
      <c r="AH160">
        <f t="shared" si="77"/>
        <v>5.733828728952961</v>
      </c>
      <c r="AI160">
        <f t="shared" si="87"/>
        <v>5.733828728952961</v>
      </c>
      <c r="AK160">
        <v>95.777869999999993</v>
      </c>
      <c r="AL160">
        <v>7.5400798397740498E-2</v>
      </c>
      <c r="AM160">
        <f t="shared" si="68"/>
        <v>7.2217278668349971</v>
      </c>
      <c r="AN160">
        <f t="shared" si="78"/>
        <v>2.6983635448514676</v>
      </c>
      <c r="AO160">
        <f t="shared" si="79"/>
        <v>1.1584806180958696</v>
      </c>
      <c r="AP160">
        <f t="shared" si="88"/>
        <v>1.0635895490649583</v>
      </c>
      <c r="AR160">
        <v>83.343639999999994</v>
      </c>
      <c r="AS160">
        <v>0.48794729641867124</v>
      </c>
      <c r="AT160">
        <f t="shared" si="69"/>
        <v>40.667303811691021</v>
      </c>
      <c r="AU160">
        <f t="shared" si="80"/>
        <v>1.7288262783351938</v>
      </c>
      <c r="AV160">
        <f t="shared" si="81"/>
        <v>0.18894335157959574</v>
      </c>
      <c r="AW160">
        <f t="shared" si="89"/>
        <v>0.18894335157959574</v>
      </c>
      <c r="AY160" s="4">
        <f t="shared" si="61"/>
        <v>79.208883405169971</v>
      </c>
      <c r="AZ160">
        <f t="shared" si="82"/>
        <v>1.539882926755598</v>
      </c>
    </row>
    <row r="161" spans="1:52" x14ac:dyDescent="0.35">
      <c r="A161" s="2">
        <v>41334</v>
      </c>
      <c r="B161">
        <v>89.098969999999994</v>
      </c>
      <c r="C161">
        <v>4.4815039784415492E-2</v>
      </c>
      <c r="D161">
        <f t="shared" si="90"/>
        <v>3.9929738853004419</v>
      </c>
      <c r="E161">
        <f t="shared" si="70"/>
        <v>0.32588837574336615</v>
      </c>
      <c r="F161">
        <f t="shared" si="62"/>
        <v>1.8085436800383325</v>
      </c>
      <c r="G161">
        <f t="shared" si="83"/>
        <v>0.86817162943517712</v>
      </c>
      <c r="I161">
        <v>76.823440000000005</v>
      </c>
      <c r="J161">
        <v>7.7307141695214007E-2</v>
      </c>
      <c r="K161">
        <f t="shared" si="63"/>
        <v>5.9390005615937715</v>
      </c>
      <c r="L161">
        <f t="shared" si="71"/>
        <v>2.6954819620562454</v>
      </c>
      <c r="M161">
        <f t="shared" si="64"/>
        <v>0.56104990627454665</v>
      </c>
      <c r="N161">
        <f t="shared" si="84"/>
        <v>1.5664141741893012</v>
      </c>
      <c r="P161">
        <v>76.447460000000007</v>
      </c>
      <c r="Q161">
        <v>0.11021176885400807</v>
      </c>
      <c r="R161">
        <f t="shared" si="65"/>
        <v>8.4254097909960279</v>
      </c>
      <c r="S161">
        <f t="shared" si="72"/>
        <v>2.8024792828303946</v>
      </c>
      <c r="T161">
        <f t="shared" si="73"/>
        <v>0.6680472270486959</v>
      </c>
      <c r="U161">
        <f t="shared" si="85"/>
        <v>1.3106291422526062</v>
      </c>
      <c r="W161">
        <v>70.996380000000002</v>
      </c>
      <c r="X161">
        <v>6.6355678516300171E-2</v>
      </c>
      <c r="Y161">
        <f t="shared" si="66"/>
        <v>4.711012967101083</v>
      </c>
      <c r="Z161">
        <f t="shared" si="74"/>
        <v>-2.1785398810182377</v>
      </c>
      <c r="AA161">
        <f t="shared" si="75"/>
        <v>4.3129719367999364</v>
      </c>
      <c r="AB161">
        <f t="shared" si="86"/>
        <v>1.4208567921530246</v>
      </c>
      <c r="AD161">
        <v>66.355350000000001</v>
      </c>
      <c r="AE161">
        <v>0.13796227633365052</v>
      </c>
      <c r="AF161">
        <f t="shared" si="67"/>
        <v>9.1545351329160969</v>
      </c>
      <c r="AG161">
        <f t="shared" si="76"/>
        <v>7.1323050752884809</v>
      </c>
      <c r="AH161">
        <f t="shared" si="77"/>
        <v>4.9978730195067822</v>
      </c>
      <c r="AI161">
        <f t="shared" si="87"/>
        <v>4.9978730195067822</v>
      </c>
      <c r="AK161">
        <v>97.568669999999997</v>
      </c>
      <c r="AL161">
        <v>7.5400798397740498E-2</v>
      </c>
      <c r="AM161">
        <f t="shared" si="68"/>
        <v>7.3567556166056711</v>
      </c>
      <c r="AN161">
        <f t="shared" si="78"/>
        <v>1.8697429792497999</v>
      </c>
      <c r="AO161">
        <f t="shared" si="79"/>
        <v>0.26468907653189877</v>
      </c>
      <c r="AP161">
        <f t="shared" si="88"/>
        <v>1.2751938502236992</v>
      </c>
      <c r="AR161">
        <v>84.680980000000005</v>
      </c>
      <c r="AS161">
        <v>0.48794729641867124</v>
      </c>
      <c r="AT161">
        <f t="shared" si="69"/>
        <v>41.319855249083574</v>
      </c>
      <c r="AU161">
        <f t="shared" si="80"/>
        <v>1.6046095418918771</v>
      </c>
      <c r="AV161">
        <f t="shared" si="81"/>
        <v>0.5298225138898216</v>
      </c>
      <c r="AW161">
        <f t="shared" si="89"/>
        <v>0.5298225138898216</v>
      </c>
      <c r="AY161" s="4">
        <f t="shared" si="61"/>
        <v>80.899543203596664</v>
      </c>
      <c r="AZ161">
        <f t="shared" si="82"/>
        <v>2.1344320557816987</v>
      </c>
    </row>
    <row r="162" spans="1:52" x14ac:dyDescent="0.35">
      <c r="A162" s="2">
        <v>41365</v>
      </c>
      <c r="B162">
        <v>85.773650000000004</v>
      </c>
      <c r="C162">
        <v>4.4815039784415492E-2</v>
      </c>
      <c r="D162">
        <f t="shared" si="90"/>
        <v>3.84394953720453</v>
      </c>
      <c r="E162">
        <f t="shared" si="70"/>
        <v>-3.7321643561087026</v>
      </c>
      <c r="F162">
        <f t="shared" si="62"/>
        <v>4.3157903112411189</v>
      </c>
      <c r="G162">
        <f t="shared" si="83"/>
        <v>2.5072466312027863</v>
      </c>
      <c r="I162">
        <v>75.66122</v>
      </c>
      <c r="J162">
        <v>7.7307141695214007E-2</v>
      </c>
      <c r="K162">
        <f t="shared" si="63"/>
        <v>5.8491526553727597</v>
      </c>
      <c r="L162">
        <f t="shared" si="71"/>
        <v>-1.5128455585951439</v>
      </c>
      <c r="M162">
        <f t="shared" si="64"/>
        <v>2.0964715137275602</v>
      </c>
      <c r="N162">
        <f t="shared" si="84"/>
        <v>1.5354216074530136</v>
      </c>
      <c r="P162">
        <v>74.610209999999995</v>
      </c>
      <c r="Q162">
        <v>0.11021176885400807</v>
      </c>
      <c r="R162">
        <f t="shared" si="65"/>
        <v>8.2229232186690009</v>
      </c>
      <c r="S162">
        <f t="shared" si="72"/>
        <v>-2.4032845564784133</v>
      </c>
      <c r="T162">
        <f t="shared" si="73"/>
        <v>2.9869105116108297</v>
      </c>
      <c r="U162">
        <f t="shared" si="85"/>
        <v>2.3188632845621338</v>
      </c>
      <c r="W162">
        <v>71.330399999999997</v>
      </c>
      <c r="X162">
        <v>6.6355678516300171E-2</v>
      </c>
      <c r="Y162">
        <f t="shared" si="66"/>
        <v>4.7331770908390975</v>
      </c>
      <c r="Z162">
        <f t="shared" si="74"/>
        <v>0.47047469180823143</v>
      </c>
      <c r="AA162">
        <f t="shared" si="75"/>
        <v>0.1131512633241849</v>
      </c>
      <c r="AB162">
        <f t="shared" si="86"/>
        <v>4.8847217561825973</v>
      </c>
      <c r="AD162">
        <v>71.728260000000006</v>
      </c>
      <c r="AE162">
        <v>0.13796227633365052</v>
      </c>
      <c r="AF162">
        <f t="shared" si="67"/>
        <v>9.8957940270519327</v>
      </c>
      <c r="AG162">
        <f t="shared" si="76"/>
        <v>8.0971767913212709</v>
      </c>
      <c r="AH162">
        <f t="shared" si="77"/>
        <v>7.5135508361888546</v>
      </c>
      <c r="AI162">
        <f t="shared" si="87"/>
        <v>7.5135508361888546</v>
      </c>
      <c r="AK162">
        <v>96.489940000000004</v>
      </c>
      <c r="AL162">
        <v>7.5400798397740498E-2</v>
      </c>
      <c r="AM162">
        <f t="shared" si="68"/>
        <v>7.2754185133500773</v>
      </c>
      <c r="AN162">
        <f t="shared" si="78"/>
        <v>-1.1056110532202568</v>
      </c>
      <c r="AO162">
        <f t="shared" si="79"/>
        <v>1.6892370083526731</v>
      </c>
      <c r="AP162">
        <f t="shared" si="88"/>
        <v>0.4451950474290256</v>
      </c>
      <c r="AR162">
        <v>85.155259999999998</v>
      </c>
      <c r="AS162">
        <v>0.48794729641867124</v>
      </c>
      <c r="AT162">
        <f t="shared" si="69"/>
        <v>41.551278892829018</v>
      </c>
      <c r="AU162">
        <f t="shared" si="80"/>
        <v>0.56007854420201397</v>
      </c>
      <c r="AV162">
        <f t="shared" si="81"/>
        <v>2.3547410930402357E-2</v>
      </c>
      <c r="AW162">
        <f t="shared" si="89"/>
        <v>2.3547410930402357E-2</v>
      </c>
      <c r="AY162" s="4">
        <f t="shared" si="61"/>
        <v>81.371693935316415</v>
      </c>
      <c r="AZ162">
        <f t="shared" si="82"/>
        <v>0.58362595513241633</v>
      </c>
    </row>
    <row r="163" spans="1:52" x14ac:dyDescent="0.35">
      <c r="A163" s="2">
        <v>41395</v>
      </c>
      <c r="B163">
        <v>87.776359999999997</v>
      </c>
      <c r="C163">
        <v>4.4815039784415492E-2</v>
      </c>
      <c r="D163">
        <f t="shared" si="90"/>
        <v>3.9337010655311766</v>
      </c>
      <c r="E163">
        <f t="shared" si="70"/>
        <v>2.3348779024793709</v>
      </c>
      <c r="F163">
        <f t="shared" si="62"/>
        <v>2.4589252208851553</v>
      </c>
      <c r="G163">
        <f t="shared" si="83"/>
        <v>1.8568650903559636</v>
      </c>
      <c r="I163">
        <v>80.006360000000001</v>
      </c>
      <c r="J163">
        <v>7.7307141695214007E-2</v>
      </c>
      <c r="K163">
        <f t="shared" si="63"/>
        <v>6.1850630090383021</v>
      </c>
      <c r="L163">
        <f t="shared" si="71"/>
        <v>5.7428891577481878</v>
      </c>
      <c r="M163">
        <f t="shared" si="64"/>
        <v>0.94908603438366157</v>
      </c>
      <c r="N163">
        <f t="shared" si="84"/>
        <v>1.1473854793438987</v>
      </c>
      <c r="P163">
        <v>78.491</v>
      </c>
      <c r="Q163">
        <v>0.11021176885400807</v>
      </c>
      <c r="R163">
        <f t="shared" si="65"/>
        <v>8.6506319491199477</v>
      </c>
      <c r="S163">
        <f t="shared" si="72"/>
        <v>5.2014194840089623</v>
      </c>
      <c r="T163">
        <f t="shared" si="73"/>
        <v>0.40761636064443607</v>
      </c>
      <c r="U163">
        <f t="shared" si="85"/>
        <v>2.5792941509663936</v>
      </c>
      <c r="W163">
        <v>76.900940000000006</v>
      </c>
      <c r="X163">
        <v>6.6355678516300171E-2</v>
      </c>
      <c r="Y163">
        <f t="shared" si="66"/>
        <v>5.102814052241289</v>
      </c>
      <c r="Z163">
        <f t="shared" si="74"/>
        <v>7.8094893621794004</v>
      </c>
      <c r="AA163">
        <f t="shared" si="75"/>
        <v>3.0156862388148742</v>
      </c>
      <c r="AB163">
        <f t="shared" si="86"/>
        <v>4.4978645973739804</v>
      </c>
      <c r="AD163">
        <v>77.291989999999998</v>
      </c>
      <c r="AE163">
        <v>0.13796227633365052</v>
      </c>
      <c r="AF163">
        <f t="shared" si="67"/>
        <v>10.663378882757753</v>
      </c>
      <c r="AG163">
        <f t="shared" si="76"/>
        <v>7.7566777724707103</v>
      </c>
      <c r="AH163">
        <f t="shared" si="77"/>
        <v>2.9628746491061841</v>
      </c>
      <c r="AI163">
        <f t="shared" si="87"/>
        <v>2.9628746491061841</v>
      </c>
      <c r="AK163">
        <v>100.7186</v>
      </c>
      <c r="AL163">
        <v>7.5400798397740498E-2</v>
      </c>
      <c r="AM163">
        <f t="shared" si="68"/>
        <v>7.5942628535026655</v>
      </c>
      <c r="AN163">
        <f t="shared" si="78"/>
        <v>4.3824879567755826</v>
      </c>
      <c r="AO163">
        <f t="shared" si="79"/>
        <v>0.41131516658894363</v>
      </c>
      <c r="AP163">
        <f t="shared" si="88"/>
        <v>0.1723107885434727</v>
      </c>
      <c r="AR163">
        <v>88.416600000000003</v>
      </c>
      <c r="AS163">
        <v>0.48794729641867124</v>
      </c>
      <c r="AT163">
        <f t="shared" si="69"/>
        <v>43.142640928531087</v>
      </c>
      <c r="AU163">
        <f t="shared" si="80"/>
        <v>3.8298749836475299</v>
      </c>
      <c r="AV163">
        <f t="shared" si="81"/>
        <v>0.96392813971699631</v>
      </c>
      <c r="AW163">
        <f t="shared" si="89"/>
        <v>0.96392813971699631</v>
      </c>
      <c r="AY163" s="4">
        <f t="shared" si="61"/>
        <v>85.272492740722228</v>
      </c>
      <c r="AZ163">
        <f t="shared" si="82"/>
        <v>4.7938031233645262</v>
      </c>
    </row>
    <row r="164" spans="1:52" x14ac:dyDescent="0.35">
      <c r="A164" s="2">
        <v>41426</v>
      </c>
      <c r="B164">
        <v>85.231570000000005</v>
      </c>
      <c r="C164">
        <v>4.4815039784415492E-2</v>
      </c>
      <c r="D164">
        <f t="shared" si="90"/>
        <v>3.8196562004381942</v>
      </c>
      <c r="E164">
        <f t="shared" si="70"/>
        <v>-2.8991746752770275</v>
      </c>
      <c r="F164">
        <f t="shared" si="62"/>
        <v>1.046111395446081</v>
      </c>
      <c r="G164">
        <f t="shared" si="83"/>
        <v>1.4128138254390743</v>
      </c>
      <c r="I164">
        <v>76.867249999999999</v>
      </c>
      <c r="J164">
        <v>7.7307141695214007E-2</v>
      </c>
      <c r="K164">
        <f t="shared" si="63"/>
        <v>5.942387387471439</v>
      </c>
      <c r="L164">
        <f t="shared" si="71"/>
        <v>-3.9235755757417334</v>
      </c>
      <c r="M164">
        <f t="shared" si="64"/>
        <v>2.1710494981375117E-2</v>
      </c>
      <c r="N164">
        <f t="shared" si="84"/>
        <v>0.92737553940228645</v>
      </c>
      <c r="P164">
        <v>76.119730000000004</v>
      </c>
      <c r="Q164">
        <v>0.11021176885400807</v>
      </c>
      <c r="R164">
        <f t="shared" si="65"/>
        <v>8.3892900879895045</v>
      </c>
      <c r="S164">
        <f t="shared" si="72"/>
        <v>-3.0210724796473465</v>
      </c>
      <c r="T164">
        <f t="shared" si="73"/>
        <v>0.92421359107576206</v>
      </c>
      <c r="U164">
        <f t="shared" si="85"/>
        <v>0.51659723043132599</v>
      </c>
      <c r="W164">
        <v>72.379739999999998</v>
      </c>
      <c r="X164">
        <v>6.6355678516300171E-2</v>
      </c>
      <c r="Y164">
        <f t="shared" si="66"/>
        <v>4.802806758533392</v>
      </c>
      <c r="Z164">
        <f t="shared" si="74"/>
        <v>-5.8792519311207432</v>
      </c>
      <c r="AA164">
        <f t="shared" si="75"/>
        <v>1.9339658603976346</v>
      </c>
      <c r="AB164">
        <f t="shared" si="86"/>
        <v>1.0289087887085495</v>
      </c>
      <c r="AD164">
        <v>70.230159999999998</v>
      </c>
      <c r="AE164">
        <v>0.13796227633365052</v>
      </c>
      <c r="AF164">
        <f t="shared" si="67"/>
        <v>9.6891127408764888</v>
      </c>
      <c r="AG164">
        <f t="shared" si="76"/>
        <v>-9.1365612400457046</v>
      </c>
      <c r="AH164">
        <f t="shared" si="77"/>
        <v>5.191275169322596</v>
      </c>
      <c r="AI164">
        <f t="shared" si="87"/>
        <v>5.191275169322596</v>
      </c>
      <c r="AK164">
        <v>95.521299999999997</v>
      </c>
      <c r="AL164">
        <v>7.5400798397740498E-2</v>
      </c>
      <c r="AM164">
        <f t="shared" si="68"/>
        <v>7.2023822839900893</v>
      </c>
      <c r="AN164">
        <f t="shared" si="78"/>
        <v>-5.160218668647099</v>
      </c>
      <c r="AO164">
        <f t="shared" si="79"/>
        <v>1.2149325979239904</v>
      </c>
      <c r="AP164">
        <f t="shared" si="88"/>
        <v>3.5788705254405357</v>
      </c>
      <c r="AR164">
        <v>86.203190000000006</v>
      </c>
      <c r="AS164">
        <v>0.48794729641867124</v>
      </c>
      <c r="AT164">
        <f t="shared" si="69"/>
        <v>42.062613503165039</v>
      </c>
      <c r="AU164">
        <f t="shared" si="80"/>
        <v>-2.5033873729593759</v>
      </c>
      <c r="AV164">
        <f t="shared" si="81"/>
        <v>1.4418986977637327</v>
      </c>
      <c r="AW164">
        <f t="shared" si="89"/>
        <v>1.4418986977637327</v>
      </c>
      <c r="AY164" s="4">
        <f t="shared" si="61"/>
        <v>81.908248962464143</v>
      </c>
      <c r="AZ164">
        <f t="shared" si="82"/>
        <v>-3.9452860707231086</v>
      </c>
    </row>
    <row r="165" spans="1:52" x14ac:dyDescent="0.35">
      <c r="A165" s="2">
        <v>41456</v>
      </c>
      <c r="B165">
        <v>86.926159999999996</v>
      </c>
      <c r="C165">
        <v>4.4815039784415492E-2</v>
      </c>
      <c r="D165">
        <f t="shared" si="90"/>
        <v>3.8955993187064664</v>
      </c>
      <c r="E165">
        <f t="shared" si="70"/>
        <v>1.9882186846962746</v>
      </c>
      <c r="F165">
        <f t="shared" si="62"/>
        <v>1.089538458186956</v>
      </c>
      <c r="G165">
        <f t="shared" si="83"/>
        <v>4.3427062740875044E-2</v>
      </c>
      <c r="I165">
        <v>78.662719999999993</v>
      </c>
      <c r="J165">
        <v>7.7307141695214007E-2</v>
      </c>
      <c r="K165">
        <f t="shared" si="63"/>
        <v>6.0811900411709443</v>
      </c>
      <c r="L165">
        <f t="shared" si="71"/>
        <v>2.3358062113578937</v>
      </c>
      <c r="M165">
        <f t="shared" si="64"/>
        <v>0.74195093152533698</v>
      </c>
      <c r="N165">
        <f t="shared" si="84"/>
        <v>0.72024043654396186</v>
      </c>
      <c r="P165">
        <v>76.900509999999997</v>
      </c>
      <c r="Q165">
        <v>0.11021176885400807</v>
      </c>
      <c r="R165">
        <f t="shared" si="65"/>
        <v>8.4753412328753353</v>
      </c>
      <c r="S165">
        <f t="shared" si="72"/>
        <v>1.025726181635167</v>
      </c>
      <c r="T165">
        <f t="shared" si="73"/>
        <v>2.0520309612480636</v>
      </c>
      <c r="U165">
        <f t="shared" si="85"/>
        <v>1.1278173701723015</v>
      </c>
      <c r="W165">
        <v>72.040700000000001</v>
      </c>
      <c r="X165">
        <v>6.6355678516300171E-2</v>
      </c>
      <c r="Y165">
        <f t="shared" si="66"/>
        <v>4.7803095292892257</v>
      </c>
      <c r="Z165">
        <f t="shared" si="74"/>
        <v>-0.46841837232352024</v>
      </c>
      <c r="AA165">
        <f t="shared" si="75"/>
        <v>3.5461755152067509</v>
      </c>
      <c r="AB165">
        <f t="shared" si="86"/>
        <v>1.6450996541158451</v>
      </c>
      <c r="AD165">
        <v>76.553250000000006</v>
      </c>
      <c r="AE165">
        <v>0.13796227633365052</v>
      </c>
      <c r="AF165">
        <f t="shared" si="67"/>
        <v>10.561460630739033</v>
      </c>
      <c r="AG165">
        <f t="shared" si="76"/>
        <v>9.0033825923221613</v>
      </c>
      <c r="AH165">
        <f t="shared" si="77"/>
        <v>5.9256254494389307</v>
      </c>
      <c r="AI165">
        <f t="shared" si="87"/>
        <v>5.9256254494389307</v>
      </c>
      <c r="AK165">
        <v>98.833309999999997</v>
      </c>
      <c r="AL165">
        <v>7.5400798397740498E-2</v>
      </c>
      <c r="AM165">
        <f t="shared" si="68"/>
        <v>7.4521104822913902</v>
      </c>
      <c r="AN165">
        <f t="shared" si="78"/>
        <v>3.4672999634636437</v>
      </c>
      <c r="AO165">
        <f t="shared" si="79"/>
        <v>0.38954282058041301</v>
      </c>
      <c r="AP165">
        <f t="shared" si="88"/>
        <v>4.3348288913035216</v>
      </c>
      <c r="AR165">
        <v>88.499669999999995</v>
      </c>
      <c r="AS165">
        <v>0.48794729641867124</v>
      </c>
      <c r="AT165">
        <f t="shared" si="69"/>
        <v>43.183174710444582</v>
      </c>
      <c r="AU165">
        <f t="shared" si="80"/>
        <v>2.6640313426915974</v>
      </c>
      <c r="AV165">
        <f t="shared" si="81"/>
        <v>0.4137258001916333</v>
      </c>
      <c r="AW165">
        <f t="shared" si="89"/>
        <v>0.4137258001916333</v>
      </c>
      <c r="AY165" s="4">
        <f t="shared" si="61"/>
        <v>84.429185945516963</v>
      </c>
      <c r="AZ165">
        <f t="shared" si="82"/>
        <v>3.0777571428832307</v>
      </c>
    </row>
    <row r="166" spans="1:52" x14ac:dyDescent="0.35">
      <c r="A166" s="2">
        <v>41487</v>
      </c>
      <c r="B166">
        <v>88.023859999999999</v>
      </c>
      <c r="C166">
        <v>4.4815039784415492E-2</v>
      </c>
      <c r="D166">
        <f t="shared" si="90"/>
        <v>3.9447927878778195</v>
      </c>
      <c r="E166">
        <f t="shared" si="70"/>
        <v>1.2627959178226789</v>
      </c>
      <c r="F166">
        <f t="shared" si="62"/>
        <v>0.46275403574558283</v>
      </c>
      <c r="G166">
        <f t="shared" si="83"/>
        <v>0.62678442244137322</v>
      </c>
      <c r="I166">
        <v>82.090770000000006</v>
      </c>
      <c r="J166">
        <v>7.7307141695214007E-2</v>
      </c>
      <c r="K166">
        <f t="shared" si="63"/>
        <v>6.346202788259224</v>
      </c>
      <c r="L166">
        <f t="shared" si="71"/>
        <v>4.3579093120604151</v>
      </c>
      <c r="M166">
        <f t="shared" si="64"/>
        <v>3.5578674299833191</v>
      </c>
      <c r="N166">
        <f t="shared" si="84"/>
        <v>2.8159164984579821</v>
      </c>
      <c r="P166">
        <v>78.809100000000001</v>
      </c>
      <c r="Q166">
        <v>0.11021176885400807</v>
      </c>
      <c r="R166">
        <f t="shared" si="65"/>
        <v>8.6856903127924081</v>
      </c>
      <c r="S166">
        <f t="shared" si="72"/>
        <v>2.4818951135694656</v>
      </c>
      <c r="T166">
        <f t="shared" si="73"/>
        <v>1.6818532314923695</v>
      </c>
      <c r="U166">
        <f t="shared" si="85"/>
        <v>0.37017772975569407</v>
      </c>
      <c r="W166">
        <v>76.664330000000007</v>
      </c>
      <c r="X166">
        <v>6.6355678516300171E-2</v>
      </c>
      <c r="Y166">
        <f t="shared" si="66"/>
        <v>5.0871136351475474</v>
      </c>
      <c r="Z166">
        <f t="shared" si="74"/>
        <v>6.4180803351438831</v>
      </c>
      <c r="AA166">
        <f t="shared" si="75"/>
        <v>5.6180384530667871</v>
      </c>
      <c r="AB166">
        <f t="shared" si="86"/>
        <v>0.3075869963721436</v>
      </c>
      <c r="AD166">
        <v>73.836169999999996</v>
      </c>
      <c r="AE166">
        <v>0.13796227633365052</v>
      </c>
      <c r="AF166">
        <f t="shared" si="67"/>
        <v>10.186606088958396</v>
      </c>
      <c r="AG166">
        <f t="shared" si="76"/>
        <v>-3.5492679931942939</v>
      </c>
      <c r="AH166">
        <f t="shared" si="77"/>
        <v>4.3493098752713895</v>
      </c>
      <c r="AI166">
        <f t="shared" si="87"/>
        <v>4.3493098752713895</v>
      </c>
      <c r="AK166">
        <v>98.868030000000005</v>
      </c>
      <c r="AL166">
        <v>7.5400798397740498E-2</v>
      </c>
      <c r="AM166">
        <f t="shared" si="68"/>
        <v>7.4547283980117598</v>
      </c>
      <c r="AN166">
        <f t="shared" si="78"/>
        <v>3.5129856523075098E-2</v>
      </c>
      <c r="AO166">
        <f t="shared" si="79"/>
        <v>0.76491202555402094</v>
      </c>
      <c r="AP166">
        <f t="shared" si="88"/>
        <v>2.3128451173292097</v>
      </c>
      <c r="AR166">
        <v>88.943049999999999</v>
      </c>
      <c r="AS166">
        <v>0.48794729641867124</v>
      </c>
      <c r="AT166">
        <f t="shared" si="69"/>
        <v>43.399520782730697</v>
      </c>
      <c r="AU166">
        <f t="shared" si="80"/>
        <v>0.50099621840398179</v>
      </c>
      <c r="AV166">
        <f t="shared" si="81"/>
        <v>0.29904566367311425</v>
      </c>
      <c r="AW166">
        <f t="shared" si="89"/>
        <v>0.29904566367311425</v>
      </c>
      <c r="AY166" s="4">
        <f t="shared" si="61"/>
        <v>85.10465479377784</v>
      </c>
      <c r="AZ166">
        <f t="shared" si="82"/>
        <v>0.80004188207709603</v>
      </c>
    </row>
    <row r="167" spans="1:52" x14ac:dyDescent="0.35">
      <c r="A167" s="2">
        <v>41518</v>
      </c>
      <c r="B167">
        <v>89.343680000000006</v>
      </c>
      <c r="C167">
        <v>4.4815039784415492E-2</v>
      </c>
      <c r="D167">
        <f t="shared" si="90"/>
        <v>4.0039405736860871</v>
      </c>
      <c r="E167">
        <f t="shared" si="70"/>
        <v>1.4993889156871942</v>
      </c>
      <c r="F167">
        <f t="shared" si="62"/>
        <v>0.18954024431261374</v>
      </c>
      <c r="G167">
        <f t="shared" si="83"/>
        <v>0.27321379143296909</v>
      </c>
      <c r="I167">
        <v>83.632239999999996</v>
      </c>
      <c r="J167">
        <v>7.7307141695214007E-2</v>
      </c>
      <c r="K167">
        <f t="shared" si="63"/>
        <v>6.4653694279681444</v>
      </c>
      <c r="L167">
        <f t="shared" si="71"/>
        <v>1.8777628715140438</v>
      </c>
      <c r="M167">
        <f t="shared" si="64"/>
        <v>0.18883371151423578</v>
      </c>
      <c r="N167">
        <f t="shared" si="84"/>
        <v>3.3690337184690833</v>
      </c>
      <c r="P167">
        <v>80.345600000000005</v>
      </c>
      <c r="Q167">
        <v>0.11021176885400807</v>
      </c>
      <c r="R167">
        <f t="shared" si="65"/>
        <v>8.8550306956365912</v>
      </c>
      <c r="S167">
        <f t="shared" si="72"/>
        <v>1.9496479467472794</v>
      </c>
      <c r="T167">
        <f t="shared" si="73"/>
        <v>0.2607187867474714</v>
      </c>
      <c r="U167">
        <f t="shared" si="85"/>
        <v>1.4211344447448981</v>
      </c>
      <c r="W167">
        <v>78.368189999999998</v>
      </c>
      <c r="X167">
        <v>6.6355678516300171E-2</v>
      </c>
      <c r="Y167">
        <f t="shared" si="66"/>
        <v>5.2001744215443297</v>
      </c>
      <c r="Z167">
        <f t="shared" si="74"/>
        <v>2.2224938247030757</v>
      </c>
      <c r="AA167">
        <f t="shared" si="75"/>
        <v>0.53356466470326769</v>
      </c>
      <c r="AB167">
        <f t="shared" si="86"/>
        <v>3.8157452105681218</v>
      </c>
      <c r="AD167">
        <v>76.502979999999994</v>
      </c>
      <c r="AE167">
        <v>0.13796227633365052</v>
      </c>
      <c r="AF167">
        <f t="shared" si="67"/>
        <v>10.554525267107739</v>
      </c>
      <c r="AG167">
        <f t="shared" si="76"/>
        <v>3.6117935152920388</v>
      </c>
      <c r="AH167">
        <f t="shared" si="77"/>
        <v>1.9228643552922309</v>
      </c>
      <c r="AI167">
        <f t="shared" si="87"/>
        <v>1.9228643552922309</v>
      </c>
      <c r="AK167">
        <v>99.3566</v>
      </c>
      <c r="AL167">
        <v>7.5400798397740498E-2</v>
      </c>
      <c r="AM167">
        <f t="shared" si="68"/>
        <v>7.4915669660849433</v>
      </c>
      <c r="AN167">
        <f t="shared" si="78"/>
        <v>0.4941637858061787</v>
      </c>
      <c r="AO167">
        <f t="shared" si="79"/>
        <v>1.1947653741936293</v>
      </c>
      <c r="AP167">
        <f t="shared" si="88"/>
        <v>0.39472349211653324</v>
      </c>
      <c r="AR167">
        <v>90.115070000000003</v>
      </c>
      <c r="AS167">
        <v>0.48794729641867124</v>
      </c>
      <c r="AT167">
        <f t="shared" si="69"/>
        <v>43.971404773079307</v>
      </c>
      <c r="AU167">
        <f t="shared" si="80"/>
        <v>1.317719596978062</v>
      </c>
      <c r="AV167">
        <f t="shared" si="81"/>
        <v>0.37120956302174601</v>
      </c>
      <c r="AW167">
        <f t="shared" si="89"/>
        <v>0.37120956302174601</v>
      </c>
      <c r="AY167" s="4">
        <f t="shared" si="61"/>
        <v>86.542012125107135</v>
      </c>
      <c r="AZ167">
        <f t="shared" si="82"/>
        <v>1.688929159999808</v>
      </c>
    </row>
    <row r="168" spans="1:52" x14ac:dyDescent="0.35">
      <c r="A168" s="2">
        <v>41548</v>
      </c>
      <c r="B168">
        <v>91.013589999999994</v>
      </c>
      <c r="C168">
        <v>4.4815039784415492E-2</v>
      </c>
      <c r="D168">
        <f t="shared" si="90"/>
        <v>4.0787776567724796</v>
      </c>
      <c r="E168">
        <f t="shared" si="70"/>
        <v>1.8690857596194599</v>
      </c>
      <c r="F168">
        <f t="shared" si="62"/>
        <v>0.36672011467793197</v>
      </c>
      <c r="G168">
        <f t="shared" si="83"/>
        <v>0.17717987036531824</v>
      </c>
      <c r="I168">
        <v>85.820400000000006</v>
      </c>
      <c r="J168">
        <v>7.7307141695214007E-2</v>
      </c>
      <c r="K168">
        <f t="shared" si="63"/>
        <v>6.6345298231399443</v>
      </c>
      <c r="L168">
        <f t="shared" si="71"/>
        <v>2.6164072611232436</v>
      </c>
      <c r="M168">
        <f t="shared" si="64"/>
        <v>0.38060138682585176</v>
      </c>
      <c r="N168">
        <f t="shared" si="84"/>
        <v>0.19176767531161598</v>
      </c>
      <c r="P168">
        <v>83.175700000000006</v>
      </c>
      <c r="Q168">
        <v>0.11021176885400807</v>
      </c>
      <c r="R168">
        <f t="shared" si="65"/>
        <v>9.1669410226703203</v>
      </c>
      <c r="S168">
        <f t="shared" si="72"/>
        <v>3.5224081965907317</v>
      </c>
      <c r="T168">
        <f t="shared" si="73"/>
        <v>1.2866023222933398</v>
      </c>
      <c r="U168">
        <f t="shared" si="85"/>
        <v>1.0258835355458684</v>
      </c>
      <c r="W168">
        <v>83.434110000000004</v>
      </c>
      <c r="X168">
        <v>6.6355678516300171E-2</v>
      </c>
      <c r="Y168">
        <f t="shared" si="66"/>
        <v>5.5363269804536257</v>
      </c>
      <c r="Z168">
        <f t="shared" si="74"/>
        <v>6.4642554587518219</v>
      </c>
      <c r="AA168">
        <f t="shared" si="75"/>
        <v>4.2284495844544301</v>
      </c>
      <c r="AB168">
        <f t="shared" si="86"/>
        <v>2.3055852291621992</v>
      </c>
      <c r="AD168">
        <v>76.638339999999999</v>
      </c>
      <c r="AE168">
        <v>0.13796227633365052</v>
      </c>
      <c r="AF168">
        <f t="shared" si="67"/>
        <v>10.573199840832261</v>
      </c>
      <c r="AG168">
        <f t="shared" si="76"/>
        <v>0.17693428412854928</v>
      </c>
      <c r="AH168">
        <f t="shared" si="77"/>
        <v>2.0588715901688426</v>
      </c>
      <c r="AI168">
        <f t="shared" si="87"/>
        <v>2.0588715901688426</v>
      </c>
      <c r="AK168">
        <v>99.653499999999994</v>
      </c>
      <c r="AL168">
        <v>7.5400798397740498E-2</v>
      </c>
      <c r="AM168">
        <f t="shared" si="68"/>
        <v>7.5139534631292326</v>
      </c>
      <c r="AN168">
        <f t="shared" si="78"/>
        <v>0.29882262476774724</v>
      </c>
      <c r="AO168">
        <f t="shared" si="79"/>
        <v>1.9369832495296446</v>
      </c>
      <c r="AP168">
        <f t="shared" si="88"/>
        <v>0.24805408952983665</v>
      </c>
      <c r="AR168">
        <v>92.168139999999994</v>
      </c>
      <c r="AS168">
        <v>0.48794729641867124</v>
      </c>
      <c r="AT168">
        <f t="shared" si="69"/>
        <v>44.973194728937585</v>
      </c>
      <c r="AU168">
        <f t="shared" si="80"/>
        <v>2.2782759864692803</v>
      </c>
      <c r="AV168">
        <f t="shared" si="81"/>
        <v>4.2470112171888452E-2</v>
      </c>
      <c r="AW168">
        <f t="shared" si="89"/>
        <v>4.2470112171888452E-2</v>
      </c>
      <c r="AY168" s="4">
        <f t="shared" si="61"/>
        <v>88.476923515935439</v>
      </c>
      <c r="AZ168">
        <f t="shared" si="82"/>
        <v>2.2358058742973919</v>
      </c>
    </row>
    <row r="169" spans="1:52" x14ac:dyDescent="0.35">
      <c r="A169" s="2">
        <v>41579</v>
      </c>
      <c r="B169">
        <v>93.423509999999993</v>
      </c>
      <c r="C169">
        <v>4.4815039784415492E-2</v>
      </c>
      <c r="D169">
        <f t="shared" si="90"/>
        <v>4.1867783174497379</v>
      </c>
      <c r="E169">
        <f t="shared" si="70"/>
        <v>2.6478683018656968</v>
      </c>
      <c r="F169">
        <f t="shared" si="62"/>
        <v>3.8357655008725011E-2</v>
      </c>
      <c r="G169">
        <f t="shared" si="83"/>
        <v>0.32836245966920696</v>
      </c>
      <c r="I169">
        <v>87.058679999999995</v>
      </c>
      <c r="J169">
        <v>7.7307141695214007E-2</v>
      </c>
      <c r="K169">
        <f t="shared" si="63"/>
        <v>6.730257710558293</v>
      </c>
      <c r="L169">
        <f t="shared" si="71"/>
        <v>1.4428737223317389</v>
      </c>
      <c r="M169">
        <f t="shared" si="64"/>
        <v>1.1666369245252328</v>
      </c>
      <c r="N169">
        <f t="shared" si="84"/>
        <v>0.78603553769938106</v>
      </c>
      <c r="P169">
        <v>86.68056</v>
      </c>
      <c r="Q169">
        <v>0.11021176885400807</v>
      </c>
      <c r="R169">
        <f t="shared" si="65"/>
        <v>9.5532178428559789</v>
      </c>
      <c r="S169">
        <f t="shared" si="72"/>
        <v>4.2138028294321561</v>
      </c>
      <c r="T169">
        <f t="shared" si="73"/>
        <v>1.6042921825751844</v>
      </c>
      <c r="U169">
        <f t="shared" si="85"/>
        <v>0.31768986028184454</v>
      </c>
      <c r="W169">
        <v>84.680220000000006</v>
      </c>
      <c r="X169">
        <v>6.6355678516300171E-2</v>
      </c>
      <c r="Y169">
        <f t="shared" si="66"/>
        <v>5.6190134550095721</v>
      </c>
      <c r="Z169">
        <f t="shared" si="74"/>
        <v>1.4935258493198988</v>
      </c>
      <c r="AA169">
        <f t="shared" si="75"/>
        <v>1.1159847975370729</v>
      </c>
      <c r="AB169">
        <f t="shared" si="86"/>
        <v>0.94288679263176967</v>
      </c>
      <c r="AD169">
        <v>78.708219999999997</v>
      </c>
      <c r="AE169">
        <v>0.13796227633365052</v>
      </c>
      <c r="AF169">
        <f t="shared" si="67"/>
        <v>10.858765197369758</v>
      </c>
      <c r="AG169">
        <f t="shared" si="76"/>
        <v>2.7008413804370024</v>
      </c>
      <c r="AH169">
        <f t="shared" si="77"/>
        <v>9.1330733580030632E-2</v>
      </c>
      <c r="AI169">
        <f t="shared" si="87"/>
        <v>9.1330733580030632E-2</v>
      </c>
      <c r="AK169">
        <v>101.50920000000001</v>
      </c>
      <c r="AL169">
        <v>7.5400798397740498E-2</v>
      </c>
      <c r="AM169">
        <f t="shared" si="68"/>
        <v>7.6538747247159202</v>
      </c>
      <c r="AN169">
        <f t="shared" si="78"/>
        <v>1.8621523579201993</v>
      </c>
      <c r="AO169">
        <f t="shared" si="79"/>
        <v>0.74735828893677247</v>
      </c>
      <c r="AP169">
        <f t="shared" si="88"/>
        <v>1.4884475853606194</v>
      </c>
      <c r="AR169">
        <v>94.64922</v>
      </c>
      <c r="AS169">
        <v>0.48794729641867124</v>
      </c>
      <c r="AT169">
        <f t="shared" si="69"/>
        <v>46.183831007136028</v>
      </c>
      <c r="AU169">
        <f t="shared" si="80"/>
        <v>2.6919063355298256</v>
      </c>
      <c r="AV169">
        <f t="shared" si="81"/>
        <v>8.2395688672853851E-2</v>
      </c>
      <c r="AW169">
        <f t="shared" si="89"/>
        <v>8.2395688672853851E-2</v>
      </c>
      <c r="AY169" s="4">
        <f t="shared" si="61"/>
        <v>90.785738255095282</v>
      </c>
      <c r="AZ169">
        <f t="shared" si="82"/>
        <v>2.6095106468569718</v>
      </c>
    </row>
    <row r="170" spans="1:52" x14ac:dyDescent="0.35">
      <c r="A170" s="2">
        <v>41609</v>
      </c>
      <c r="B170">
        <v>93.140010000000004</v>
      </c>
      <c r="C170">
        <v>4.4815039784415492E-2</v>
      </c>
      <c r="D170">
        <f t="shared" si="90"/>
        <v>4.1740732536708567</v>
      </c>
      <c r="E170">
        <f t="shared" si="70"/>
        <v>-0.30345680653616203</v>
      </c>
      <c r="F170">
        <f t="shared" si="62"/>
        <v>0.52990774906043203</v>
      </c>
      <c r="G170">
        <f t="shared" si="83"/>
        <v>0.49155009405170702</v>
      </c>
      <c r="I170">
        <v>85.145750000000007</v>
      </c>
      <c r="J170">
        <v>7.7307141695214007E-2</v>
      </c>
      <c r="K170">
        <f t="shared" si="63"/>
        <v>6.5823745599952685</v>
      </c>
      <c r="L170">
        <f t="shared" si="71"/>
        <v>-2.1972880820154694</v>
      </c>
      <c r="M170">
        <f t="shared" si="64"/>
        <v>2.4237390245397394</v>
      </c>
      <c r="N170">
        <f t="shared" si="84"/>
        <v>1.2571021000145066</v>
      </c>
      <c r="P170">
        <v>87.573160000000001</v>
      </c>
      <c r="Q170">
        <v>0.11021176885400807</v>
      </c>
      <c r="R170">
        <f t="shared" si="65"/>
        <v>9.6515928677350651</v>
      </c>
      <c r="S170">
        <f t="shared" si="72"/>
        <v>1.0297579987946559</v>
      </c>
      <c r="T170">
        <f t="shared" si="73"/>
        <v>0.8033070562703859</v>
      </c>
      <c r="U170">
        <f t="shared" si="85"/>
        <v>0.80098512630479846</v>
      </c>
      <c r="W170">
        <v>82.549549999999996</v>
      </c>
      <c r="X170">
        <v>6.6355678516300171E-2</v>
      </c>
      <c r="Y170">
        <f t="shared" si="66"/>
        <v>5.4776314014652465</v>
      </c>
      <c r="Z170">
        <f t="shared" si="74"/>
        <v>-2.5161365901033461</v>
      </c>
      <c r="AA170">
        <f t="shared" si="75"/>
        <v>2.7425875326276161</v>
      </c>
      <c r="AB170">
        <f t="shared" si="86"/>
        <v>2.6512567990475855</v>
      </c>
      <c r="AD170">
        <v>81.025630000000007</v>
      </c>
      <c r="AE170">
        <v>0.13796227633365052</v>
      </c>
      <c r="AF170">
        <f t="shared" si="67"/>
        <v>11.178480356168125</v>
      </c>
      <c r="AG170">
        <f t="shared" si="76"/>
        <v>2.9443049277445343</v>
      </c>
      <c r="AH170">
        <f t="shared" si="77"/>
        <v>2.7178539852202643</v>
      </c>
      <c r="AI170">
        <f t="shared" si="87"/>
        <v>2.7178539852202643</v>
      </c>
      <c r="AK170">
        <v>99.836219999999997</v>
      </c>
      <c r="AL170">
        <v>7.5400798397740498E-2</v>
      </c>
      <c r="AM170">
        <f t="shared" si="68"/>
        <v>7.5277306970124673</v>
      </c>
      <c r="AN170">
        <f t="shared" si="78"/>
        <v>-1.6481067725881093</v>
      </c>
      <c r="AO170">
        <f t="shared" si="79"/>
        <v>1.8745577151123793</v>
      </c>
      <c r="AP170">
        <f t="shared" si="88"/>
        <v>0.73495293174459242</v>
      </c>
      <c r="AR170">
        <v>95.091089999999994</v>
      </c>
      <c r="AS170">
        <v>0.48794729641867124</v>
      </c>
      <c r="AT170">
        <f t="shared" si="69"/>
        <v>46.399440279004544</v>
      </c>
      <c r="AU170">
        <f t="shared" si="80"/>
        <v>0.46685012301210804</v>
      </c>
      <c r="AV170">
        <f t="shared" si="81"/>
        <v>0.24039918048783804</v>
      </c>
      <c r="AW170">
        <f t="shared" si="89"/>
        <v>0.24039918048783804</v>
      </c>
      <c r="AY170" s="4">
        <f t="shared" si="61"/>
        <v>90.991323415051568</v>
      </c>
      <c r="AZ170">
        <f t="shared" si="82"/>
        <v>0.22645094252427</v>
      </c>
    </row>
    <row r="171" spans="1:52" x14ac:dyDescent="0.35">
      <c r="A171" s="2">
        <v>41640</v>
      </c>
      <c r="B171">
        <v>95.706500000000005</v>
      </c>
      <c r="C171">
        <v>4.5268018332121081E-2</v>
      </c>
      <c r="D171">
        <f t="shared" si="90"/>
        <v>4.332443596503146</v>
      </c>
      <c r="E171">
        <f t="shared" si="70"/>
        <v>2.7555182783424614</v>
      </c>
      <c r="F171">
        <f t="shared" si="62"/>
        <v>0.9261072256886882</v>
      </c>
      <c r="G171">
        <f t="shared" si="83"/>
        <v>0.39619947662825616</v>
      </c>
      <c r="I171">
        <v>87.083950000000002</v>
      </c>
      <c r="J171">
        <v>7.6633182176228262E-2</v>
      </c>
      <c r="K171">
        <f t="shared" si="63"/>
        <v>6.6735202049755529</v>
      </c>
      <c r="L171">
        <f t="shared" si="71"/>
        <v>2.2763320541541843</v>
      </c>
      <c r="M171">
        <f t="shared" si="64"/>
        <v>0.44692100150041103</v>
      </c>
      <c r="N171">
        <f t="shared" si="84"/>
        <v>1.9768180230393284</v>
      </c>
      <c r="P171">
        <v>89.848039999999997</v>
      </c>
      <c r="Q171">
        <v>0.11060728757762926</v>
      </c>
      <c r="R171">
        <f t="shared" si="65"/>
        <v>9.9378479985663368</v>
      </c>
      <c r="S171">
        <f t="shared" si="72"/>
        <v>2.5976908906792939</v>
      </c>
      <c r="T171">
        <f t="shared" si="73"/>
        <v>0.76827983802552069</v>
      </c>
      <c r="U171">
        <f t="shared" si="85"/>
        <v>3.502721824486521E-2</v>
      </c>
      <c r="W171">
        <v>87.254649999999998</v>
      </c>
      <c r="X171">
        <v>6.5151236934790649E-2</v>
      </c>
      <c r="Y171">
        <f t="shared" si="66"/>
        <v>5.684748375812231</v>
      </c>
      <c r="Z171">
        <f t="shared" si="74"/>
        <v>5.6997282238364644</v>
      </c>
      <c r="AA171">
        <f t="shared" si="75"/>
        <v>3.8703171711826911</v>
      </c>
      <c r="AB171">
        <f t="shared" si="86"/>
        <v>1.1524631859624268</v>
      </c>
      <c r="AD171">
        <v>82.493440000000007</v>
      </c>
      <c r="AE171">
        <v>0.13586549502827189</v>
      </c>
      <c r="AF171">
        <f t="shared" si="67"/>
        <v>11.208012062185047</v>
      </c>
      <c r="AG171">
        <f t="shared" si="76"/>
        <v>1.8115379047345836</v>
      </c>
      <c r="AH171">
        <f t="shared" si="77"/>
        <v>1.7873147919189591E-2</v>
      </c>
      <c r="AI171">
        <f t="shared" si="87"/>
        <v>1.7873147919189591E-2</v>
      </c>
      <c r="AK171">
        <v>101.8433</v>
      </c>
      <c r="AL171">
        <v>7.6401557863256392E-2</v>
      </c>
      <c r="AM171">
        <f t="shared" si="68"/>
        <v>7.7809867779349799</v>
      </c>
      <c r="AN171">
        <f t="shared" si="78"/>
        <v>2.0103725882250068</v>
      </c>
      <c r="AO171">
        <f t="shared" si="79"/>
        <v>0.18096153557123351</v>
      </c>
      <c r="AP171">
        <f t="shared" si="88"/>
        <v>4.5489406953036493E-2</v>
      </c>
      <c r="AR171">
        <v>95.982330000000005</v>
      </c>
      <c r="AS171">
        <v>0.49007322208770249</v>
      </c>
      <c r="AT171">
        <f t="shared" si="69"/>
        <v>47.038369726585152</v>
      </c>
      <c r="AU171">
        <f t="shared" si="80"/>
        <v>0.9372486949092762</v>
      </c>
      <c r="AV171">
        <f t="shared" si="81"/>
        <v>0.89216235774449704</v>
      </c>
      <c r="AW171">
        <f t="shared" si="89"/>
        <v>0.89216235774449704</v>
      </c>
      <c r="AY171" s="4">
        <f t="shared" si="61"/>
        <v>92.655928742562452</v>
      </c>
      <c r="AZ171">
        <f t="shared" si="82"/>
        <v>1.8294110526537732</v>
      </c>
    </row>
    <row r="172" spans="1:52" x14ac:dyDescent="0.35">
      <c r="A172" s="2">
        <v>41671</v>
      </c>
      <c r="B172">
        <v>97.418809999999993</v>
      </c>
      <c r="C172">
        <v>4.5268018332121081E-2</v>
      </c>
      <c r="D172">
        <f t="shared" si="90"/>
        <v>4.4099564769734201</v>
      </c>
      <c r="E172">
        <f t="shared" si="70"/>
        <v>1.7891261304091133</v>
      </c>
      <c r="F172">
        <f t="shared" si="62"/>
        <v>2.5732694735637995</v>
      </c>
      <c r="G172">
        <f t="shared" si="83"/>
        <v>1.6471622478751113</v>
      </c>
      <c r="I172">
        <v>88.277879999999996</v>
      </c>
      <c r="J172">
        <v>7.6633182176228262E-2</v>
      </c>
      <c r="K172">
        <f t="shared" si="63"/>
        <v>6.7650148601712168</v>
      </c>
      <c r="L172">
        <f t="shared" si="71"/>
        <v>1.3710103871034773</v>
      </c>
      <c r="M172">
        <f t="shared" si="64"/>
        <v>2.1551537302581636</v>
      </c>
      <c r="N172">
        <f t="shared" si="84"/>
        <v>1.7082327287577526</v>
      </c>
      <c r="P172">
        <v>89.747789999999995</v>
      </c>
      <c r="Q172">
        <v>0.11060728757762926</v>
      </c>
      <c r="R172">
        <f t="shared" si="65"/>
        <v>9.9267596179866793</v>
      </c>
      <c r="S172">
        <f t="shared" si="72"/>
        <v>-0.11157728092899832</v>
      </c>
      <c r="T172">
        <f t="shared" si="73"/>
        <v>0.67256606222568793</v>
      </c>
      <c r="U172">
        <f t="shared" si="85"/>
        <v>9.5713775799832757E-2</v>
      </c>
      <c r="W172">
        <v>89.323520000000002</v>
      </c>
      <c r="X172">
        <v>6.5151236934790649E-2</v>
      </c>
      <c r="Y172">
        <f t="shared" si="66"/>
        <v>5.819537815369511</v>
      </c>
      <c r="Z172">
        <f t="shared" si="74"/>
        <v>2.3710713411835505</v>
      </c>
      <c r="AA172">
        <f t="shared" si="75"/>
        <v>3.1552146843382367</v>
      </c>
      <c r="AB172">
        <f t="shared" si="86"/>
        <v>3.1373415364190471</v>
      </c>
      <c r="AD172">
        <v>77.418980000000005</v>
      </c>
      <c r="AE172">
        <v>0.13586549502827189</v>
      </c>
      <c r="AF172">
        <f t="shared" si="67"/>
        <v>10.518568042283881</v>
      </c>
      <c r="AG172">
        <f t="shared" si="76"/>
        <v>-6.1513497315665351</v>
      </c>
      <c r="AH172">
        <f t="shared" si="77"/>
        <v>5.3672063884118488</v>
      </c>
      <c r="AI172">
        <f t="shared" si="87"/>
        <v>5.3672063884118488</v>
      </c>
      <c r="AK172">
        <v>101.4896</v>
      </c>
      <c r="AL172">
        <v>7.6401557863256392E-2</v>
      </c>
      <c r="AM172">
        <f t="shared" si="68"/>
        <v>7.7539635469187456</v>
      </c>
      <c r="AN172">
        <f t="shared" si="78"/>
        <v>-0.34729825133318348</v>
      </c>
      <c r="AO172">
        <f t="shared" si="79"/>
        <v>0.43684509182150277</v>
      </c>
      <c r="AP172">
        <f t="shared" si="88"/>
        <v>1.3925659608322705</v>
      </c>
      <c r="AR172">
        <v>95.364469999999997</v>
      </c>
      <c r="AS172">
        <v>0.49007322208770249</v>
      </c>
      <c r="AT172">
        <f t="shared" si="69"/>
        <v>46.73557308558604</v>
      </c>
      <c r="AU172">
        <f t="shared" si="80"/>
        <v>-0.6437226518672845</v>
      </c>
      <c r="AV172">
        <f t="shared" si="81"/>
        <v>0.14042069128740176</v>
      </c>
      <c r="AW172">
        <f t="shared" si="89"/>
        <v>0.14042069128740176</v>
      </c>
      <c r="AY172" s="4">
        <f t="shared" si="61"/>
        <v>91.9293734452895</v>
      </c>
      <c r="AZ172">
        <f t="shared" si="82"/>
        <v>-0.78414334315468626</v>
      </c>
    </row>
    <row r="173" spans="1:52" x14ac:dyDescent="0.35">
      <c r="A173" s="2">
        <v>41699</v>
      </c>
      <c r="B173">
        <v>99.597329999999999</v>
      </c>
      <c r="C173">
        <v>4.5268018332121081E-2</v>
      </c>
      <c r="D173">
        <f t="shared" si="90"/>
        <v>4.5085737602703126</v>
      </c>
      <c r="E173">
        <f t="shared" si="70"/>
        <v>2.2362416457355705</v>
      </c>
      <c r="F173">
        <f t="shared" si="62"/>
        <v>0.98145246981755641</v>
      </c>
      <c r="G173">
        <f t="shared" si="83"/>
        <v>1.5918170037462431</v>
      </c>
      <c r="I173">
        <v>89.463750000000005</v>
      </c>
      <c r="J173">
        <v>7.6633182176228262E-2</v>
      </c>
      <c r="K173">
        <f t="shared" si="63"/>
        <v>6.8558918519185417</v>
      </c>
      <c r="L173">
        <f t="shared" si="71"/>
        <v>1.3433376515158857</v>
      </c>
      <c r="M173">
        <f t="shared" si="64"/>
        <v>8.8548475597871601E-2</v>
      </c>
      <c r="N173">
        <f t="shared" si="84"/>
        <v>2.066605254660292</v>
      </c>
      <c r="P173">
        <v>88.255619999999993</v>
      </c>
      <c r="Q173">
        <v>0.11060728757762926</v>
      </c>
      <c r="R173">
        <f t="shared" si="65"/>
        <v>9.7617147416819687</v>
      </c>
      <c r="S173">
        <f t="shared" si="72"/>
        <v>-1.6626258986432996</v>
      </c>
      <c r="T173">
        <f t="shared" si="73"/>
        <v>2.9174150745613137</v>
      </c>
      <c r="U173">
        <f t="shared" si="85"/>
        <v>2.2448490123356257</v>
      </c>
      <c r="W173">
        <v>93.090299999999999</v>
      </c>
      <c r="X173">
        <v>6.5151236934790649E-2</v>
      </c>
      <c r="Y173">
        <f t="shared" si="66"/>
        <v>6.0649481916307417</v>
      </c>
      <c r="Z173">
        <f t="shared" si="74"/>
        <v>4.2170080175971458</v>
      </c>
      <c r="AA173">
        <f t="shared" si="75"/>
        <v>2.9622188416791317</v>
      </c>
      <c r="AB173">
        <f t="shared" si="86"/>
        <v>2.4049875467327171</v>
      </c>
      <c r="AD173">
        <v>76.609340000000003</v>
      </c>
      <c r="AE173">
        <v>0.13586549502827189</v>
      </c>
      <c r="AF173">
        <f t="shared" si="67"/>
        <v>10.40856590288919</v>
      </c>
      <c r="AG173">
        <f t="shared" si="76"/>
        <v>-1.0457900633668915</v>
      </c>
      <c r="AH173">
        <f t="shared" si="77"/>
        <v>2.3005792392849056</v>
      </c>
      <c r="AI173">
        <f t="shared" si="87"/>
        <v>2.3005792392849056</v>
      </c>
      <c r="AK173">
        <v>100.5595</v>
      </c>
      <c r="AL173">
        <v>7.6401557863256392E-2</v>
      </c>
      <c r="AM173">
        <f t="shared" si="68"/>
        <v>7.6829024579501315</v>
      </c>
      <c r="AN173">
        <f t="shared" si="78"/>
        <v>-0.91644858192365675</v>
      </c>
      <c r="AO173">
        <f t="shared" si="79"/>
        <v>2.1712377578416708</v>
      </c>
      <c r="AP173">
        <f t="shared" si="88"/>
        <v>2.9553811009963571</v>
      </c>
      <c r="AR173">
        <v>97.537049999999994</v>
      </c>
      <c r="AS173">
        <v>0.49007322208770249</v>
      </c>
      <c r="AT173">
        <f t="shared" si="69"/>
        <v>47.800296366429336</v>
      </c>
      <c r="AU173">
        <f t="shared" si="80"/>
        <v>2.2781859952663686</v>
      </c>
      <c r="AV173">
        <f t="shared" si="81"/>
        <v>1.0233968193483545</v>
      </c>
      <c r="AW173">
        <f t="shared" si="89"/>
        <v>1.0233968193483545</v>
      </c>
      <c r="AY173" s="4">
        <f t="shared" si="61"/>
        <v>93.082893272770235</v>
      </c>
      <c r="AZ173">
        <f t="shared" si="82"/>
        <v>1.2547891759180141</v>
      </c>
    </row>
    <row r="174" spans="1:52" x14ac:dyDescent="0.35">
      <c r="A174" s="2">
        <v>41730</v>
      </c>
      <c r="B174">
        <v>100.72629999999999</v>
      </c>
      <c r="C174">
        <v>4.5268018332121081E-2</v>
      </c>
      <c r="D174">
        <f t="shared" si="90"/>
        <v>4.5596799949267277</v>
      </c>
      <c r="E174">
        <f t="shared" si="70"/>
        <v>1.1335344029804739</v>
      </c>
      <c r="F174">
        <f t="shared" si="62"/>
        <v>0.24665938169663448</v>
      </c>
      <c r="G174">
        <f t="shared" si="83"/>
        <v>0.73479308812092192</v>
      </c>
      <c r="I174">
        <v>91.35033</v>
      </c>
      <c r="J174">
        <v>7.6633182176228262E-2</v>
      </c>
      <c r="K174">
        <f t="shared" si="63"/>
        <v>7.0004664807485701</v>
      </c>
      <c r="L174">
        <f t="shared" si="71"/>
        <v>2.1087647231420537</v>
      </c>
      <c r="M174">
        <f t="shared" si="64"/>
        <v>1.2218897018582142</v>
      </c>
      <c r="N174">
        <f t="shared" si="84"/>
        <v>1.1333412262603426</v>
      </c>
      <c r="P174">
        <v>89.138580000000005</v>
      </c>
      <c r="Q174">
        <v>0.11060728757762926</v>
      </c>
      <c r="R174">
        <f t="shared" si="65"/>
        <v>9.8593765523215122</v>
      </c>
      <c r="S174">
        <f t="shared" si="72"/>
        <v>1.0004575346023392</v>
      </c>
      <c r="T174">
        <f t="shared" si="73"/>
        <v>0.11358251331849978</v>
      </c>
      <c r="U174">
        <f t="shared" si="85"/>
        <v>2.8038325612428139</v>
      </c>
      <c r="W174">
        <v>96.418139999999994</v>
      </c>
      <c r="X174">
        <v>6.5151236934790649E-2</v>
      </c>
      <c r="Y174">
        <f t="shared" si="66"/>
        <v>6.2817610839518156</v>
      </c>
      <c r="Z174">
        <f t="shared" si="74"/>
        <v>3.5748515151417415</v>
      </c>
      <c r="AA174">
        <f t="shared" si="75"/>
        <v>2.687976493857902</v>
      </c>
      <c r="AB174">
        <f t="shared" si="86"/>
        <v>0.38739725457299645</v>
      </c>
      <c r="AD174">
        <v>75.466419999999999</v>
      </c>
      <c r="AE174">
        <v>0.13586549502827189</v>
      </c>
      <c r="AF174">
        <f t="shared" si="67"/>
        <v>10.253282511311479</v>
      </c>
      <c r="AG174">
        <f t="shared" si="76"/>
        <v>-1.4918807550097779</v>
      </c>
      <c r="AH174">
        <f t="shared" si="77"/>
        <v>2.3787557762936173</v>
      </c>
      <c r="AI174">
        <f t="shared" si="87"/>
        <v>2.3787557762936173</v>
      </c>
      <c r="AK174">
        <v>100.83</v>
      </c>
      <c r="AL174">
        <v>7.6401557863256392E-2</v>
      </c>
      <c r="AM174">
        <f t="shared" si="68"/>
        <v>7.7035690793521416</v>
      </c>
      <c r="AN174">
        <f t="shared" si="78"/>
        <v>0.26899497312535825</v>
      </c>
      <c r="AO174">
        <f t="shared" si="79"/>
        <v>0.61788004815848119</v>
      </c>
      <c r="AP174">
        <f t="shared" si="88"/>
        <v>0.6369091277595329</v>
      </c>
      <c r="AR174">
        <v>98.455259999999996</v>
      </c>
      <c r="AS174">
        <v>0.49007322208770249</v>
      </c>
      <c r="AT174">
        <f t="shared" si="69"/>
        <v>48.250286499682488</v>
      </c>
      <c r="AU174">
        <f t="shared" si="80"/>
        <v>0.9413961156299111</v>
      </c>
      <c r="AV174">
        <f t="shared" si="81"/>
        <v>5.4521094346071663E-2</v>
      </c>
      <c r="AW174">
        <f t="shared" si="89"/>
        <v>5.4521094346071663E-2</v>
      </c>
      <c r="AY174" s="4">
        <f t="shared" si="61"/>
        <v>93.90842220229473</v>
      </c>
      <c r="AZ174">
        <f t="shared" si="82"/>
        <v>0.88687502128383944</v>
      </c>
    </row>
    <row r="175" spans="1:52" x14ac:dyDescent="0.35">
      <c r="A175" s="2">
        <v>41760</v>
      </c>
      <c r="B175">
        <v>102.0304</v>
      </c>
      <c r="C175">
        <v>4.5268018332121081E-2</v>
      </c>
      <c r="D175">
        <f t="shared" si="90"/>
        <v>4.6187140176336463</v>
      </c>
      <c r="E175">
        <f t="shared" si="70"/>
        <v>1.2946966184601338</v>
      </c>
      <c r="F175">
        <f t="shared" si="62"/>
        <v>0.29226257331194105</v>
      </c>
      <c r="G175">
        <f t="shared" si="83"/>
        <v>4.5603191615306571E-2</v>
      </c>
      <c r="I175">
        <v>92.261769999999999</v>
      </c>
      <c r="J175">
        <v>7.6633182176228262E-2</v>
      </c>
      <c r="K175">
        <f t="shared" si="63"/>
        <v>7.0703130283112712</v>
      </c>
      <c r="L175">
        <f t="shared" si="71"/>
        <v>0.99774133273520249</v>
      </c>
      <c r="M175">
        <f t="shared" si="64"/>
        <v>4.6927124129902964E-3</v>
      </c>
      <c r="N175">
        <f t="shared" si="84"/>
        <v>1.2171969894452239</v>
      </c>
      <c r="P175">
        <v>89.803700000000006</v>
      </c>
      <c r="Q175">
        <v>0.11060728757762926</v>
      </c>
      <c r="R175">
        <f t="shared" si="65"/>
        <v>9.9329436714351456</v>
      </c>
      <c r="S175">
        <f t="shared" si="72"/>
        <v>0.74616400665121763</v>
      </c>
      <c r="T175">
        <f t="shared" si="73"/>
        <v>0.25627003849697516</v>
      </c>
      <c r="U175">
        <f t="shared" si="85"/>
        <v>0.14268752517847538</v>
      </c>
      <c r="W175">
        <v>94.30395</v>
      </c>
      <c r="X175">
        <v>6.5151236934790649E-2</v>
      </c>
      <c r="Y175">
        <f t="shared" si="66"/>
        <v>6.1440189903366509</v>
      </c>
      <c r="Z175">
        <f t="shared" si="74"/>
        <v>-2.1927305380502027</v>
      </c>
      <c r="AA175">
        <f t="shared" si="75"/>
        <v>3.1951645831983955</v>
      </c>
      <c r="AB175">
        <f t="shared" si="86"/>
        <v>0.81640880690477813</v>
      </c>
      <c r="AD175">
        <v>75.764240000000001</v>
      </c>
      <c r="AE175">
        <v>0.13586549502827189</v>
      </c>
      <c r="AF175">
        <f t="shared" si="67"/>
        <v>10.293745973040798</v>
      </c>
      <c r="AG175">
        <f t="shared" si="76"/>
        <v>0.39463909908539208</v>
      </c>
      <c r="AH175">
        <f t="shared" si="77"/>
        <v>0.60779494606280071</v>
      </c>
      <c r="AI175">
        <f t="shared" si="87"/>
        <v>0.60779494606280071</v>
      </c>
      <c r="AK175">
        <v>103.6177</v>
      </c>
      <c r="AL175">
        <v>7.6401557863256392E-2</v>
      </c>
      <c r="AM175">
        <f t="shared" si="68"/>
        <v>7.9165537022075414</v>
      </c>
      <c r="AN175">
        <f t="shared" si="78"/>
        <v>2.7647525538034401</v>
      </c>
      <c r="AO175">
        <f t="shared" si="79"/>
        <v>1.7623185086552473</v>
      </c>
      <c r="AP175">
        <f t="shared" si="88"/>
        <v>0.87544348737140787</v>
      </c>
      <c r="AR175">
        <v>99.726939999999999</v>
      </c>
      <c r="AS175">
        <v>0.49007322208770249</v>
      </c>
      <c r="AT175">
        <f t="shared" si="69"/>
        <v>48.873502814746978</v>
      </c>
      <c r="AU175">
        <f t="shared" si="80"/>
        <v>1.29163236174481</v>
      </c>
      <c r="AV175">
        <f t="shared" si="81"/>
        <v>0.28919831659661721</v>
      </c>
      <c r="AW175">
        <f t="shared" si="89"/>
        <v>0.28919831659661721</v>
      </c>
      <c r="AY175" s="4">
        <f t="shared" si="61"/>
        <v>94.849792197712034</v>
      </c>
      <c r="AZ175">
        <f t="shared" si="82"/>
        <v>1.0024340451481928</v>
      </c>
    </row>
    <row r="176" spans="1:52" x14ac:dyDescent="0.35">
      <c r="A176" s="2">
        <v>41791</v>
      </c>
      <c r="B176">
        <v>104.3338</v>
      </c>
      <c r="C176">
        <v>4.5268018332121081E-2</v>
      </c>
      <c r="D176">
        <f t="shared" si="90"/>
        <v>4.7229843710598542</v>
      </c>
      <c r="E176">
        <f t="shared" si="70"/>
        <v>2.2575624519751036</v>
      </c>
      <c r="F176">
        <f t="shared" si="62"/>
        <v>0.14725329964204725</v>
      </c>
      <c r="G176">
        <f t="shared" si="83"/>
        <v>0.1450092736698938</v>
      </c>
      <c r="I176">
        <v>93.132630000000006</v>
      </c>
      <c r="J176">
        <v>7.6633182176228262E-2</v>
      </c>
      <c r="K176">
        <f t="shared" si="63"/>
        <v>7.137049801341262</v>
      </c>
      <c r="L176">
        <f t="shared" si="71"/>
        <v>0.94390124967254074</v>
      </c>
      <c r="M176">
        <f t="shared" si="64"/>
        <v>1.4609145019446101</v>
      </c>
      <c r="N176">
        <f t="shared" si="84"/>
        <v>1.4562217895316198</v>
      </c>
      <c r="P176">
        <v>91.367199999999997</v>
      </c>
      <c r="Q176">
        <v>0.11060728757762926</v>
      </c>
      <c r="R176">
        <f t="shared" si="65"/>
        <v>10.105878165562768</v>
      </c>
      <c r="S176">
        <f t="shared" si="72"/>
        <v>1.74101957937145</v>
      </c>
      <c r="T176">
        <f t="shared" si="73"/>
        <v>0.66379617224570087</v>
      </c>
      <c r="U176">
        <f t="shared" si="85"/>
        <v>0.40752613374872571</v>
      </c>
      <c r="W176">
        <v>96.917680000000004</v>
      </c>
      <c r="X176">
        <v>6.5151236934790649E-2</v>
      </c>
      <c r="Y176">
        <f t="shared" si="66"/>
        <v>6.3143067328502216</v>
      </c>
      <c r="Z176">
        <f t="shared" si="74"/>
        <v>2.7716018257983865</v>
      </c>
      <c r="AA176">
        <f t="shared" si="75"/>
        <v>0.36678607418123566</v>
      </c>
      <c r="AB176">
        <f t="shared" si="86"/>
        <v>0.24100887188156506</v>
      </c>
      <c r="AD176">
        <v>80.333950000000002</v>
      </c>
      <c r="AE176">
        <v>0.13586549502827189</v>
      </c>
      <c r="AF176">
        <f t="shared" si="67"/>
        <v>10.914611884326442</v>
      </c>
      <c r="AG176">
        <f t="shared" si="76"/>
        <v>6.0314866221848229</v>
      </c>
      <c r="AH176">
        <f t="shared" si="77"/>
        <v>3.626670870567672</v>
      </c>
      <c r="AI176">
        <f t="shared" si="87"/>
        <v>3.626670870567672</v>
      </c>
      <c r="AK176">
        <v>103.17700000000001</v>
      </c>
      <c r="AL176">
        <v>7.6401557863256392E-2</v>
      </c>
      <c r="AM176">
        <f t="shared" si="68"/>
        <v>7.8828835356572053</v>
      </c>
      <c r="AN176">
        <f t="shared" si="78"/>
        <v>-0.42531343583189773</v>
      </c>
      <c r="AO176">
        <f t="shared" si="79"/>
        <v>2.8301291874490486</v>
      </c>
      <c r="AP176">
        <f t="shared" si="88"/>
        <v>1.8276951423008558</v>
      </c>
      <c r="AR176">
        <v>102.13379999999999</v>
      </c>
      <c r="AS176">
        <v>0.49007322208770249</v>
      </c>
      <c r="AT176">
        <f t="shared" si="69"/>
        <v>50.053040450060983</v>
      </c>
      <c r="AU176">
        <f t="shared" si="80"/>
        <v>2.4134501670260766</v>
      </c>
      <c r="AV176">
        <f t="shared" si="81"/>
        <v>8.634415408925733E-3</v>
      </c>
      <c r="AW176">
        <f t="shared" si="89"/>
        <v>8.634415408925733E-3</v>
      </c>
      <c r="AY176" s="4">
        <f t="shared" si="61"/>
        <v>97.130754940858751</v>
      </c>
      <c r="AZ176">
        <f t="shared" si="82"/>
        <v>2.4048157516171509</v>
      </c>
    </row>
    <row r="177" spans="1:52" x14ac:dyDescent="0.35">
      <c r="A177" s="2">
        <v>41821</v>
      </c>
      <c r="B177">
        <v>106.4434</v>
      </c>
      <c r="C177">
        <v>4.5268018332121081E-2</v>
      </c>
      <c r="D177">
        <f t="shared" si="90"/>
        <v>4.8184817825332971</v>
      </c>
      <c r="E177">
        <f t="shared" si="70"/>
        <v>2.0219717867076659</v>
      </c>
      <c r="F177">
        <f t="shared" si="62"/>
        <v>2.0248770519683545</v>
      </c>
      <c r="G177">
        <f t="shared" si="83"/>
        <v>1.8776237523263073</v>
      </c>
      <c r="I177">
        <v>89.994060000000005</v>
      </c>
      <c r="J177">
        <v>7.6633182176228262E-2</v>
      </c>
      <c r="K177">
        <f t="shared" si="63"/>
        <v>6.8965311947584169</v>
      </c>
      <c r="L177">
        <f t="shared" si="71"/>
        <v>-3.3700003962091496</v>
      </c>
      <c r="M177">
        <f t="shared" si="64"/>
        <v>3.3670951309484609</v>
      </c>
      <c r="N177">
        <f t="shared" si="84"/>
        <v>1.9061806290038508</v>
      </c>
      <c r="P177">
        <v>89.57235</v>
      </c>
      <c r="Q177">
        <v>0.11060728757762926</v>
      </c>
      <c r="R177">
        <f t="shared" si="65"/>
        <v>9.9073546754540605</v>
      </c>
      <c r="S177">
        <f t="shared" si="72"/>
        <v>-1.9644358150408436</v>
      </c>
      <c r="T177">
        <f t="shared" si="73"/>
        <v>1.961530549780155</v>
      </c>
      <c r="U177">
        <f t="shared" si="85"/>
        <v>1.2977343775344541</v>
      </c>
      <c r="W177">
        <v>93.235060000000004</v>
      </c>
      <c r="X177">
        <v>6.5151236934790649E-2</v>
      </c>
      <c r="Y177">
        <f t="shared" si="66"/>
        <v>6.0743794846894223</v>
      </c>
      <c r="Z177">
        <f t="shared" si="74"/>
        <v>-3.7997401506102868</v>
      </c>
      <c r="AA177">
        <f t="shared" si="75"/>
        <v>3.7968348853495981</v>
      </c>
      <c r="AB177">
        <f t="shared" si="86"/>
        <v>0.17016401478192611</v>
      </c>
      <c r="AD177">
        <v>82.200779999999995</v>
      </c>
      <c r="AE177">
        <v>0.13586549502827189</v>
      </c>
      <c r="AF177">
        <f t="shared" si="67"/>
        <v>11.16824966641007</v>
      </c>
      <c r="AG177">
        <f t="shared" si="76"/>
        <v>2.3238369332019504</v>
      </c>
      <c r="AH177">
        <f t="shared" si="77"/>
        <v>2.3267421984626391</v>
      </c>
      <c r="AI177">
        <f t="shared" si="87"/>
        <v>2.3267421984626391</v>
      </c>
      <c r="AK177">
        <v>102.6874</v>
      </c>
      <c r="AL177">
        <v>7.6401557863256392E-2</v>
      </c>
      <c r="AM177">
        <f t="shared" si="68"/>
        <v>7.8454773329273539</v>
      </c>
      <c r="AN177">
        <f t="shared" si="78"/>
        <v>-0.47452436104946649</v>
      </c>
      <c r="AO177">
        <f t="shared" si="79"/>
        <v>0.47161909578877781</v>
      </c>
      <c r="AP177">
        <f t="shared" si="88"/>
        <v>1.9331966558283731</v>
      </c>
      <c r="AR177">
        <v>102.87739999999999</v>
      </c>
      <c r="AS177">
        <v>0.49007322208770249</v>
      </c>
      <c r="AT177">
        <f t="shared" si="69"/>
        <v>50.4174588980054</v>
      </c>
      <c r="AU177">
        <f t="shared" si="80"/>
        <v>0.72806455845175755</v>
      </c>
      <c r="AV177">
        <f t="shared" si="81"/>
        <v>0.73096982371244623</v>
      </c>
      <c r="AW177">
        <f t="shared" si="89"/>
        <v>0.73096982371244623</v>
      </c>
      <c r="AY177" s="4">
        <f t="shared" si="61"/>
        <v>97.12793303477801</v>
      </c>
      <c r="AZ177">
        <f t="shared" si="82"/>
        <v>-2.9052652606886831E-3</v>
      </c>
    </row>
    <row r="178" spans="1:52" x14ac:dyDescent="0.35">
      <c r="A178" s="2">
        <v>41852</v>
      </c>
      <c r="B178">
        <v>107.2668</v>
      </c>
      <c r="C178">
        <v>4.5268018332121081E-2</v>
      </c>
      <c r="D178">
        <f t="shared" si="90"/>
        <v>4.855755468827966</v>
      </c>
      <c r="E178">
        <f t="shared" si="70"/>
        <v>0.77355665076463964</v>
      </c>
      <c r="F178">
        <f t="shared" si="62"/>
        <v>2.54400808824925</v>
      </c>
      <c r="G178">
        <f t="shared" si="83"/>
        <v>0.51913103628089541</v>
      </c>
      <c r="I178">
        <v>87.400300000000001</v>
      </c>
      <c r="J178">
        <v>7.6633182176228262E-2</v>
      </c>
      <c r="K178">
        <f t="shared" si="63"/>
        <v>6.6977631121570029</v>
      </c>
      <c r="L178">
        <f t="shared" si="71"/>
        <v>-2.8821457771768477</v>
      </c>
      <c r="M178">
        <f t="shared" si="64"/>
        <v>1.1116943396922374</v>
      </c>
      <c r="N178">
        <f t="shared" si="84"/>
        <v>2.2554007912562235</v>
      </c>
      <c r="P178">
        <v>85.207669999999993</v>
      </c>
      <c r="Q178">
        <v>0.11060728757762926</v>
      </c>
      <c r="R178">
        <f t="shared" si="65"/>
        <v>9.424589259509732</v>
      </c>
      <c r="S178">
        <f t="shared" si="72"/>
        <v>-4.8727983579754275</v>
      </c>
      <c r="T178">
        <f t="shared" si="73"/>
        <v>3.1023469204908172</v>
      </c>
      <c r="U178">
        <f t="shared" si="85"/>
        <v>1.1408163707106622</v>
      </c>
      <c r="W178">
        <v>88.381860000000003</v>
      </c>
      <c r="X178">
        <v>6.5151236934790649E-2</v>
      </c>
      <c r="Y178">
        <f t="shared" si="66"/>
        <v>5.7581875015974964</v>
      </c>
      <c r="Z178">
        <f t="shared" si="74"/>
        <v>-5.2053379919528187</v>
      </c>
      <c r="AA178">
        <f t="shared" si="75"/>
        <v>3.4348865544682083</v>
      </c>
      <c r="AB178">
        <f t="shared" si="86"/>
        <v>1.1081443560055693</v>
      </c>
      <c r="AD178">
        <v>81.963560000000001</v>
      </c>
      <c r="AE178">
        <v>0.13586549502827189</v>
      </c>
      <c r="AF178">
        <f t="shared" si="67"/>
        <v>11.136019653679465</v>
      </c>
      <c r="AG178">
        <f t="shared" si="76"/>
        <v>-0.28858606937792741</v>
      </c>
      <c r="AH178">
        <f t="shared" si="77"/>
        <v>1.4818653681066829</v>
      </c>
      <c r="AI178">
        <f t="shared" si="87"/>
        <v>1.4818653681066829</v>
      </c>
      <c r="AK178">
        <v>101.82599999999999</v>
      </c>
      <c r="AL178">
        <v>7.6401557863256392E-2</v>
      </c>
      <c r="AM178">
        <f t="shared" si="68"/>
        <v>7.7796650309839448</v>
      </c>
      <c r="AN178">
        <f t="shared" si="78"/>
        <v>-0.83885656857608515</v>
      </c>
      <c r="AO178">
        <f t="shared" si="79"/>
        <v>0.93159486890852516</v>
      </c>
      <c r="AP178">
        <f t="shared" si="88"/>
        <v>0.93450013416921385</v>
      </c>
      <c r="AR178">
        <v>101.5284</v>
      </c>
      <c r="AS178">
        <v>0.49007322208770249</v>
      </c>
      <c r="AT178">
        <f t="shared" si="69"/>
        <v>49.756350121409099</v>
      </c>
      <c r="AU178">
        <f t="shared" si="80"/>
        <v>-1.3112695305285582</v>
      </c>
      <c r="AV178">
        <f t="shared" si="81"/>
        <v>0.4591819069560521</v>
      </c>
      <c r="AW178">
        <f t="shared" si="89"/>
        <v>0.4591819069560521</v>
      </c>
      <c r="AY178" s="4">
        <f t="shared" si="61"/>
        <v>95.408330148164694</v>
      </c>
      <c r="AZ178">
        <f t="shared" si="82"/>
        <v>-1.7704514374846103</v>
      </c>
    </row>
    <row r="179" spans="1:52" x14ac:dyDescent="0.35">
      <c r="A179" s="2">
        <v>41883</v>
      </c>
      <c r="B179">
        <v>107.1606</v>
      </c>
      <c r="C179">
        <v>4.5268018332121081E-2</v>
      </c>
      <c r="D179">
        <f t="shared" si="90"/>
        <v>4.8509480052810945</v>
      </c>
      <c r="E179">
        <f t="shared" si="70"/>
        <v>-9.9005470471758006E-2</v>
      </c>
      <c r="F179">
        <f t="shared" si="62"/>
        <v>1.8793862335328648</v>
      </c>
      <c r="G179">
        <f t="shared" si="83"/>
        <v>0.66462185471638513</v>
      </c>
      <c r="I179">
        <v>90.66413</v>
      </c>
      <c r="J179">
        <v>7.6633182176228262E-2</v>
      </c>
      <c r="K179">
        <f t="shared" si="63"/>
        <v>6.9478807911392417</v>
      </c>
      <c r="L179">
        <f t="shared" si="71"/>
        <v>3.7343464496117251</v>
      </c>
      <c r="M179">
        <f t="shared" si="64"/>
        <v>1.9539656865506183</v>
      </c>
      <c r="N179">
        <f t="shared" si="84"/>
        <v>0.8422713468583809</v>
      </c>
      <c r="P179">
        <v>88.184290000000004</v>
      </c>
      <c r="Q179">
        <v>0.11060728757762926</v>
      </c>
      <c r="R179">
        <f t="shared" si="65"/>
        <v>9.7538251238590572</v>
      </c>
      <c r="S179">
        <f t="shared" si="72"/>
        <v>3.4933709606189245</v>
      </c>
      <c r="T179">
        <f t="shared" si="73"/>
        <v>1.7129901975578177</v>
      </c>
      <c r="U179">
        <f t="shared" si="85"/>
        <v>1.3893567229329995</v>
      </c>
      <c r="W179">
        <v>92.330060000000003</v>
      </c>
      <c r="X179">
        <v>6.5151236934790649E-2</v>
      </c>
      <c r="Y179">
        <f t="shared" si="66"/>
        <v>6.0154176152634369</v>
      </c>
      <c r="Z179">
        <f t="shared" si="74"/>
        <v>4.4672062796596412</v>
      </c>
      <c r="AA179">
        <f t="shared" si="75"/>
        <v>2.6868255165985344</v>
      </c>
      <c r="AB179">
        <f t="shared" si="86"/>
        <v>1.2049601484918515</v>
      </c>
      <c r="AD179">
        <v>84.710290000000001</v>
      </c>
      <c r="AE179">
        <v>0.13586549502827189</v>
      </c>
      <c r="AF179">
        <f t="shared" si="67"/>
        <v>11.50920548483847</v>
      </c>
      <c r="AG179">
        <f t="shared" si="76"/>
        <v>3.3511599544968407</v>
      </c>
      <c r="AH179">
        <f t="shared" si="77"/>
        <v>1.5707791914357339</v>
      </c>
      <c r="AI179">
        <f t="shared" si="87"/>
        <v>1.5707791914357339</v>
      </c>
      <c r="AK179">
        <v>102.7743</v>
      </c>
      <c r="AL179">
        <v>7.6401557863256392E-2</v>
      </c>
      <c r="AM179">
        <f t="shared" si="68"/>
        <v>7.8521166283056711</v>
      </c>
      <c r="AN179">
        <f t="shared" si="78"/>
        <v>0.9312945613104695</v>
      </c>
      <c r="AO179">
        <f t="shared" si="79"/>
        <v>0.84908620175063731</v>
      </c>
      <c r="AP179">
        <f t="shared" si="88"/>
        <v>2.6195376392352476</v>
      </c>
      <c r="AR179">
        <v>102.3879</v>
      </c>
      <c r="AS179">
        <v>0.49007322208770249</v>
      </c>
      <c r="AT179">
        <f t="shared" si="69"/>
        <v>50.177568055793472</v>
      </c>
      <c r="AU179">
        <f t="shared" si="80"/>
        <v>0.84656115924213182</v>
      </c>
      <c r="AV179">
        <f t="shared" si="81"/>
        <v>0.933819603818975</v>
      </c>
      <c r="AW179">
        <f t="shared" si="89"/>
        <v>0.933819603818975</v>
      </c>
      <c r="AY179" s="4">
        <f t="shared" si="61"/>
        <v>97.10696170448044</v>
      </c>
      <c r="AZ179">
        <f t="shared" si="82"/>
        <v>1.7803807630611068</v>
      </c>
    </row>
    <row r="180" spans="1:52" x14ac:dyDescent="0.35">
      <c r="A180" s="2">
        <v>41913</v>
      </c>
      <c r="B180">
        <v>100.7782</v>
      </c>
      <c r="C180">
        <v>4.5268018332121081E-2</v>
      </c>
      <c r="D180">
        <f t="shared" si="90"/>
        <v>4.5620294050781647</v>
      </c>
      <c r="E180">
        <f t="shared" si="70"/>
        <v>-5.9559203662540199</v>
      </c>
      <c r="F180">
        <f t="shared" si="62"/>
        <v>0.88969247452971345</v>
      </c>
      <c r="G180">
        <f t="shared" si="83"/>
        <v>0.98969375900315137</v>
      </c>
      <c r="I180">
        <v>84.617590000000007</v>
      </c>
      <c r="J180">
        <v>7.6633182176228262E-2</v>
      </c>
      <c r="K180">
        <f t="shared" si="63"/>
        <v>6.4845151897833917</v>
      </c>
      <c r="L180">
        <f t="shared" si="71"/>
        <v>-6.6691645306694021</v>
      </c>
      <c r="M180">
        <f t="shared" si="64"/>
        <v>1.6029366389450956</v>
      </c>
      <c r="N180">
        <f t="shared" si="84"/>
        <v>0.35102904760552267</v>
      </c>
      <c r="P180">
        <v>82.404560000000004</v>
      </c>
      <c r="Q180">
        <v>0.11060728757762926</v>
      </c>
      <c r="R180">
        <f t="shared" si="65"/>
        <v>9.1145448656280053</v>
      </c>
      <c r="S180">
        <f t="shared" si="72"/>
        <v>-6.5541492708054871</v>
      </c>
      <c r="T180">
        <f t="shared" si="73"/>
        <v>1.4879213790811807</v>
      </c>
      <c r="U180">
        <f t="shared" si="85"/>
        <v>0.22506881847663696</v>
      </c>
      <c r="W180">
        <v>85.350269999999995</v>
      </c>
      <c r="X180">
        <v>6.5151236934790649E-2</v>
      </c>
      <c r="Y180">
        <f t="shared" si="66"/>
        <v>5.5606756632183538</v>
      </c>
      <c r="Z180">
        <f t="shared" si="74"/>
        <v>-7.5596073478128467</v>
      </c>
      <c r="AA180">
        <f t="shared" si="75"/>
        <v>2.4933794560885403</v>
      </c>
      <c r="AB180">
        <f t="shared" si="86"/>
        <v>0.92260026465280642</v>
      </c>
      <c r="AD180">
        <v>80.80453</v>
      </c>
      <c r="AE180">
        <v>0.13586549502827189</v>
      </c>
      <c r="AF180">
        <f t="shared" si="67"/>
        <v>10.978547468976847</v>
      </c>
      <c r="AG180">
        <f t="shared" si="76"/>
        <v>-4.6107267487810581</v>
      </c>
      <c r="AH180">
        <f t="shared" si="77"/>
        <v>0.45550114294324828</v>
      </c>
      <c r="AI180">
        <f t="shared" si="87"/>
        <v>0.45550114294324828</v>
      </c>
      <c r="AK180">
        <v>97.177000000000007</v>
      </c>
      <c r="AL180">
        <v>7.6401557863256392E-2</v>
      </c>
      <c r="AM180">
        <f t="shared" si="68"/>
        <v>7.4244741884776673</v>
      </c>
      <c r="AN180">
        <f t="shared" si="78"/>
        <v>-5.4462059094540045</v>
      </c>
      <c r="AO180">
        <f t="shared" si="79"/>
        <v>0.37997801772969808</v>
      </c>
      <c r="AP180">
        <f t="shared" si="88"/>
        <v>1.4004027453314087</v>
      </c>
      <c r="AR180">
        <v>98.072109999999995</v>
      </c>
      <c r="AS180">
        <v>0.49007322208770249</v>
      </c>
      <c r="AT180">
        <f t="shared" si="69"/>
        <v>48.062514944639588</v>
      </c>
      <c r="AU180">
        <f t="shared" si="80"/>
        <v>-4.215136749557324</v>
      </c>
      <c r="AV180">
        <f t="shared" si="81"/>
        <v>0.85109114216698245</v>
      </c>
      <c r="AW180">
        <f t="shared" si="89"/>
        <v>0.85109114216698245</v>
      </c>
      <c r="AY180" s="4">
        <f t="shared" si="61"/>
        <v>92.187301725802016</v>
      </c>
      <c r="AZ180">
        <f t="shared" si="82"/>
        <v>-5.0662278917243064</v>
      </c>
    </row>
    <row r="181" spans="1:52" x14ac:dyDescent="0.35">
      <c r="A181" s="2">
        <v>41944</v>
      </c>
      <c r="B181">
        <v>103.387</v>
      </c>
      <c r="C181">
        <v>4.5268018332121081E-2</v>
      </c>
      <c r="D181">
        <f t="shared" si="90"/>
        <v>4.6801246113030022</v>
      </c>
      <c r="E181">
        <f t="shared" si="70"/>
        <v>2.5886550861198288</v>
      </c>
      <c r="F181">
        <f t="shared" si="62"/>
        <v>2.1565309036100322</v>
      </c>
      <c r="G181">
        <f t="shared" si="83"/>
        <v>1.2668384290803187</v>
      </c>
      <c r="I181">
        <v>87.587370000000007</v>
      </c>
      <c r="J181">
        <v>7.6633182176228262E-2</v>
      </c>
      <c r="K181">
        <f t="shared" si="63"/>
        <v>6.7120988815467104</v>
      </c>
      <c r="L181">
        <f t="shared" si="71"/>
        <v>3.5096485257970489</v>
      </c>
      <c r="M181">
        <f t="shared" si="64"/>
        <v>1.2355374639328121</v>
      </c>
      <c r="N181">
        <f t="shared" si="84"/>
        <v>0.36739917501228359</v>
      </c>
      <c r="P181">
        <v>87.262770000000003</v>
      </c>
      <c r="Q181">
        <v>0.11060728757762926</v>
      </c>
      <c r="R181">
        <f t="shared" si="65"/>
        <v>9.6518982962105202</v>
      </c>
      <c r="S181">
        <f t="shared" si="72"/>
        <v>5.8955596632030982</v>
      </c>
      <c r="T181">
        <f t="shared" si="73"/>
        <v>1.1503736734732373</v>
      </c>
      <c r="U181">
        <f t="shared" si="85"/>
        <v>0.33754770560794345</v>
      </c>
      <c r="W181">
        <v>85.778720000000007</v>
      </c>
      <c r="X181">
        <v>6.5151236934790649E-2</v>
      </c>
      <c r="Y181">
        <f t="shared" si="66"/>
        <v>5.588589710683066</v>
      </c>
      <c r="Z181">
        <f t="shared" si="74"/>
        <v>0.50199021045862491</v>
      </c>
      <c r="AA181">
        <f t="shared" si="75"/>
        <v>4.243195779271236</v>
      </c>
      <c r="AB181">
        <f t="shared" si="86"/>
        <v>3.7876946363279878</v>
      </c>
      <c r="AD181">
        <v>89.182019999999994</v>
      </c>
      <c r="AE181">
        <v>0.13586549502827189</v>
      </c>
      <c r="AF181">
        <f t="shared" si="67"/>
        <v>12.116759294921243</v>
      </c>
      <c r="AG181">
        <f t="shared" si="76"/>
        <v>10.367599440278896</v>
      </c>
      <c r="AH181">
        <f t="shared" si="77"/>
        <v>5.6224134505490353</v>
      </c>
      <c r="AI181">
        <f t="shared" si="87"/>
        <v>5.6224134505490353</v>
      </c>
      <c r="AK181">
        <v>100.748</v>
      </c>
      <c r="AL181">
        <v>7.6401557863256392E-2</v>
      </c>
      <c r="AM181">
        <f t="shared" si="68"/>
        <v>7.697304151607355</v>
      </c>
      <c r="AN181">
        <f t="shared" si="78"/>
        <v>3.6747378494911276</v>
      </c>
      <c r="AO181">
        <f t="shared" si="79"/>
        <v>1.0704481402387334</v>
      </c>
      <c r="AP181">
        <f t="shared" si="88"/>
        <v>6.1366760319630398</v>
      </c>
      <c r="AR181">
        <v>102.2602</v>
      </c>
      <c r="AS181">
        <v>0.49007322208770249</v>
      </c>
      <c r="AT181">
        <f t="shared" si="69"/>
        <v>50.11498570533287</v>
      </c>
      <c r="AU181">
        <f t="shared" si="80"/>
        <v>4.2704189804828374</v>
      </c>
      <c r="AV181">
        <f t="shared" si="81"/>
        <v>0.47476700924702353</v>
      </c>
      <c r="AW181">
        <f t="shared" si="89"/>
        <v>0.47476700924702353</v>
      </c>
      <c r="AY181" s="4">
        <f t="shared" si="61"/>
        <v>96.561760651604757</v>
      </c>
      <c r="AZ181">
        <f t="shared" si="82"/>
        <v>4.7451859897298609</v>
      </c>
    </row>
    <row r="182" spans="1:52" x14ac:dyDescent="0.35">
      <c r="A182" s="2">
        <v>41974</v>
      </c>
      <c r="B182">
        <v>100.10890000000001</v>
      </c>
      <c r="C182">
        <v>4.5268018332121081E-2</v>
      </c>
      <c r="D182">
        <f t="shared" si="90"/>
        <v>4.531731520408476</v>
      </c>
      <c r="E182">
        <f t="shared" si="70"/>
        <v>-3.1707081161074346</v>
      </c>
      <c r="F182">
        <f t="shared" si="62"/>
        <v>3.0526249706381514</v>
      </c>
      <c r="G182">
        <f t="shared" si="83"/>
        <v>0.89609406702811922</v>
      </c>
      <c r="I182">
        <v>88.084630000000004</v>
      </c>
      <c r="J182">
        <v>7.6633182176228262E-2</v>
      </c>
      <c r="K182">
        <f t="shared" si="63"/>
        <v>6.7502054977156618</v>
      </c>
      <c r="L182">
        <f t="shared" si="71"/>
        <v>0.56773025608600758</v>
      </c>
      <c r="M182">
        <f t="shared" si="64"/>
        <v>0.6858134015552908</v>
      </c>
      <c r="N182">
        <f t="shared" si="84"/>
        <v>0.54972406237752125</v>
      </c>
      <c r="P182">
        <v>90.312650000000005</v>
      </c>
      <c r="Q182">
        <v>0.11060728757762926</v>
      </c>
      <c r="R182">
        <f t="shared" si="65"/>
        <v>9.9892372504477791</v>
      </c>
      <c r="S182">
        <f t="shared" si="72"/>
        <v>3.4950529303619415</v>
      </c>
      <c r="T182">
        <f t="shared" si="73"/>
        <v>3.6131360758312248</v>
      </c>
      <c r="U182">
        <f t="shared" si="85"/>
        <v>2.4627624023579875</v>
      </c>
      <c r="W182">
        <v>85.129019999999997</v>
      </c>
      <c r="X182">
        <v>6.5151236934790649E-2</v>
      </c>
      <c r="Y182">
        <f t="shared" si="66"/>
        <v>5.5462609520465316</v>
      </c>
      <c r="Z182">
        <f t="shared" si="74"/>
        <v>-0.75741396001247629</v>
      </c>
      <c r="AA182">
        <f t="shared" si="75"/>
        <v>0.63933081454319307</v>
      </c>
      <c r="AB182">
        <f t="shared" si="86"/>
        <v>4.9830826360058422</v>
      </c>
      <c r="AD182">
        <v>90.986320000000006</v>
      </c>
      <c r="AE182">
        <v>0.13586549502827189</v>
      </c>
      <c r="AF182">
        <f t="shared" si="67"/>
        <v>12.361901407600756</v>
      </c>
      <c r="AG182">
        <f t="shared" si="76"/>
        <v>2.0231656560369515</v>
      </c>
      <c r="AH182">
        <f t="shared" si="77"/>
        <v>2.1412488015062348</v>
      </c>
      <c r="AI182">
        <f t="shared" si="87"/>
        <v>2.1412488015062348</v>
      </c>
      <c r="AK182">
        <v>99.297619999999995</v>
      </c>
      <c r="AL182">
        <v>7.6401557863256392E-2</v>
      </c>
      <c r="AM182">
        <f t="shared" si="68"/>
        <v>7.586492860113645</v>
      </c>
      <c r="AN182">
        <f t="shared" si="78"/>
        <v>-1.4396117044507162</v>
      </c>
      <c r="AO182">
        <f t="shared" si="79"/>
        <v>1.321528558981433</v>
      </c>
      <c r="AP182">
        <f t="shared" si="88"/>
        <v>3.423657430748428</v>
      </c>
      <c r="AR182">
        <v>101.37649999999999</v>
      </c>
      <c r="AS182">
        <v>0.49007322208770249</v>
      </c>
      <c r="AT182">
        <f t="shared" si="69"/>
        <v>49.681907998973969</v>
      </c>
      <c r="AU182">
        <f t="shared" si="80"/>
        <v>-0.86416807320932598</v>
      </c>
      <c r="AV182">
        <f t="shared" si="81"/>
        <v>0.74608492774004276</v>
      </c>
      <c r="AW182">
        <f t="shared" si="89"/>
        <v>0.74608492774004276</v>
      </c>
      <c r="AY182" s="4">
        <f t="shared" si="61"/>
        <v>96.447737487306824</v>
      </c>
      <c r="AZ182">
        <f t="shared" si="82"/>
        <v>-0.11808314546928322</v>
      </c>
    </row>
    <row r="183" spans="1:52" x14ac:dyDescent="0.35">
      <c r="A183" s="2">
        <v>42005</v>
      </c>
      <c r="B183">
        <v>100.9038</v>
      </c>
      <c r="C183">
        <v>4.4652050686295727E-2</v>
      </c>
      <c r="D183">
        <f t="shared" si="90"/>
        <v>4.5055615920398466</v>
      </c>
      <c r="E183">
        <f t="shared" si="70"/>
        <v>0.79403529556312247</v>
      </c>
      <c r="F183">
        <f t="shared" si="62"/>
        <v>0.86357842643383087</v>
      </c>
      <c r="G183">
        <f t="shared" si="83"/>
        <v>2.1890465442043205</v>
      </c>
      <c r="I183">
        <v>90.766800000000003</v>
      </c>
      <c r="J183">
        <v>7.5938104297043008E-2</v>
      </c>
      <c r="K183">
        <f t="shared" si="63"/>
        <v>6.8926587251088431</v>
      </c>
      <c r="L183">
        <f t="shared" si="71"/>
        <v>3.0449920718291112</v>
      </c>
      <c r="M183">
        <f t="shared" si="64"/>
        <v>3.1145352026998196</v>
      </c>
      <c r="N183">
        <f t="shared" si="84"/>
        <v>2.4287218011445288</v>
      </c>
      <c r="P183">
        <v>93.310479999999998</v>
      </c>
      <c r="Q183">
        <v>0.11001490598025475</v>
      </c>
      <c r="R183">
        <f t="shared" si="65"/>
        <v>10.265543684172441</v>
      </c>
      <c r="S183">
        <f t="shared" si="72"/>
        <v>3.3193910266169802</v>
      </c>
      <c r="T183">
        <f t="shared" si="73"/>
        <v>3.3889341574876886</v>
      </c>
      <c r="U183">
        <f t="shared" si="85"/>
        <v>0.2242019183435362</v>
      </c>
      <c r="W183">
        <v>86.321629999999999</v>
      </c>
      <c r="X183">
        <v>6.4346656298709157E-2</v>
      </c>
      <c r="Y183">
        <f t="shared" si="66"/>
        <v>5.5545082567543416</v>
      </c>
      <c r="Z183">
        <f t="shared" si="74"/>
        <v>1.4009441198782779</v>
      </c>
      <c r="AA183">
        <f t="shared" si="75"/>
        <v>1.4704872507489863</v>
      </c>
      <c r="AB183">
        <f t="shared" si="86"/>
        <v>0.67076155075724841</v>
      </c>
      <c r="AD183">
        <v>89.629390000000001</v>
      </c>
      <c r="AE183">
        <v>0.13522930607735018</v>
      </c>
      <c r="AF183">
        <f t="shared" si="67"/>
        <v>12.120520213836189</v>
      </c>
      <c r="AG183">
        <f t="shared" si="76"/>
        <v>-1.4913560631972023</v>
      </c>
      <c r="AH183">
        <f t="shared" si="77"/>
        <v>1.4218129323264939</v>
      </c>
      <c r="AI183">
        <f t="shared" si="87"/>
        <v>1.4218129323264939</v>
      </c>
      <c r="AK183">
        <v>100.27379999999999</v>
      </c>
      <c r="AL183">
        <v>7.6537709316720368E-2</v>
      </c>
      <c r="AM183">
        <f t="shared" si="68"/>
        <v>7.6747269564829548</v>
      </c>
      <c r="AN183">
        <f t="shared" si="78"/>
        <v>0.9830849923694096</v>
      </c>
      <c r="AO183">
        <f t="shared" si="79"/>
        <v>1.052628123240118</v>
      </c>
      <c r="AP183">
        <f t="shared" si="88"/>
        <v>1.1707112687094012</v>
      </c>
      <c r="AR183">
        <v>100.0791</v>
      </c>
      <c r="AS183">
        <v>0.49328126734362682</v>
      </c>
      <c r="AT183">
        <f t="shared" si="69"/>
        <v>49.367145282609563</v>
      </c>
      <c r="AU183">
        <f t="shared" si="80"/>
        <v>-1.2797837763189657</v>
      </c>
      <c r="AV183">
        <f t="shared" si="81"/>
        <v>1.2102406454482573</v>
      </c>
      <c r="AW183">
        <f t="shared" si="89"/>
        <v>1.2102406454482573</v>
      </c>
      <c r="AY183" s="4">
        <f t="shared" si="61"/>
        <v>96.380664711004187</v>
      </c>
      <c r="AZ183">
        <f t="shared" si="82"/>
        <v>-6.9543130870708403E-2</v>
      </c>
    </row>
    <row r="184" spans="1:52" x14ac:dyDescent="0.35">
      <c r="A184" s="2">
        <v>42036</v>
      </c>
      <c r="B184">
        <v>105.7285</v>
      </c>
      <c r="C184">
        <v>4.4652050686295727E-2</v>
      </c>
      <c r="D184">
        <f t="shared" si="90"/>
        <v>4.7209943409860173</v>
      </c>
      <c r="E184">
        <f t="shared" si="70"/>
        <v>4.7814849391202285</v>
      </c>
      <c r="F184">
        <f t="shared" si="62"/>
        <v>0.16013852579139787</v>
      </c>
      <c r="G184">
        <f t="shared" si="83"/>
        <v>0.703439900642433</v>
      </c>
      <c r="I184">
        <v>98.720889999999997</v>
      </c>
      <c r="J184">
        <v>7.5938104297043008E-2</v>
      </c>
      <c r="K184">
        <f t="shared" si="63"/>
        <v>7.4966772411169096</v>
      </c>
      <c r="L184">
        <f t="shared" si="71"/>
        <v>8.7632151844066364</v>
      </c>
      <c r="M184">
        <f t="shared" si="64"/>
        <v>4.1418687710778057</v>
      </c>
      <c r="N184">
        <f t="shared" si="84"/>
        <v>1.0273335683779861</v>
      </c>
      <c r="P184">
        <v>100.9564</v>
      </c>
      <c r="Q184">
        <v>0.11001490598025475</v>
      </c>
      <c r="R184">
        <f t="shared" si="65"/>
        <v>11.106708854104991</v>
      </c>
      <c r="S184">
        <f t="shared" si="72"/>
        <v>8.1940635178385115</v>
      </c>
      <c r="T184">
        <f t="shared" si="73"/>
        <v>3.5727171045096808</v>
      </c>
      <c r="U184">
        <f t="shared" si="85"/>
        <v>0.18378294702199227</v>
      </c>
      <c r="W184">
        <v>94.924880000000002</v>
      </c>
      <c r="X184">
        <v>6.4346656298709157E-2</v>
      </c>
      <c r="Y184">
        <f t="shared" si="66"/>
        <v>6.1080986275562106</v>
      </c>
      <c r="Z184">
        <f t="shared" si="74"/>
        <v>9.9665054981005419</v>
      </c>
      <c r="AA184">
        <f t="shared" si="75"/>
        <v>5.3451590847717112</v>
      </c>
      <c r="AB184">
        <f t="shared" si="86"/>
        <v>3.9233461524452173</v>
      </c>
      <c r="AD184">
        <v>94.076629999999994</v>
      </c>
      <c r="AE184">
        <v>0.13522930607735018</v>
      </c>
      <c r="AF184">
        <f t="shared" si="67"/>
        <v>12.721917392995623</v>
      </c>
      <c r="AG184">
        <f t="shared" si="76"/>
        <v>4.9618099598803367</v>
      </c>
      <c r="AH184">
        <f t="shared" si="77"/>
        <v>0.34046354655150601</v>
      </c>
      <c r="AI184">
        <f t="shared" si="87"/>
        <v>0.34046354655150601</v>
      </c>
      <c r="AK184">
        <v>104.30249999999999</v>
      </c>
      <c r="AL184">
        <v>7.6537709316720368E-2</v>
      </c>
      <c r="AM184">
        <f t="shared" si="68"/>
        <v>7.9830744260072262</v>
      </c>
      <c r="AN184">
        <f t="shared" si="78"/>
        <v>4.0176995386631331</v>
      </c>
      <c r="AO184">
        <f t="shared" si="79"/>
        <v>0.60364687466569755</v>
      </c>
      <c r="AP184">
        <f t="shared" si="88"/>
        <v>0.67319000553640596</v>
      </c>
      <c r="AR184">
        <v>102.7756</v>
      </c>
      <c r="AS184">
        <v>0.49328126734362682</v>
      </c>
      <c r="AT184">
        <f t="shared" si="69"/>
        <v>50.69727822000165</v>
      </c>
      <c r="AU184">
        <f t="shared" si="80"/>
        <v>2.6943687543153461</v>
      </c>
      <c r="AV184">
        <f t="shared" si="81"/>
        <v>1.9269776590134846</v>
      </c>
      <c r="AW184">
        <f t="shared" si="89"/>
        <v>1.9269776590134846</v>
      </c>
      <c r="AY184" s="4">
        <f t="shared" si="61"/>
        <v>100.83474910276865</v>
      </c>
      <c r="AZ184">
        <f t="shared" si="82"/>
        <v>4.6213464133288307</v>
      </c>
    </row>
    <row r="185" spans="1:52" x14ac:dyDescent="0.35">
      <c r="A185" s="2">
        <v>42064</v>
      </c>
      <c r="B185">
        <v>104.06229999999999</v>
      </c>
      <c r="C185">
        <v>4.4652050686295727E-2</v>
      </c>
      <c r="D185">
        <f t="shared" si="90"/>
        <v>4.6465950941325112</v>
      </c>
      <c r="E185">
        <f t="shared" si="70"/>
        <v>-1.5759232373484977</v>
      </c>
      <c r="F185">
        <f t="shared" si="62"/>
        <v>3.6155271108724518</v>
      </c>
      <c r="G185">
        <f t="shared" si="83"/>
        <v>3.455388585081054</v>
      </c>
      <c r="I185">
        <v>103.47750000000001</v>
      </c>
      <c r="J185">
        <v>7.5938104297043008E-2</v>
      </c>
      <c r="K185">
        <f t="shared" si="63"/>
        <v>7.8578851873972679</v>
      </c>
      <c r="L185">
        <f t="shared" si="71"/>
        <v>4.8182405973041798</v>
      </c>
      <c r="M185">
        <f t="shared" si="64"/>
        <v>2.7786367237802256</v>
      </c>
      <c r="N185">
        <f t="shared" si="84"/>
        <v>1.3632320472975801</v>
      </c>
      <c r="P185">
        <v>107.9198</v>
      </c>
      <c r="Q185">
        <v>0.11001490598025475</v>
      </c>
      <c r="R185">
        <f t="shared" si="65"/>
        <v>11.872786650407896</v>
      </c>
      <c r="S185">
        <f t="shared" si="72"/>
        <v>6.897432951254201</v>
      </c>
      <c r="T185">
        <f t="shared" si="73"/>
        <v>4.8578290777302469</v>
      </c>
      <c r="U185">
        <f t="shared" si="85"/>
        <v>1.285111973220566</v>
      </c>
      <c r="W185">
        <v>101.62569999999999</v>
      </c>
      <c r="X185">
        <v>6.4346656298709157E-2</v>
      </c>
      <c r="Y185">
        <f t="shared" si="66"/>
        <v>6.5392739890157268</v>
      </c>
      <c r="Z185">
        <f t="shared" si="74"/>
        <v>7.0590766087879064</v>
      </c>
      <c r="AA185">
        <f t="shared" si="75"/>
        <v>5.0194727352639523</v>
      </c>
      <c r="AB185">
        <f t="shared" si="86"/>
        <v>4.6790091887124463</v>
      </c>
      <c r="AD185">
        <v>100.1631</v>
      </c>
      <c r="AE185">
        <v>0.13522930607735018</v>
      </c>
      <c r="AF185">
        <f t="shared" si="67"/>
        <v>13.544986507556233</v>
      </c>
      <c r="AG185">
        <f t="shared" si="76"/>
        <v>6.4696939080407079</v>
      </c>
      <c r="AH185">
        <f t="shared" si="77"/>
        <v>4.4300900345167538</v>
      </c>
      <c r="AI185">
        <f t="shared" si="87"/>
        <v>4.4300900345167538</v>
      </c>
      <c r="AK185">
        <v>104.39319999999999</v>
      </c>
      <c r="AL185">
        <v>7.6537709316720368E-2</v>
      </c>
      <c r="AM185">
        <f t="shared" si="68"/>
        <v>7.9900163962422521</v>
      </c>
      <c r="AN185">
        <f t="shared" si="78"/>
        <v>8.6958605977804915E-2</v>
      </c>
      <c r="AO185">
        <f t="shared" si="79"/>
        <v>1.9526452675461492</v>
      </c>
      <c r="AP185">
        <f t="shared" si="88"/>
        <v>2.6687011457826815</v>
      </c>
      <c r="AR185">
        <v>102.25369999999999</v>
      </c>
      <c r="AS185">
        <v>0.49328126734362682</v>
      </c>
      <c r="AT185">
        <f t="shared" si="69"/>
        <v>50.439834726575008</v>
      </c>
      <c r="AU185">
        <f t="shared" si="80"/>
        <v>-0.50780535457832787</v>
      </c>
      <c r="AV185">
        <f t="shared" si="81"/>
        <v>2.547409228102282</v>
      </c>
      <c r="AW185">
        <f t="shared" si="89"/>
        <v>2.547409228102282</v>
      </c>
      <c r="AY185" s="4">
        <f t="shared" si="61"/>
        <v>102.89137855132689</v>
      </c>
      <c r="AZ185">
        <f t="shared" si="82"/>
        <v>2.0396038735239541</v>
      </c>
    </row>
    <row r="186" spans="1:52" x14ac:dyDescent="0.35">
      <c r="A186" s="2">
        <v>42095</v>
      </c>
      <c r="B186">
        <v>106.60980000000001</v>
      </c>
      <c r="C186">
        <v>4.4652050686295727E-2</v>
      </c>
      <c r="D186">
        <f t="shared" si="90"/>
        <v>4.7603461932558506</v>
      </c>
      <c r="E186">
        <f t="shared" si="70"/>
        <v>2.4480527530143181</v>
      </c>
      <c r="F186">
        <f t="shared" si="62"/>
        <v>0.48382597685963091</v>
      </c>
      <c r="G186">
        <f t="shared" si="83"/>
        <v>3.1317011340128209</v>
      </c>
      <c r="I186">
        <v>106.7376</v>
      </c>
      <c r="J186">
        <v>7.5938104297043008E-2</v>
      </c>
      <c r="K186">
        <f t="shared" si="63"/>
        <v>8.105451001216057</v>
      </c>
      <c r="L186">
        <f t="shared" si="71"/>
        <v>3.1505399724577776</v>
      </c>
      <c r="M186">
        <f t="shared" si="64"/>
        <v>1.1863131963030904</v>
      </c>
      <c r="N186">
        <f t="shared" si="84"/>
        <v>1.5923235274771352</v>
      </c>
      <c r="P186">
        <v>109.3831</v>
      </c>
      <c r="Q186">
        <v>0.11001490598025475</v>
      </c>
      <c r="R186">
        <f t="shared" si="65"/>
        <v>12.033771462328803</v>
      </c>
      <c r="S186">
        <f t="shared" si="72"/>
        <v>1.3559142993222695</v>
      </c>
      <c r="T186">
        <f t="shared" si="73"/>
        <v>0.60831247683241774</v>
      </c>
      <c r="U186">
        <f t="shared" si="85"/>
        <v>4.2495166008978291</v>
      </c>
      <c r="W186">
        <v>105.4278</v>
      </c>
      <c r="X186">
        <v>6.4346656298709157E-2</v>
      </c>
      <c r="Y186">
        <f t="shared" si="66"/>
        <v>6.7839264109290491</v>
      </c>
      <c r="Z186">
        <f t="shared" si="74"/>
        <v>3.7412780428572878</v>
      </c>
      <c r="AA186">
        <f t="shared" si="75"/>
        <v>1.7770512667026006</v>
      </c>
      <c r="AB186">
        <f t="shared" si="86"/>
        <v>2.6530387678141532</v>
      </c>
      <c r="AD186">
        <v>102.6604</v>
      </c>
      <c r="AE186">
        <v>0.13522930607735018</v>
      </c>
      <c r="AF186">
        <f t="shared" si="67"/>
        <v>13.882694653623199</v>
      </c>
      <c r="AG186">
        <f t="shared" si="76"/>
        <v>2.4932335361026015</v>
      </c>
      <c r="AH186">
        <f t="shared" si="77"/>
        <v>0.52900675994791424</v>
      </c>
      <c r="AI186">
        <f t="shared" si="87"/>
        <v>0.52900675994791424</v>
      </c>
      <c r="AK186">
        <v>106.0855</v>
      </c>
      <c r="AL186">
        <v>7.6537709316720368E-2</v>
      </c>
      <c r="AM186">
        <f t="shared" si="68"/>
        <v>8.1195411617189386</v>
      </c>
      <c r="AN186">
        <f t="shared" si="78"/>
        <v>1.6210825992497568</v>
      </c>
      <c r="AO186">
        <f t="shared" si="79"/>
        <v>0.34314417690493038</v>
      </c>
      <c r="AP186">
        <f t="shared" si="88"/>
        <v>1.6964596966190237</v>
      </c>
      <c r="AR186">
        <v>103.8488</v>
      </c>
      <c r="AS186">
        <v>0.49328126734362682</v>
      </c>
      <c r="AT186">
        <f t="shared" si="69"/>
        <v>51.226667676114829</v>
      </c>
      <c r="AU186">
        <f t="shared" si="80"/>
        <v>1.5599435521648664</v>
      </c>
      <c r="AV186">
        <f t="shared" si="81"/>
        <v>0.40428322398982086</v>
      </c>
      <c r="AW186">
        <f t="shared" si="89"/>
        <v>0.40428322398982086</v>
      </c>
      <c r="AY186" s="4">
        <f t="shared" si="61"/>
        <v>104.91239855918674</v>
      </c>
      <c r="AZ186">
        <f t="shared" si="82"/>
        <v>1.9642267761546872</v>
      </c>
    </row>
    <row r="187" spans="1:52" x14ac:dyDescent="0.35">
      <c r="A187" s="2">
        <v>42125</v>
      </c>
      <c r="B187">
        <v>105.4901</v>
      </c>
      <c r="C187">
        <v>4.4652050686295727E-2</v>
      </c>
      <c r="D187">
        <f t="shared" si="90"/>
        <v>4.7103492921024044</v>
      </c>
      <c r="E187">
        <f t="shared" si="70"/>
        <v>-1.0502786798211927</v>
      </c>
      <c r="F187">
        <f t="shared" si="62"/>
        <v>0.84664684486082109</v>
      </c>
      <c r="G187">
        <f t="shared" si="83"/>
        <v>0.36282086800119018</v>
      </c>
      <c r="I187">
        <v>104.88460000000001</v>
      </c>
      <c r="J187">
        <v>7.5938104297043008E-2</v>
      </c>
      <c r="K187">
        <f t="shared" si="63"/>
        <v>7.9647376939536372</v>
      </c>
      <c r="L187">
        <f t="shared" si="71"/>
        <v>-1.7360330380297051</v>
      </c>
      <c r="M187">
        <f t="shared" si="64"/>
        <v>1.5324012030693335</v>
      </c>
      <c r="N187">
        <f t="shared" si="84"/>
        <v>0.34608800676624307</v>
      </c>
      <c r="P187">
        <v>105.1591</v>
      </c>
      <c r="Q187">
        <v>0.11001490598025475</v>
      </c>
      <c r="R187">
        <f t="shared" si="65"/>
        <v>11.569068499468207</v>
      </c>
      <c r="S187">
        <f t="shared" si="72"/>
        <v>-3.8616568738680912</v>
      </c>
      <c r="T187">
        <f t="shared" si="73"/>
        <v>3.6580250389077196</v>
      </c>
      <c r="U187">
        <f t="shared" si="85"/>
        <v>3.0497125620753018</v>
      </c>
      <c r="W187">
        <v>104.4308</v>
      </c>
      <c r="X187">
        <v>6.4346656298709157E-2</v>
      </c>
      <c r="Y187">
        <f t="shared" si="66"/>
        <v>6.7197727945992369</v>
      </c>
      <c r="Z187">
        <f t="shared" si="74"/>
        <v>-0.9456708761825583</v>
      </c>
      <c r="AA187">
        <f t="shared" si="75"/>
        <v>0.74203904122218667</v>
      </c>
      <c r="AB187">
        <f t="shared" si="86"/>
        <v>0.21303228127427243</v>
      </c>
      <c r="AD187">
        <v>104.4679</v>
      </c>
      <c r="AE187">
        <v>0.13522930607735018</v>
      </c>
      <c r="AF187">
        <f t="shared" si="67"/>
        <v>14.12712162435801</v>
      </c>
      <c r="AG187">
        <f t="shared" si="76"/>
        <v>1.7606594168735112</v>
      </c>
      <c r="AH187">
        <f t="shared" si="77"/>
        <v>1.9642912518338829</v>
      </c>
      <c r="AI187">
        <f t="shared" si="87"/>
        <v>1.9642912518338829</v>
      </c>
      <c r="AK187">
        <v>105.9059</v>
      </c>
      <c r="AL187">
        <v>7.6537709316720368E-2</v>
      </c>
      <c r="AM187">
        <f t="shared" si="68"/>
        <v>8.1057949891256555</v>
      </c>
      <c r="AN187">
        <f t="shared" si="78"/>
        <v>-0.16929740633733203</v>
      </c>
      <c r="AO187">
        <f t="shared" si="79"/>
        <v>3.4334428623039592E-2</v>
      </c>
      <c r="AP187">
        <f t="shared" si="88"/>
        <v>1.9298923475316476</v>
      </c>
      <c r="AR187">
        <v>104.4068</v>
      </c>
      <c r="AS187">
        <v>0.49328126734362682</v>
      </c>
      <c r="AT187">
        <f t="shared" si="69"/>
        <v>51.501918623292582</v>
      </c>
      <c r="AU187">
        <f t="shared" si="80"/>
        <v>0.53731964163283852</v>
      </c>
      <c r="AV187">
        <f t="shared" si="81"/>
        <v>0.74095147659321015</v>
      </c>
      <c r="AW187">
        <f t="shared" si="89"/>
        <v>0.74095147659321015</v>
      </c>
      <c r="AY187" s="4">
        <f t="shared" si="61"/>
        <v>104.69876351689973</v>
      </c>
      <c r="AZ187">
        <f t="shared" si="82"/>
        <v>-0.20363183496037163</v>
      </c>
    </row>
    <row r="188" spans="1:52" x14ac:dyDescent="0.35">
      <c r="A188" s="2">
        <v>42156</v>
      </c>
      <c r="B188">
        <v>103.4648</v>
      </c>
      <c r="C188">
        <v>4.4652050686295727E-2</v>
      </c>
      <c r="D188">
        <f t="shared" si="90"/>
        <v>4.6199154938474498</v>
      </c>
      <c r="E188">
        <f t="shared" si="70"/>
        <v>-1.9198958006485967</v>
      </c>
      <c r="F188">
        <f t="shared" si="62"/>
        <v>0.58536442579282255</v>
      </c>
      <c r="G188">
        <f t="shared" si="83"/>
        <v>0.26128241906799854</v>
      </c>
      <c r="I188">
        <v>102.2</v>
      </c>
      <c r="J188">
        <v>7.5938104297043008E-2</v>
      </c>
      <c r="K188">
        <f t="shared" si="63"/>
        <v>7.7608742591577959</v>
      </c>
      <c r="L188">
        <f t="shared" si="71"/>
        <v>-2.5595749995709571</v>
      </c>
      <c r="M188">
        <f t="shared" si="64"/>
        <v>1.225043624715183</v>
      </c>
      <c r="N188">
        <f t="shared" si="84"/>
        <v>0.30735757835415045</v>
      </c>
      <c r="P188">
        <v>101.2552</v>
      </c>
      <c r="Q188">
        <v>0.11001490598025475</v>
      </c>
      <c r="R188">
        <f t="shared" si="65"/>
        <v>11.139581308011891</v>
      </c>
      <c r="S188">
        <f t="shared" si="72"/>
        <v>-3.7123748681759272</v>
      </c>
      <c r="T188">
        <f t="shared" si="73"/>
        <v>2.3778434933201531</v>
      </c>
      <c r="U188">
        <f t="shared" si="85"/>
        <v>1.2801815455875665</v>
      </c>
      <c r="W188">
        <v>102.7753</v>
      </c>
      <c r="X188">
        <v>6.4346656298709157E-2</v>
      </c>
      <c r="Y188">
        <f t="shared" si="66"/>
        <v>6.6132469050967231</v>
      </c>
      <c r="Z188">
        <f t="shared" si="74"/>
        <v>-1.5852602871949673</v>
      </c>
      <c r="AA188">
        <f t="shared" si="75"/>
        <v>0.25072891233919314</v>
      </c>
      <c r="AB188">
        <f t="shared" si="86"/>
        <v>1.7135623394946897</v>
      </c>
      <c r="AD188">
        <v>106.5378</v>
      </c>
      <c r="AE188">
        <v>0.13522930607735018</v>
      </c>
      <c r="AF188">
        <f t="shared" si="67"/>
        <v>14.407032765007518</v>
      </c>
      <c r="AG188">
        <f t="shared" si="76"/>
        <v>1.9813741828829778</v>
      </c>
      <c r="AH188">
        <f t="shared" si="77"/>
        <v>3.315905557738752</v>
      </c>
      <c r="AI188">
        <f t="shared" si="87"/>
        <v>3.315905557738752</v>
      </c>
      <c r="AK188">
        <v>102.8565</v>
      </c>
      <c r="AL188">
        <v>7.6537709316720368E-2</v>
      </c>
      <c r="AM188">
        <f t="shared" si="68"/>
        <v>7.8724008983352487</v>
      </c>
      <c r="AN188">
        <f t="shared" si="78"/>
        <v>-2.8793485537632946</v>
      </c>
      <c r="AO188">
        <f t="shared" si="79"/>
        <v>1.5448171789075205</v>
      </c>
      <c r="AP188">
        <f t="shared" si="88"/>
        <v>1.7484490138678921</v>
      </c>
      <c r="AR188">
        <v>103.1632</v>
      </c>
      <c r="AS188">
        <v>0.49328126734362682</v>
      </c>
      <c r="AT188">
        <f t="shared" si="69"/>
        <v>50.888474039224043</v>
      </c>
      <c r="AU188">
        <f t="shared" si="80"/>
        <v>-1.1911101575759475</v>
      </c>
      <c r="AV188">
        <f t="shared" si="81"/>
        <v>0.1434212172798266</v>
      </c>
      <c r="AW188">
        <f t="shared" si="89"/>
        <v>0.1434212172798266</v>
      </c>
      <c r="AY188" s="4">
        <f t="shared" si="61"/>
        <v>103.30152566868065</v>
      </c>
      <c r="AZ188">
        <f t="shared" si="82"/>
        <v>-1.3345313748557741</v>
      </c>
    </row>
    <row r="189" spans="1:52" x14ac:dyDescent="0.35">
      <c r="A189" s="2">
        <v>42186</v>
      </c>
      <c r="B189">
        <v>100.71420000000001</v>
      </c>
      <c r="C189">
        <v>4.4652050686295727E-2</v>
      </c>
      <c r="D189">
        <f t="shared" si="90"/>
        <v>4.4970955632297258</v>
      </c>
      <c r="E189">
        <f t="shared" si="70"/>
        <v>-2.6584886840741895</v>
      </c>
      <c r="F189">
        <f t="shared" si="62"/>
        <v>1.6849564434465503</v>
      </c>
      <c r="G189">
        <f t="shared" si="83"/>
        <v>1.0995920176537277</v>
      </c>
      <c r="I189">
        <v>102.6293</v>
      </c>
      <c r="J189">
        <v>7.5938104297043008E-2</v>
      </c>
      <c r="K189">
        <f t="shared" si="63"/>
        <v>7.7934744873325164</v>
      </c>
      <c r="L189">
        <f t="shared" si="71"/>
        <v>0.42005870841486104</v>
      </c>
      <c r="M189">
        <f t="shared" si="64"/>
        <v>1.3935909490425002</v>
      </c>
      <c r="N189">
        <f t="shared" si="84"/>
        <v>0.16854732432731723</v>
      </c>
      <c r="P189">
        <v>101.8991</v>
      </c>
      <c r="Q189">
        <v>0.11001490598025475</v>
      </c>
      <c r="R189">
        <f t="shared" si="65"/>
        <v>11.210419905972577</v>
      </c>
      <c r="S189">
        <f t="shared" si="72"/>
        <v>0.63591795779378568</v>
      </c>
      <c r="T189">
        <f t="shared" si="73"/>
        <v>1.6094501984214249</v>
      </c>
      <c r="U189">
        <f t="shared" si="85"/>
        <v>0.76839329489872821</v>
      </c>
      <c r="W189">
        <v>103.11239999999999</v>
      </c>
      <c r="X189">
        <v>6.4346656298709157E-2</v>
      </c>
      <c r="Y189">
        <f t="shared" si="66"/>
        <v>6.6349381629350175</v>
      </c>
      <c r="Z189">
        <f t="shared" si="74"/>
        <v>0.32799709657864717</v>
      </c>
      <c r="AA189">
        <f t="shared" si="75"/>
        <v>1.3015293372062864</v>
      </c>
      <c r="AB189">
        <f t="shared" si="86"/>
        <v>2.0143762205324656</v>
      </c>
      <c r="AD189">
        <v>105.616</v>
      </c>
      <c r="AE189">
        <v>0.13522930607735018</v>
      </c>
      <c r="AF189">
        <f t="shared" si="67"/>
        <v>14.282378390665416</v>
      </c>
      <c r="AG189">
        <f t="shared" si="76"/>
        <v>-0.8652328093878503</v>
      </c>
      <c r="AH189">
        <f t="shared" si="77"/>
        <v>0.10829943123978891</v>
      </c>
      <c r="AI189">
        <f t="shared" si="87"/>
        <v>0.10829943123978891</v>
      </c>
      <c r="AK189">
        <v>100.7856</v>
      </c>
      <c r="AL189">
        <v>7.6537709316720368E-2</v>
      </c>
      <c r="AM189">
        <f t="shared" si="68"/>
        <v>7.7138989561112528</v>
      </c>
      <c r="AN189">
        <f t="shared" si="78"/>
        <v>-2.013387583672388</v>
      </c>
      <c r="AO189">
        <f t="shared" si="79"/>
        <v>1.0398553430447488</v>
      </c>
      <c r="AP189">
        <f t="shared" si="88"/>
        <v>2.3743867179005229</v>
      </c>
      <c r="AR189">
        <v>101.6938</v>
      </c>
      <c r="AS189">
        <v>0.49328126734362682</v>
      </c>
      <c r="AT189">
        <f t="shared" si="69"/>
        <v>50.163646544989312</v>
      </c>
      <c r="AU189">
        <f t="shared" si="80"/>
        <v>-1.424345115312442</v>
      </c>
      <c r="AV189">
        <f t="shared" si="81"/>
        <v>0.4508128746848028</v>
      </c>
      <c r="AW189">
        <f t="shared" si="89"/>
        <v>0.4508128746848028</v>
      </c>
      <c r="AY189" s="4">
        <f t="shared" si="61"/>
        <v>102.29585201123581</v>
      </c>
      <c r="AZ189">
        <f t="shared" si="82"/>
        <v>-0.97353224062763921</v>
      </c>
    </row>
    <row r="190" spans="1:52" x14ac:dyDescent="0.35">
      <c r="A190" s="2">
        <v>42217</v>
      </c>
      <c r="B190">
        <v>97.859979999999993</v>
      </c>
      <c r="C190">
        <v>4.4652050686295727E-2</v>
      </c>
      <c r="D190">
        <f t="shared" si="90"/>
        <v>4.3696487871198855</v>
      </c>
      <c r="E190">
        <f t="shared" si="70"/>
        <v>-2.8339797168621783</v>
      </c>
      <c r="F190">
        <f t="shared" si="62"/>
        <v>0.29229382352270461</v>
      </c>
      <c r="G190">
        <f t="shared" si="83"/>
        <v>1.3926626199238457</v>
      </c>
      <c r="I190">
        <v>101.03189999999999</v>
      </c>
      <c r="J190">
        <v>7.5938104297043008E-2</v>
      </c>
      <c r="K190">
        <f t="shared" si="63"/>
        <v>7.6721709595284189</v>
      </c>
      <c r="L190">
        <f t="shared" si="71"/>
        <v>-1.556475587381001</v>
      </c>
      <c r="M190">
        <f t="shared" si="64"/>
        <v>0.9852103059584727</v>
      </c>
      <c r="N190">
        <f t="shared" si="84"/>
        <v>0.40838064308402755</v>
      </c>
      <c r="P190">
        <v>98.315209999999993</v>
      </c>
      <c r="Q190">
        <v>0.11001490598025475</v>
      </c>
      <c r="R190">
        <f t="shared" si="65"/>
        <v>10.816138584579001</v>
      </c>
      <c r="S190">
        <f t="shared" si="72"/>
        <v>-3.5170968143977799</v>
      </c>
      <c r="T190">
        <f t="shared" si="73"/>
        <v>0.97541092105830618</v>
      </c>
      <c r="U190">
        <f t="shared" si="85"/>
        <v>0.63403927736311871</v>
      </c>
      <c r="W190">
        <v>103.08920000000001</v>
      </c>
      <c r="X190">
        <v>6.4346656298709157E-2</v>
      </c>
      <c r="Y190">
        <f t="shared" si="66"/>
        <v>6.6334453205088879</v>
      </c>
      <c r="Z190">
        <f t="shared" si="74"/>
        <v>-2.2499718753499209E-2</v>
      </c>
      <c r="AA190">
        <f t="shared" si="75"/>
        <v>2.5191861745859745</v>
      </c>
      <c r="AB190">
        <f t="shared" si="86"/>
        <v>2.4108867433461856</v>
      </c>
      <c r="AD190">
        <v>104.0154</v>
      </c>
      <c r="AE190">
        <v>0.13522930607735018</v>
      </c>
      <c r="AF190">
        <f t="shared" si="67"/>
        <v>14.06593036335801</v>
      </c>
      <c r="AG190">
        <f t="shared" si="76"/>
        <v>-1.5154900772610169</v>
      </c>
      <c r="AH190">
        <f t="shared" si="77"/>
        <v>1.0261958160784568</v>
      </c>
      <c r="AI190">
        <f t="shared" si="87"/>
        <v>1.0261958160784568</v>
      </c>
      <c r="AK190">
        <v>97.744569999999996</v>
      </c>
      <c r="AL190">
        <v>7.6537709316720368E-2</v>
      </c>
      <c r="AM190">
        <f t="shared" si="68"/>
        <v>7.4811454859478257</v>
      </c>
      <c r="AN190">
        <f t="shared" si="78"/>
        <v>-3.0173258878252507</v>
      </c>
      <c r="AO190">
        <f t="shared" si="79"/>
        <v>0.47563999448577698</v>
      </c>
      <c r="AP190">
        <f t="shared" si="88"/>
        <v>1.4491722351134162</v>
      </c>
      <c r="AR190">
        <v>98.640140000000002</v>
      </c>
      <c r="AS190">
        <v>0.49328126734362682</v>
      </c>
      <c r="AT190">
        <f t="shared" si="69"/>
        <v>48.657333270152776</v>
      </c>
      <c r="AU190">
        <f t="shared" si="80"/>
        <v>-3.0027985973579474</v>
      </c>
      <c r="AV190">
        <f t="shared" si="81"/>
        <v>0.46111270401847371</v>
      </c>
      <c r="AW190">
        <f t="shared" si="89"/>
        <v>0.46111270401847371</v>
      </c>
      <c r="AY190" s="4">
        <f t="shared" si="61"/>
        <v>99.695812771194809</v>
      </c>
      <c r="AZ190">
        <f t="shared" si="82"/>
        <v>-2.5416858933394737</v>
      </c>
    </row>
    <row r="191" spans="1:52" x14ac:dyDescent="0.35">
      <c r="A191" s="2">
        <v>42248</v>
      </c>
      <c r="B191">
        <v>93.992230000000006</v>
      </c>
      <c r="C191">
        <v>4.4652050686295727E-2</v>
      </c>
      <c r="D191">
        <f t="shared" si="90"/>
        <v>4.1969458180779657</v>
      </c>
      <c r="E191">
        <f t="shared" si="70"/>
        <v>-3.9523306667342384</v>
      </c>
      <c r="F191">
        <f t="shared" si="62"/>
        <v>2.3935200347806829</v>
      </c>
      <c r="G191">
        <f t="shared" si="83"/>
        <v>2.1012262112579783</v>
      </c>
      <c r="I191">
        <v>93.757009999999994</v>
      </c>
      <c r="J191">
        <v>7.5938104297043008E-2</v>
      </c>
      <c r="K191">
        <f t="shared" si="63"/>
        <v>7.1197296039589038</v>
      </c>
      <c r="L191">
        <f t="shared" si="71"/>
        <v>-7.2005871412890388</v>
      </c>
      <c r="M191">
        <f t="shared" si="64"/>
        <v>0.85473643977411751</v>
      </c>
      <c r="N191">
        <f t="shared" si="84"/>
        <v>0.13047386618435519</v>
      </c>
      <c r="P191">
        <v>91.189830000000001</v>
      </c>
      <c r="Q191">
        <v>0.11001490598025475</v>
      </c>
      <c r="R191">
        <f t="shared" si="65"/>
        <v>10.032240573805414</v>
      </c>
      <c r="S191">
        <f t="shared" si="72"/>
        <v>-7.2474849008612114</v>
      </c>
      <c r="T191">
        <f t="shared" si="73"/>
        <v>0.90163419934629019</v>
      </c>
      <c r="U191">
        <f t="shared" si="85"/>
        <v>7.3776721712015991E-2</v>
      </c>
      <c r="W191">
        <v>97.522670000000005</v>
      </c>
      <c r="X191">
        <v>6.4346656298709157E-2</v>
      </c>
      <c r="Y191">
        <f t="shared" si="66"/>
        <v>6.2752577278224351</v>
      </c>
      <c r="Z191">
        <f t="shared" si="74"/>
        <v>-5.3997217943295706</v>
      </c>
      <c r="AA191">
        <f t="shared" si="75"/>
        <v>0.9461289071853507</v>
      </c>
      <c r="AB191">
        <f t="shared" si="86"/>
        <v>8.0066908893106081E-2</v>
      </c>
      <c r="AD191">
        <v>93.874219999999994</v>
      </c>
      <c r="AE191">
        <v>0.13522930607735018</v>
      </c>
      <c r="AF191">
        <f t="shared" si="67"/>
        <v>12.694545629152506</v>
      </c>
      <c r="AG191">
        <f t="shared" si="76"/>
        <v>-9.7496909111535413</v>
      </c>
      <c r="AH191">
        <f t="shared" si="77"/>
        <v>3.40384020963862</v>
      </c>
      <c r="AI191">
        <f t="shared" si="87"/>
        <v>3.40384020963862</v>
      </c>
      <c r="AK191">
        <v>92.305269999999993</v>
      </c>
      <c r="AL191">
        <v>7.6537709316720368E-2</v>
      </c>
      <c r="AM191">
        <f t="shared" si="68"/>
        <v>7.0648339236613884</v>
      </c>
      <c r="AN191">
        <f t="shared" si="78"/>
        <v>-5.5648104032786749</v>
      </c>
      <c r="AO191">
        <f t="shared" si="79"/>
        <v>0.78104029823624632</v>
      </c>
      <c r="AP191">
        <f t="shared" si="88"/>
        <v>3.32272619157572</v>
      </c>
      <c r="AR191">
        <v>93.224119999999999</v>
      </c>
      <c r="AS191">
        <v>0.49328126734362682</v>
      </c>
      <c r="AT191">
        <f t="shared" si="69"/>
        <v>45.985712060594345</v>
      </c>
      <c r="AU191">
        <f t="shared" si="80"/>
        <v>-5.4906856377130104</v>
      </c>
      <c r="AV191">
        <f t="shared" si="81"/>
        <v>0.85516506380191082</v>
      </c>
      <c r="AW191">
        <f t="shared" si="89"/>
        <v>0.85516506380191082</v>
      </c>
      <c r="AY191" s="4">
        <f t="shared" si="61"/>
        <v>93.369265337072946</v>
      </c>
      <c r="AZ191">
        <f t="shared" si="82"/>
        <v>-6.3458507015149213</v>
      </c>
    </row>
    <row r="192" spans="1:52" x14ac:dyDescent="0.35">
      <c r="A192" s="2">
        <v>42278</v>
      </c>
      <c r="B192">
        <v>95.972560000000001</v>
      </c>
      <c r="C192">
        <v>4.4652050686295727E-2</v>
      </c>
      <c r="D192">
        <f t="shared" si="90"/>
        <v>4.2853716136135578</v>
      </c>
      <c r="E192">
        <f t="shared" si="70"/>
        <v>2.1069081986883287</v>
      </c>
      <c r="F192">
        <f t="shared" si="62"/>
        <v>1.3611996663381642</v>
      </c>
      <c r="G192">
        <f t="shared" si="83"/>
        <v>1.0323203684425186</v>
      </c>
      <c r="I192">
        <v>97.397670000000005</v>
      </c>
      <c r="J192">
        <v>7.5938104297043008E-2</v>
      </c>
      <c r="K192">
        <f t="shared" si="63"/>
        <v>7.3961944227489775</v>
      </c>
      <c r="L192">
        <f t="shared" si="71"/>
        <v>3.8830803158078631</v>
      </c>
      <c r="M192">
        <f t="shared" si="64"/>
        <v>0.41497245078137013</v>
      </c>
      <c r="N192">
        <f t="shared" si="84"/>
        <v>0.43976398899274738</v>
      </c>
      <c r="P192">
        <v>93.416510000000002</v>
      </c>
      <c r="Q192">
        <v>0.11001490598025475</v>
      </c>
      <c r="R192">
        <f t="shared" si="65"/>
        <v>10.277208564653527</v>
      </c>
      <c r="S192">
        <f t="shared" si="72"/>
        <v>2.4418073813713637</v>
      </c>
      <c r="T192">
        <f t="shared" si="73"/>
        <v>1.0263004836551293</v>
      </c>
      <c r="U192">
        <f t="shared" si="85"/>
        <v>0.12466628430883908</v>
      </c>
      <c r="W192">
        <v>100.33540000000001</v>
      </c>
      <c r="X192">
        <v>6.4346656298709157E-2</v>
      </c>
      <c r="Y192">
        <f t="shared" si="66"/>
        <v>6.4562474983935028</v>
      </c>
      <c r="Z192">
        <f t="shared" si="74"/>
        <v>2.8841806730681263</v>
      </c>
      <c r="AA192">
        <f t="shared" si="75"/>
        <v>0.58392719195836662</v>
      </c>
      <c r="AB192">
        <f t="shared" si="86"/>
        <v>2.8199130176802534</v>
      </c>
      <c r="AD192">
        <v>97.116020000000006</v>
      </c>
      <c r="AE192">
        <v>0.13522930607735018</v>
      </c>
      <c r="AF192">
        <f t="shared" si="67"/>
        <v>13.132931993594061</v>
      </c>
      <c r="AG192">
        <f t="shared" si="76"/>
        <v>3.4533442727939789</v>
      </c>
      <c r="AH192">
        <f t="shared" si="77"/>
        <v>1.4763592232514E-2</v>
      </c>
      <c r="AI192">
        <f t="shared" si="87"/>
        <v>1.4763592232514E-2</v>
      </c>
      <c r="AK192">
        <v>96.148769999999999</v>
      </c>
      <c r="AL192">
        <v>7.6537709316720368E-2</v>
      </c>
      <c r="AM192">
        <f t="shared" si="68"/>
        <v>7.359006609420204</v>
      </c>
      <c r="AN192">
        <f t="shared" si="78"/>
        <v>4.1639009343670264</v>
      </c>
      <c r="AO192">
        <f t="shared" si="79"/>
        <v>0.69579306934053342</v>
      </c>
      <c r="AP192">
        <f t="shared" si="88"/>
        <v>7.0416437708554547</v>
      </c>
      <c r="AR192">
        <v>96.700310000000002</v>
      </c>
      <c r="AS192">
        <v>0.49328126734362682</v>
      </c>
      <c r="AT192">
        <f t="shared" si="69"/>
        <v>47.700451469321592</v>
      </c>
      <c r="AU192">
        <f t="shared" si="80"/>
        <v>3.7288525759213487</v>
      </c>
      <c r="AV192">
        <f t="shared" si="81"/>
        <v>0.26074471089485574</v>
      </c>
      <c r="AW192">
        <f t="shared" si="89"/>
        <v>0.26074471089485574</v>
      </c>
      <c r="AY192" s="4">
        <f t="shared" si="61"/>
        <v>96.607412171745437</v>
      </c>
      <c r="AZ192">
        <f t="shared" si="82"/>
        <v>3.4681078650264929</v>
      </c>
    </row>
    <row r="193" spans="1:52" x14ac:dyDescent="0.35">
      <c r="A193" s="2">
        <v>42309</v>
      </c>
      <c r="B193">
        <v>93.619540000000001</v>
      </c>
      <c r="C193">
        <v>4.4652050686295727E-2</v>
      </c>
      <c r="D193">
        <f t="shared" si="90"/>
        <v>4.1803044453076907</v>
      </c>
      <c r="E193">
        <f t="shared" si="70"/>
        <v>-2.4517632956753466</v>
      </c>
      <c r="F193">
        <f t="shared" si="62"/>
        <v>4.5630696046671133</v>
      </c>
      <c r="G193">
        <f t="shared" si="83"/>
        <v>3.2018699383289491</v>
      </c>
      <c r="I193">
        <v>101.32810000000001</v>
      </c>
      <c r="J193">
        <v>7.5938104297043008E-2</v>
      </c>
      <c r="K193">
        <f t="shared" si="63"/>
        <v>7.6946638260212037</v>
      </c>
      <c r="L193">
        <f t="shared" si="71"/>
        <v>4.035445611789279</v>
      </c>
      <c r="M193">
        <f t="shared" si="64"/>
        <v>1.9241393027975118</v>
      </c>
      <c r="N193">
        <f t="shared" si="84"/>
        <v>1.5091668520161416</v>
      </c>
      <c r="P193">
        <v>99.701340000000002</v>
      </c>
      <c r="Q193">
        <v>0.11001490598025475</v>
      </c>
      <c r="R193">
        <f t="shared" si="65"/>
        <v>10.968633546205412</v>
      </c>
      <c r="S193">
        <f t="shared" si="72"/>
        <v>6.7277508012234755</v>
      </c>
      <c r="T193">
        <f t="shared" si="73"/>
        <v>4.6164444922317083</v>
      </c>
      <c r="U193">
        <f t="shared" si="85"/>
        <v>3.590144008576579</v>
      </c>
      <c r="W193">
        <v>101.4747</v>
      </c>
      <c r="X193">
        <v>6.4346656298709157E-2</v>
      </c>
      <c r="Y193">
        <f t="shared" si="66"/>
        <v>6.5295576439146217</v>
      </c>
      <c r="Z193">
        <f t="shared" si="74"/>
        <v>1.13549156130337</v>
      </c>
      <c r="AA193">
        <f t="shared" si="75"/>
        <v>0.97581474768839715</v>
      </c>
      <c r="AB193">
        <f t="shared" si="86"/>
        <v>0.96105115545588315</v>
      </c>
      <c r="AD193">
        <v>101.90170000000001</v>
      </c>
      <c r="AE193">
        <v>0.13522930607735018</v>
      </c>
      <c r="AF193">
        <f t="shared" si="67"/>
        <v>13.780096179102316</v>
      </c>
      <c r="AG193">
        <f t="shared" si="76"/>
        <v>4.9277966704154519</v>
      </c>
      <c r="AH193">
        <f t="shared" si="77"/>
        <v>2.8164903614236847</v>
      </c>
      <c r="AI193">
        <f t="shared" si="87"/>
        <v>2.8164903614236847</v>
      </c>
      <c r="AK193">
        <v>95.634569999999997</v>
      </c>
      <c r="AL193">
        <v>7.6537709316720368E-2</v>
      </c>
      <c r="AM193">
        <f t="shared" si="68"/>
        <v>7.319650919289546</v>
      </c>
      <c r="AN193">
        <f t="shared" si="78"/>
        <v>-0.53479623296273093</v>
      </c>
      <c r="AO193">
        <f t="shared" si="79"/>
        <v>2.6461025419544981</v>
      </c>
      <c r="AP193">
        <f t="shared" si="88"/>
        <v>0.82200532307199481</v>
      </c>
      <c r="AR193">
        <v>97.660679999999999</v>
      </c>
      <c r="AS193">
        <v>0.49328126734362682</v>
      </c>
      <c r="AT193">
        <f t="shared" si="69"/>
        <v>48.174184000040391</v>
      </c>
      <c r="AU193">
        <f t="shared" si="80"/>
        <v>0.99314055973553916</v>
      </c>
      <c r="AV193">
        <f t="shared" si="81"/>
        <v>1.118165749256228</v>
      </c>
      <c r="AW193">
        <f t="shared" si="89"/>
        <v>1.118165749256228</v>
      </c>
      <c r="AY193" s="4">
        <f t="shared" si="61"/>
        <v>98.647090559881178</v>
      </c>
      <c r="AZ193">
        <f t="shared" si="82"/>
        <v>2.1113063089917672</v>
      </c>
    </row>
    <row r="194" spans="1:52" x14ac:dyDescent="0.35">
      <c r="A194" s="2">
        <v>42339</v>
      </c>
      <c r="B194">
        <v>91.582310000000007</v>
      </c>
      <c r="C194">
        <v>4.4652050686295727E-2</v>
      </c>
      <c r="D194">
        <f t="shared" si="90"/>
        <v>4.0893379480880485</v>
      </c>
      <c r="E194">
        <f t="shared" si="70"/>
        <v>-2.1760734991861708</v>
      </c>
      <c r="F194">
        <f t="shared" si="62"/>
        <v>0.13726753816925008</v>
      </c>
      <c r="G194">
        <f t="shared" si="83"/>
        <v>4.4258020664978632</v>
      </c>
      <c r="I194">
        <v>97.068680000000001</v>
      </c>
      <c r="J194">
        <v>7.5938104297043008E-2</v>
      </c>
      <c r="K194">
        <f t="shared" si="63"/>
        <v>7.3712115458162923</v>
      </c>
      <c r="L194">
        <f t="shared" si="71"/>
        <v>-4.20359209340746</v>
      </c>
      <c r="M194">
        <f t="shared" si="64"/>
        <v>1.8902510560520391</v>
      </c>
      <c r="N194">
        <f t="shared" si="84"/>
        <v>3.3888246745472639E-2</v>
      </c>
      <c r="P194">
        <v>97.493939999999995</v>
      </c>
      <c r="Q194">
        <v>0.11001490598025475</v>
      </c>
      <c r="R194">
        <f t="shared" si="65"/>
        <v>10.725786642744596</v>
      </c>
      <c r="S194">
        <f t="shared" si="72"/>
        <v>-2.2140123693422886</v>
      </c>
      <c r="T194">
        <f t="shared" si="73"/>
        <v>9.9328668013132226E-2</v>
      </c>
      <c r="U194">
        <f t="shared" si="85"/>
        <v>4.5171158242185765</v>
      </c>
      <c r="W194">
        <v>98.959419999999994</v>
      </c>
      <c r="X194">
        <v>6.4346656298709157E-2</v>
      </c>
      <c r="Y194">
        <f t="shared" si="66"/>
        <v>6.3677077862596043</v>
      </c>
      <c r="Z194">
        <f t="shared" si="74"/>
        <v>-2.4787262243692321</v>
      </c>
      <c r="AA194">
        <f t="shared" si="75"/>
        <v>0.16538518701381122</v>
      </c>
      <c r="AB194">
        <f t="shared" si="86"/>
        <v>2.6511051744098735</v>
      </c>
      <c r="AD194">
        <v>99.941389999999998</v>
      </c>
      <c r="AE194">
        <v>0.13522930607735018</v>
      </c>
      <c r="AF194">
        <f t="shared" si="67"/>
        <v>13.515004818105824</v>
      </c>
      <c r="AG194">
        <f t="shared" si="76"/>
        <v>-1.9237264932773557</v>
      </c>
      <c r="AH194">
        <f t="shared" si="77"/>
        <v>0.38961454407806517</v>
      </c>
      <c r="AI194">
        <f t="shared" si="87"/>
        <v>0.38961454407806517</v>
      </c>
      <c r="AK194">
        <v>93.563850000000002</v>
      </c>
      <c r="AL194">
        <v>7.6537709316720368E-2</v>
      </c>
      <c r="AM194">
        <f t="shared" si="68"/>
        <v>7.161162753853227</v>
      </c>
      <c r="AN194">
        <f t="shared" si="78"/>
        <v>-2.1652421294935498</v>
      </c>
      <c r="AO194">
        <f t="shared" si="79"/>
        <v>0.14809890786187108</v>
      </c>
      <c r="AP194">
        <f t="shared" si="88"/>
        <v>1.9632074011298961</v>
      </c>
      <c r="AR194">
        <v>95.553669999999997</v>
      </c>
      <c r="AS194">
        <v>0.49328126734362682</v>
      </c>
      <c r="AT194">
        <f t="shared" si="69"/>
        <v>47.134835436934694</v>
      </c>
      <c r="AU194">
        <f t="shared" si="80"/>
        <v>-2.1574803697864908</v>
      </c>
      <c r="AV194">
        <f t="shared" si="81"/>
        <v>0.15586066756893002</v>
      </c>
      <c r="AW194">
        <f t="shared" si="89"/>
        <v>0.15586066756893002</v>
      </c>
      <c r="AY194" s="4">
        <f t="shared" si="61"/>
        <v>96.365046931802283</v>
      </c>
      <c r="AZ194">
        <f t="shared" si="82"/>
        <v>-2.3133410373554208</v>
      </c>
    </row>
    <row r="195" spans="1:52" x14ac:dyDescent="0.35">
      <c r="A195" s="2">
        <v>42370</v>
      </c>
      <c r="B195">
        <v>86.420410000000004</v>
      </c>
      <c r="C195">
        <v>4.4436077341198817E-2</v>
      </c>
      <c r="D195">
        <f t="shared" si="90"/>
        <v>3.8401840226181116</v>
      </c>
      <c r="E195">
        <f t="shared" si="70"/>
        <v>-5.6363505135434977</v>
      </c>
      <c r="F195">
        <f t="shared" si="62"/>
        <v>1.174244017826731</v>
      </c>
      <c r="G195">
        <f t="shared" si="83"/>
        <v>1.036976479657481</v>
      </c>
      <c r="I195">
        <v>90.855500000000006</v>
      </c>
      <c r="J195">
        <v>7.5613374231440086E-2</v>
      </c>
      <c r="K195">
        <f t="shared" si="63"/>
        <v>6.869890922484605</v>
      </c>
      <c r="L195">
        <f t="shared" si="71"/>
        <v>-6.4008081700503094</v>
      </c>
      <c r="M195">
        <f t="shared" si="64"/>
        <v>0.4097863613199193</v>
      </c>
      <c r="N195">
        <f t="shared" si="84"/>
        <v>1.4804646947321198</v>
      </c>
      <c r="P195">
        <v>90.353129999999993</v>
      </c>
      <c r="Q195">
        <v>0.11077380866640774</v>
      </c>
      <c r="R195">
        <f t="shared" si="65"/>
        <v>10.008760335031065</v>
      </c>
      <c r="S195">
        <f t="shared" si="72"/>
        <v>-7.3243629296343986</v>
      </c>
      <c r="T195">
        <f t="shared" si="73"/>
        <v>0.51376839826416987</v>
      </c>
      <c r="U195">
        <f t="shared" si="85"/>
        <v>0.41443973025103764</v>
      </c>
      <c r="W195">
        <v>90.569630000000004</v>
      </c>
      <c r="X195">
        <v>6.419697995832728E-2</v>
      </c>
      <c r="Y195">
        <f t="shared" si="66"/>
        <v>5.8142967219431174</v>
      </c>
      <c r="Z195">
        <f t="shared" si="74"/>
        <v>-8.4780104814680577</v>
      </c>
      <c r="AA195">
        <f t="shared" si="75"/>
        <v>1.6674159500978289</v>
      </c>
      <c r="AB195">
        <f t="shared" si="86"/>
        <v>1.2778014060197638</v>
      </c>
      <c r="AD195">
        <v>91.557450000000003</v>
      </c>
      <c r="AE195">
        <v>0.13419599830929782</v>
      </c>
      <c r="AF195">
        <f t="shared" si="67"/>
        <v>12.28664340540362</v>
      </c>
      <c r="AG195">
        <f t="shared" si="76"/>
        <v>-8.3888567089170927</v>
      </c>
      <c r="AH195">
        <f t="shared" si="77"/>
        <v>1.5782621775468639</v>
      </c>
      <c r="AI195">
        <f t="shared" si="87"/>
        <v>1.5782621775468639</v>
      </c>
      <c r="AK195">
        <v>90.039090000000002</v>
      </c>
      <c r="AL195">
        <v>7.6832789733813092E-2</v>
      </c>
      <c r="AM195">
        <f t="shared" si="68"/>
        <v>6.9179544697938731</v>
      </c>
      <c r="AN195">
        <f t="shared" si="78"/>
        <v>-3.7672242003722545</v>
      </c>
      <c r="AO195">
        <f t="shared" si="79"/>
        <v>3.0433703309979743</v>
      </c>
      <c r="AP195">
        <f t="shared" si="88"/>
        <v>5.3567113683533947</v>
      </c>
      <c r="AR195">
        <v>89.207809999999995</v>
      </c>
      <c r="AS195">
        <v>0.49395097175951519</v>
      </c>
      <c r="AT195">
        <f t="shared" si="69"/>
        <v>44.064284438038193</v>
      </c>
      <c r="AU195">
        <f t="shared" si="80"/>
        <v>-6.6411473258954912</v>
      </c>
      <c r="AV195">
        <f t="shared" si="81"/>
        <v>0.16944720547473757</v>
      </c>
      <c r="AW195">
        <f t="shared" si="89"/>
        <v>0.16944720547473757</v>
      </c>
      <c r="AY195" s="4">
        <f t="shared" ref="AY195:AY258" si="91">AT195+AM195+AF195+Y195+R195+K195+D195</f>
        <v>89.802014315312604</v>
      </c>
      <c r="AZ195">
        <f t="shared" si="82"/>
        <v>-6.8105945313702287</v>
      </c>
    </row>
    <row r="196" spans="1:52" x14ac:dyDescent="0.35">
      <c r="A196" s="2">
        <v>42401</v>
      </c>
      <c r="B196">
        <v>88.01437</v>
      </c>
      <c r="C196">
        <v>4.4436077341198817E-2</v>
      </c>
      <c r="D196">
        <f t="shared" si="90"/>
        <v>3.9110133524568891</v>
      </c>
      <c r="E196">
        <f t="shared" si="70"/>
        <v>1.8444254083034295</v>
      </c>
      <c r="F196">
        <f t="shared" ref="F196:F259" si="92">ABS(E196-$AZ196)</f>
        <v>4.9440586880810988</v>
      </c>
      <c r="G196">
        <f t="shared" si="83"/>
        <v>3.7698146702543678</v>
      </c>
      <c r="I196">
        <v>87.277199999999993</v>
      </c>
      <c r="J196">
        <v>7.5613374231440086E-2</v>
      </c>
      <c r="K196">
        <f t="shared" ref="K196:K259" si="93">I196*J196</f>
        <v>6.5993235854722423</v>
      </c>
      <c r="L196">
        <f t="shared" si="71"/>
        <v>-3.9384517172873501</v>
      </c>
      <c r="M196">
        <f t="shared" ref="M196:M259" si="94">ABS(L196-$AZ196)</f>
        <v>0.83881843750968077</v>
      </c>
      <c r="N196">
        <f t="shared" si="84"/>
        <v>0.42903207618976147</v>
      </c>
      <c r="P196">
        <v>85.180679999999995</v>
      </c>
      <c r="Q196">
        <v>0.11077380866640774</v>
      </c>
      <c r="R196">
        <f t="shared" ref="R196:R259" si="95">P196*Q196</f>
        <v>9.4357883483945031</v>
      </c>
      <c r="S196">
        <f t="shared" si="72"/>
        <v>-5.7247048331363848</v>
      </c>
      <c r="T196">
        <f t="shared" si="73"/>
        <v>2.6250715533587154</v>
      </c>
      <c r="U196">
        <f t="shared" si="85"/>
        <v>2.1113031550945456</v>
      </c>
      <c r="W196">
        <v>80.988600000000005</v>
      </c>
      <c r="X196">
        <v>6.419697995832728E-2</v>
      </c>
      <c r="Y196">
        <f t="shared" ref="Y196:Y259" si="96">W196*X196</f>
        <v>5.1992235310529855</v>
      </c>
      <c r="Z196">
        <f t="shared" si="74"/>
        <v>-10.578634361209161</v>
      </c>
      <c r="AA196">
        <f t="shared" si="75"/>
        <v>7.479001081431492</v>
      </c>
      <c r="AB196">
        <f t="shared" si="86"/>
        <v>5.9007389038846281</v>
      </c>
      <c r="AD196">
        <v>85.202780000000004</v>
      </c>
      <c r="AE196">
        <v>0.13419599830929782</v>
      </c>
      <c r="AF196">
        <f t="shared" ref="AF196:AF259" si="97">AD196*AE196</f>
        <v>11.433872120827475</v>
      </c>
      <c r="AG196">
        <f t="shared" si="76"/>
        <v>-6.940636725902694</v>
      </c>
      <c r="AH196">
        <f t="shared" si="77"/>
        <v>3.8410034461250246</v>
      </c>
      <c r="AI196">
        <f t="shared" si="87"/>
        <v>3.8410034461250246</v>
      </c>
      <c r="AK196">
        <v>89.187669999999997</v>
      </c>
      <c r="AL196">
        <v>7.6832789733813092E-2</v>
      </c>
      <c r="AM196">
        <f t="shared" ref="AM196:AM259" si="98">AK196*AL196</f>
        <v>6.8525374959587095</v>
      </c>
      <c r="AN196">
        <f t="shared" si="78"/>
        <v>-0.94561151162234625</v>
      </c>
      <c r="AO196">
        <f t="shared" si="79"/>
        <v>2.1540217681553231</v>
      </c>
      <c r="AP196">
        <f t="shared" si="88"/>
        <v>8.9646162995255523</v>
      </c>
      <c r="AR196">
        <v>88.240989999999996</v>
      </c>
      <c r="AS196">
        <v>0.49395097175951519</v>
      </c>
      <c r="AT196">
        <f t="shared" ref="AT196:AT259" si="99">AR196*AS196</f>
        <v>43.586722759521663</v>
      </c>
      <c r="AU196">
        <f t="shared" si="80"/>
        <v>-1.0837840319137926</v>
      </c>
      <c r="AV196">
        <f t="shared" si="81"/>
        <v>2.0158492478638768</v>
      </c>
      <c r="AW196">
        <f t="shared" si="89"/>
        <v>2.0158492478638768</v>
      </c>
      <c r="AY196" s="4">
        <f t="shared" si="91"/>
        <v>87.018481193684465</v>
      </c>
      <c r="AZ196">
        <f t="shared" si="82"/>
        <v>-3.0996332797776693</v>
      </c>
    </row>
    <row r="197" spans="1:52" x14ac:dyDescent="0.35">
      <c r="A197" s="2">
        <v>42430</v>
      </c>
      <c r="B197">
        <v>93.318690000000004</v>
      </c>
      <c r="C197">
        <v>4.4436077341198817E-2</v>
      </c>
      <c r="D197">
        <f t="shared" si="90"/>
        <v>4.1467165262193566</v>
      </c>
      <c r="E197">
        <f t="shared" ref="E197:E260" si="100">((B197/B196)-1)*100</f>
        <v>6.0266522387196542</v>
      </c>
      <c r="F197">
        <f t="shared" si="92"/>
        <v>0.19751252884627757</v>
      </c>
      <c r="G197">
        <f t="shared" si="83"/>
        <v>4.7465461592348213</v>
      </c>
      <c r="I197">
        <v>92.128990000000002</v>
      </c>
      <c r="J197">
        <v>7.5613374231440086E-2</v>
      </c>
      <c r="K197">
        <f t="shared" si="93"/>
        <v>6.9661837984346011</v>
      </c>
      <c r="L197">
        <f t="shared" ref="L197:L260" si="101">((I197/I196)-1)*100</f>
        <v>5.5590578066207597</v>
      </c>
      <c r="M197">
        <f t="shared" si="94"/>
        <v>0.27008190325261694</v>
      </c>
      <c r="N197">
        <f t="shared" si="84"/>
        <v>0.56873653425706383</v>
      </c>
      <c r="P197">
        <v>90.189269999999993</v>
      </c>
      <c r="Q197">
        <v>0.11077380866640774</v>
      </c>
      <c r="R197">
        <f t="shared" si="95"/>
        <v>9.9906089387429873</v>
      </c>
      <c r="S197">
        <f t="shared" ref="S197:S260" si="102">((P197/P196)-1)*100</f>
        <v>5.8799601036291227</v>
      </c>
      <c r="T197">
        <f t="shared" ref="T197:T260" si="103">ABS(S197-$AZ197)</f>
        <v>5.0820393755746096E-2</v>
      </c>
      <c r="U197">
        <f t="shared" si="85"/>
        <v>2.5742511596029694</v>
      </c>
      <c r="W197">
        <v>86.389539999999997</v>
      </c>
      <c r="X197">
        <v>6.419697995832728E-2</v>
      </c>
      <c r="Y197">
        <f t="shared" si="96"/>
        <v>5.5459475679891126</v>
      </c>
      <c r="Z197">
        <f t="shared" ref="Z197:Z260" si="104">((W197/W196)-1)*100</f>
        <v>6.6687657275221301</v>
      </c>
      <c r="AA197">
        <f t="shared" ref="AA197:AA260" si="105">ABS(Z197-$AZ197)</f>
        <v>0.83962601764875355</v>
      </c>
      <c r="AB197">
        <f t="shared" si="86"/>
        <v>3.0013774284762711</v>
      </c>
      <c r="AD197">
        <v>87.521479999999997</v>
      </c>
      <c r="AE197">
        <v>0.13419599830929782</v>
      </c>
      <c r="AF197">
        <f t="shared" si="97"/>
        <v>11.745032382107242</v>
      </c>
      <c r="AG197">
        <f t="shared" ref="AG197:AG260" si="106">((AD197/AD196)-1)*100</f>
        <v>2.7213900767087518</v>
      </c>
      <c r="AH197">
        <f t="shared" ref="AH197:AH260" si="107">ABS(AG197-$AZ197)</f>
        <v>3.1077496331646248</v>
      </c>
      <c r="AI197">
        <f t="shared" si="87"/>
        <v>3.1077496331646248</v>
      </c>
      <c r="AK197">
        <v>93.302279999999996</v>
      </c>
      <c r="AL197">
        <v>7.6832789733813092E-2</v>
      </c>
      <c r="AM197">
        <f t="shared" si="98"/>
        <v>7.1686744609253541</v>
      </c>
      <c r="AN197">
        <f t="shared" ref="AN197:AN260" si="108">((AK197/AK196)-1)*100</f>
        <v>4.6134291881377854</v>
      </c>
      <c r="AO197">
        <f t="shared" ref="AO197:AO260" si="109">ABS(AN197-$AZ197)</f>
        <v>1.2157105217355912</v>
      </c>
      <c r="AP197">
        <f t="shared" si="88"/>
        <v>4.3153438015132606</v>
      </c>
      <c r="AR197">
        <v>94.195070000000001</v>
      </c>
      <c r="AS197">
        <v>0.49395097175951519</v>
      </c>
      <c r="AT197">
        <f t="shared" si="99"/>
        <v>46.527746361455556</v>
      </c>
      <c r="AU197">
        <f t="shared" ref="AU197:AU260" si="110">((AR197/AR196)-1)*100</f>
        <v>6.7475217583121028</v>
      </c>
      <c r="AV197">
        <f t="shared" ref="AV197:AV260" si="111">ABS(AU197-$AZ197)</f>
        <v>0.91838204843872617</v>
      </c>
      <c r="AW197">
        <f t="shared" si="89"/>
        <v>0.91838204843872617</v>
      </c>
      <c r="AY197" s="4">
        <f t="shared" si="91"/>
        <v>92.090910035874217</v>
      </c>
      <c r="AZ197">
        <f t="shared" ref="AZ197:AZ260" si="112">((AY197/AY196)-1)*100</f>
        <v>5.8291397098733766</v>
      </c>
    </row>
    <row r="198" spans="1:52" x14ac:dyDescent="0.35">
      <c r="A198" s="2">
        <v>42461</v>
      </c>
      <c r="B198">
        <v>95.196770000000001</v>
      </c>
      <c r="C198">
        <v>4.4436077341198817E-2</v>
      </c>
      <c r="D198">
        <f t="shared" si="90"/>
        <v>4.2301710343523151</v>
      </c>
      <c r="E198">
        <f t="shared" si="100"/>
        <v>2.0125443252578812</v>
      </c>
      <c r="F198">
        <f t="shared" si="92"/>
        <v>0.38788300431242817</v>
      </c>
      <c r="G198">
        <f t="shared" ref="G198:G261" si="113">ABS(F198-F197)</f>
        <v>0.1903704754661506</v>
      </c>
      <c r="I198">
        <v>92.819500000000005</v>
      </c>
      <c r="J198">
        <v>7.5613374231440086E-2</v>
      </c>
      <c r="K198">
        <f t="shared" si="93"/>
        <v>7.0183955894751531</v>
      </c>
      <c r="L198">
        <f t="shared" si="101"/>
        <v>0.74950349504536717</v>
      </c>
      <c r="M198">
        <f t="shared" si="94"/>
        <v>0.87515782590008584</v>
      </c>
      <c r="N198">
        <f t="shared" ref="N198:N261" si="114">ABS(M198-M197)</f>
        <v>0.6050759226474689</v>
      </c>
      <c r="P198">
        <v>91.525279999999995</v>
      </c>
      <c r="Q198">
        <v>0.11077380866640774</v>
      </c>
      <c r="R198">
        <f t="shared" si="95"/>
        <v>10.138603854859394</v>
      </c>
      <c r="S198">
        <f t="shared" si="102"/>
        <v>1.48134029691116</v>
      </c>
      <c r="T198">
        <f t="shared" si="103"/>
        <v>0.14332102403429303</v>
      </c>
      <c r="U198">
        <f t="shared" ref="U198:U261" si="115">ABS(T198-T197)</f>
        <v>9.2500630278546936E-2</v>
      </c>
      <c r="W198">
        <v>85.729249999999993</v>
      </c>
      <c r="X198">
        <v>6.419697995832728E-2</v>
      </c>
      <c r="Y198">
        <f t="shared" si="96"/>
        <v>5.5035589440924282</v>
      </c>
      <c r="Z198">
        <f t="shared" si="104"/>
        <v>-0.76431706894145579</v>
      </c>
      <c r="AA198">
        <f t="shared" si="105"/>
        <v>2.3889783898869088</v>
      </c>
      <c r="AB198">
        <f t="shared" ref="AB198:AB261" si="116">ABS(AA198-AH197)</f>
        <v>0.71877124327771602</v>
      </c>
      <c r="AD198">
        <v>86.114909999999995</v>
      </c>
      <c r="AE198">
        <v>0.13419599830929782</v>
      </c>
      <c r="AF198">
        <f t="shared" si="97"/>
        <v>11.556276316765333</v>
      </c>
      <c r="AG198">
        <f t="shared" si="106"/>
        <v>-1.6071140478885915</v>
      </c>
      <c r="AH198">
        <f t="shared" si="107"/>
        <v>3.2317753688340445</v>
      </c>
      <c r="AI198">
        <f t="shared" ref="AI198:AI261" si="117">ABS(AH198-AQ197)</f>
        <v>3.2317753688340445</v>
      </c>
      <c r="AK198">
        <v>95.103700000000003</v>
      </c>
      <c r="AL198">
        <v>7.6832789733813092E-2</v>
      </c>
      <c r="AM198">
        <f t="shared" si="98"/>
        <v>7.3070825850076409</v>
      </c>
      <c r="AN198">
        <f t="shared" si="108"/>
        <v>1.9307352403392652</v>
      </c>
      <c r="AO198">
        <f t="shared" si="109"/>
        <v>0.30607391939381223</v>
      </c>
      <c r="AP198">
        <f t="shared" ref="AP198:AP261" si="118">ABS(AO198-AZ197)</f>
        <v>5.5230657904795644</v>
      </c>
      <c r="AR198">
        <v>96.837519999999998</v>
      </c>
      <c r="AS198">
        <v>0.49395097175951519</v>
      </c>
      <c r="AT198">
        <f t="shared" si="99"/>
        <v>47.832987106781488</v>
      </c>
      <c r="AU198">
        <f t="shared" si="110"/>
        <v>2.8052954363747551</v>
      </c>
      <c r="AV198">
        <f t="shared" si="111"/>
        <v>1.1806341154293021</v>
      </c>
      <c r="AW198">
        <f t="shared" ref="AW198:AW261" si="119">ABS(AV198-BG197)</f>
        <v>1.1806341154293021</v>
      </c>
      <c r="AY198" s="4">
        <f t="shared" si="91"/>
        <v>93.587075431333744</v>
      </c>
      <c r="AZ198">
        <f t="shared" si="112"/>
        <v>1.624661320945453</v>
      </c>
    </row>
    <row r="199" spans="1:52" x14ac:dyDescent="0.35">
      <c r="A199" s="2">
        <v>42491</v>
      </c>
      <c r="B199">
        <v>96.623639999999995</v>
      </c>
      <c r="C199">
        <v>4.4436077341198817E-2</v>
      </c>
      <c r="D199">
        <f t="shared" si="90"/>
        <v>4.2935755400281517</v>
      </c>
      <c r="E199">
        <f t="shared" si="100"/>
        <v>1.4988638795202736</v>
      </c>
      <c r="F199">
        <f t="shared" si="92"/>
        <v>1.8915238861080486</v>
      </c>
      <c r="G199">
        <f t="shared" si="113"/>
        <v>1.5036408817956204</v>
      </c>
      <c r="I199">
        <v>91.640879999999996</v>
      </c>
      <c r="J199">
        <v>7.5613374231440086E-2</v>
      </c>
      <c r="K199">
        <f t="shared" si="93"/>
        <v>6.9292761543384929</v>
      </c>
      <c r="L199">
        <f t="shared" si="101"/>
        <v>-1.2697978334294091</v>
      </c>
      <c r="M199">
        <f t="shared" si="94"/>
        <v>0.87713782684163411</v>
      </c>
      <c r="N199">
        <f t="shared" si="114"/>
        <v>1.9800009415482656E-3</v>
      </c>
      <c r="P199">
        <v>90.316509999999994</v>
      </c>
      <c r="Q199">
        <v>0.11077380866640774</v>
      </c>
      <c r="R199">
        <f t="shared" si="95"/>
        <v>10.004703798157701</v>
      </c>
      <c r="S199">
        <f t="shared" si="102"/>
        <v>-1.3206952221287982</v>
      </c>
      <c r="T199">
        <f t="shared" si="103"/>
        <v>0.9280352155410232</v>
      </c>
      <c r="U199">
        <f t="shared" si="115"/>
        <v>0.78471419150673016</v>
      </c>
      <c r="W199">
        <v>85.121179999999995</v>
      </c>
      <c r="X199">
        <v>6.419697995832728E-2</v>
      </c>
      <c r="Y199">
        <f t="shared" si="96"/>
        <v>5.4645226864891683</v>
      </c>
      <c r="Z199">
        <f t="shared" si="104"/>
        <v>-0.70929116958330374</v>
      </c>
      <c r="AA199">
        <f t="shared" si="105"/>
        <v>0.31663116299552874</v>
      </c>
      <c r="AB199">
        <f t="shared" si="116"/>
        <v>2.9151442058385157</v>
      </c>
      <c r="AD199">
        <v>85.717190000000002</v>
      </c>
      <c r="AE199">
        <v>0.13419599830929782</v>
      </c>
      <c r="AF199">
        <f t="shared" si="97"/>
        <v>11.50290388431776</v>
      </c>
      <c r="AG199">
        <f t="shared" si="106"/>
        <v>-0.46184801215026772</v>
      </c>
      <c r="AH199">
        <f t="shared" si="107"/>
        <v>6.9188005562492716E-2</v>
      </c>
      <c r="AI199">
        <f t="shared" si="117"/>
        <v>6.9188005562492716E-2</v>
      </c>
      <c r="AK199">
        <v>93.607060000000004</v>
      </c>
      <c r="AL199">
        <v>7.6832789733813092E-2</v>
      </c>
      <c r="AM199">
        <f t="shared" si="98"/>
        <v>7.1920915585804268</v>
      </c>
      <c r="AN199">
        <f t="shared" si="108"/>
        <v>-1.5736927164768599</v>
      </c>
      <c r="AO199">
        <f t="shared" si="109"/>
        <v>1.1810327098890849</v>
      </c>
      <c r="AP199">
        <f t="shared" si="118"/>
        <v>0.44362861105636808</v>
      </c>
      <c r="AR199">
        <v>96.836579999999998</v>
      </c>
      <c r="AS199">
        <v>0.49395097175951519</v>
      </c>
      <c r="AT199">
        <f t="shared" si="99"/>
        <v>47.832522792868033</v>
      </c>
      <c r="AU199">
        <f t="shared" si="110"/>
        <v>-9.7069813436156949E-4</v>
      </c>
      <c r="AV199">
        <f t="shared" si="111"/>
        <v>0.39168930845341343</v>
      </c>
      <c r="AW199">
        <f t="shared" si="119"/>
        <v>0.39168930845341343</v>
      </c>
      <c r="AY199" s="4">
        <f t="shared" si="91"/>
        <v>93.219596414779758</v>
      </c>
      <c r="AZ199">
        <f t="shared" si="112"/>
        <v>-0.392660006587775</v>
      </c>
    </row>
    <row r="200" spans="1:52" x14ac:dyDescent="0.35">
      <c r="A200" s="2">
        <v>42522</v>
      </c>
      <c r="B200">
        <v>97.931179999999998</v>
      </c>
      <c r="C200">
        <v>4.4436077341198817E-2</v>
      </c>
      <c r="D200">
        <f t="shared" si="90"/>
        <v>4.3516774885948628</v>
      </c>
      <c r="E200">
        <f t="shared" si="100"/>
        <v>1.3532299135077031</v>
      </c>
      <c r="F200">
        <f t="shared" si="92"/>
        <v>1.9134876826496838</v>
      </c>
      <c r="G200">
        <f t="shared" si="113"/>
        <v>2.1963796541635272E-2</v>
      </c>
      <c r="I200">
        <v>89.744349999999997</v>
      </c>
      <c r="J200">
        <v>7.5613374231440086E-2</v>
      </c>
      <c r="K200">
        <f t="shared" si="93"/>
        <v>6.7858731217073398</v>
      </c>
      <c r="L200">
        <f t="shared" si="101"/>
        <v>-2.0695239940952126</v>
      </c>
      <c r="M200">
        <f t="shared" si="94"/>
        <v>1.5092662249532318</v>
      </c>
      <c r="N200">
        <f t="shared" si="114"/>
        <v>0.63212839811159771</v>
      </c>
      <c r="P200">
        <v>88.583359999999999</v>
      </c>
      <c r="Q200">
        <v>0.11077380866640774</v>
      </c>
      <c r="R200">
        <f t="shared" si="95"/>
        <v>9.8127161716675158</v>
      </c>
      <c r="S200">
        <f t="shared" si="102"/>
        <v>-1.9189736184447304</v>
      </c>
      <c r="T200">
        <f t="shared" si="103"/>
        <v>1.3587158493027496</v>
      </c>
      <c r="U200">
        <f t="shared" si="115"/>
        <v>0.43068063376172638</v>
      </c>
      <c r="W200">
        <v>81.484319999999997</v>
      </c>
      <c r="X200">
        <v>6.419697995832728E-2</v>
      </c>
      <c r="Y200">
        <f t="shared" si="96"/>
        <v>5.2310472579579264</v>
      </c>
      <c r="Z200">
        <f t="shared" si="104"/>
        <v>-4.2725676500255272</v>
      </c>
      <c r="AA200">
        <f t="shared" si="105"/>
        <v>3.7123098808835464</v>
      </c>
      <c r="AB200">
        <f t="shared" si="116"/>
        <v>3.6431218753210537</v>
      </c>
      <c r="AD200">
        <v>83.080690000000004</v>
      </c>
      <c r="AE200">
        <v>0.13419599830929782</v>
      </c>
      <c r="AF200">
        <f t="shared" si="97"/>
        <v>11.149096134775297</v>
      </c>
      <c r="AG200">
        <f t="shared" si="106"/>
        <v>-3.0758124478882265</v>
      </c>
      <c r="AH200">
        <f t="shared" si="107"/>
        <v>2.5155546787462457</v>
      </c>
      <c r="AI200">
        <f t="shared" si="117"/>
        <v>2.5155546787462457</v>
      </c>
      <c r="AK200">
        <v>93.639060000000001</v>
      </c>
      <c r="AL200">
        <v>7.6832789733813092E-2</v>
      </c>
      <c r="AM200">
        <f t="shared" si="98"/>
        <v>7.1945502078519086</v>
      </c>
      <c r="AN200">
        <f t="shared" si="108"/>
        <v>3.4185455669688558E-2</v>
      </c>
      <c r="AO200">
        <f t="shared" si="109"/>
        <v>0.59444322481166934</v>
      </c>
      <c r="AP200">
        <f t="shared" si="118"/>
        <v>0.98710323139944434</v>
      </c>
      <c r="AR200">
        <v>97.524590000000003</v>
      </c>
      <c r="AS200">
        <v>0.49395097175951519</v>
      </c>
      <c r="AT200">
        <f t="shared" si="99"/>
        <v>48.172366000948301</v>
      </c>
      <c r="AU200">
        <f t="shared" si="110"/>
        <v>0.71048564499076594</v>
      </c>
      <c r="AV200">
        <f t="shared" si="111"/>
        <v>1.2707434141327467</v>
      </c>
      <c r="AW200">
        <f t="shared" si="119"/>
        <v>1.2707434141327467</v>
      </c>
      <c r="AY200" s="4">
        <f t="shared" si="91"/>
        <v>92.697326383503153</v>
      </c>
      <c r="AZ200">
        <f t="shared" si="112"/>
        <v>-0.56025776914198078</v>
      </c>
    </row>
    <row r="201" spans="1:52" x14ac:dyDescent="0.35">
      <c r="A201" s="2">
        <v>42552</v>
      </c>
      <c r="B201">
        <v>100.6193</v>
      </c>
      <c r="C201">
        <v>4.4436077341198817E-2</v>
      </c>
      <c r="D201">
        <f t="shared" si="90"/>
        <v>4.4711269968172855</v>
      </c>
      <c r="E201">
        <f t="shared" si="100"/>
        <v>2.744907188905521</v>
      </c>
      <c r="F201">
        <f t="shared" si="92"/>
        <v>0.68533121600176106</v>
      </c>
      <c r="G201">
        <f t="shared" si="113"/>
        <v>1.2281564666479228</v>
      </c>
      <c r="I201">
        <v>90.164730000000006</v>
      </c>
      <c r="J201">
        <v>7.5613374231440086E-2</v>
      </c>
      <c r="K201">
        <f t="shared" si="93"/>
        <v>6.8176594719667536</v>
      </c>
      <c r="L201">
        <f t="shared" si="101"/>
        <v>0.46841946038944648</v>
      </c>
      <c r="M201">
        <f t="shared" si="94"/>
        <v>1.5911565125143134</v>
      </c>
      <c r="N201">
        <f t="shared" si="114"/>
        <v>8.1890287561081632E-2</v>
      </c>
      <c r="P201">
        <v>89.41234</v>
      </c>
      <c r="Q201">
        <v>0.11077380866640774</v>
      </c>
      <c r="R201">
        <f t="shared" si="95"/>
        <v>9.9045454435757954</v>
      </c>
      <c r="S201">
        <f t="shared" si="102"/>
        <v>0.93581909740159119</v>
      </c>
      <c r="T201">
        <f t="shared" si="103"/>
        <v>1.1237568755021687</v>
      </c>
      <c r="U201">
        <f t="shared" si="115"/>
        <v>0.23495897380058084</v>
      </c>
      <c r="W201">
        <v>79.176850000000002</v>
      </c>
      <c r="X201">
        <v>6.419697995832728E-2</v>
      </c>
      <c r="Y201">
        <f t="shared" si="96"/>
        <v>5.0829146526134856</v>
      </c>
      <c r="Z201">
        <f t="shared" si="104"/>
        <v>-2.8317963505125832</v>
      </c>
      <c r="AA201">
        <f t="shared" si="105"/>
        <v>4.8913723234163431</v>
      </c>
      <c r="AB201">
        <f t="shared" si="116"/>
        <v>2.3758176446700974</v>
      </c>
      <c r="AD201">
        <v>83.319199999999995</v>
      </c>
      <c r="AE201">
        <v>0.13419599830929782</v>
      </c>
      <c r="AF201">
        <f t="shared" si="97"/>
        <v>11.181103222332046</v>
      </c>
      <c r="AG201">
        <f t="shared" si="106"/>
        <v>0.28708235331216247</v>
      </c>
      <c r="AH201">
        <f t="shared" si="107"/>
        <v>1.7724936195915975</v>
      </c>
      <c r="AI201">
        <f t="shared" si="117"/>
        <v>1.7724936195915975</v>
      </c>
      <c r="AK201">
        <v>100.92619999999999</v>
      </c>
      <c r="AL201">
        <v>7.6832789733813092E-2</v>
      </c>
      <c r="AM201">
        <f t="shared" si="98"/>
        <v>7.7544415032327665</v>
      </c>
      <c r="AN201">
        <f t="shared" si="108"/>
        <v>7.7821584283310763</v>
      </c>
      <c r="AO201">
        <f t="shared" si="109"/>
        <v>5.7225824554273164</v>
      </c>
      <c r="AP201">
        <f t="shared" si="118"/>
        <v>6.2828402245692967</v>
      </c>
      <c r="AR201">
        <v>99.999210000000005</v>
      </c>
      <c r="AS201">
        <v>0.49395097175951519</v>
      </c>
      <c r="AT201">
        <f t="shared" si="99"/>
        <v>49.394706954683834</v>
      </c>
      <c r="AU201">
        <f t="shared" si="110"/>
        <v>2.5374318415488872</v>
      </c>
      <c r="AV201">
        <f t="shared" si="111"/>
        <v>0.4778558686451273</v>
      </c>
      <c r="AW201">
        <f t="shared" si="119"/>
        <v>0.4778558686451273</v>
      </c>
      <c r="AY201" s="4">
        <f t="shared" si="91"/>
        <v>94.606498245221971</v>
      </c>
      <c r="AZ201">
        <f t="shared" si="112"/>
        <v>2.0595759729037599</v>
      </c>
    </row>
    <row r="202" spans="1:52" x14ac:dyDescent="0.35">
      <c r="A202" s="2">
        <v>42583</v>
      </c>
      <c r="B202">
        <v>102.35339999999999</v>
      </c>
      <c r="C202">
        <v>4.4436077341198817E-2</v>
      </c>
      <c r="D202">
        <f t="shared" si="90"/>
        <v>4.548183598534659</v>
      </c>
      <c r="E202">
        <f t="shared" si="100"/>
        <v>1.7234268177178658</v>
      </c>
      <c r="F202">
        <f t="shared" si="92"/>
        <v>8.1337267927761303E-2</v>
      </c>
      <c r="G202">
        <f t="shared" si="113"/>
        <v>0.60399394807399975</v>
      </c>
      <c r="I202">
        <v>92.749610000000004</v>
      </c>
      <c r="J202">
        <v>7.5613374231440086E-2</v>
      </c>
      <c r="K202">
        <f t="shared" si="93"/>
        <v>7.0131109707501178</v>
      </c>
      <c r="L202">
        <f t="shared" si="101"/>
        <v>2.8668416131230057</v>
      </c>
      <c r="M202">
        <f t="shared" si="94"/>
        <v>1.0620775274773786</v>
      </c>
      <c r="N202">
        <f t="shared" si="114"/>
        <v>0.52907898503693485</v>
      </c>
      <c r="P202">
        <v>94.285970000000006</v>
      </c>
      <c r="Q202">
        <v>0.11077380866640774</v>
      </c>
      <c r="R202">
        <f t="shared" si="95"/>
        <v>10.44441600070666</v>
      </c>
      <c r="S202">
        <f t="shared" si="102"/>
        <v>5.4507353235582645</v>
      </c>
      <c r="T202">
        <f t="shared" si="103"/>
        <v>3.6459712379126374</v>
      </c>
      <c r="U202">
        <f t="shared" si="115"/>
        <v>2.5222143624104687</v>
      </c>
      <c r="W202">
        <v>80.427729999999997</v>
      </c>
      <c r="X202">
        <v>6.419697995832728E-2</v>
      </c>
      <c r="Y202">
        <f t="shared" si="96"/>
        <v>5.1632173709037579</v>
      </c>
      <c r="Z202">
        <f t="shared" si="104"/>
        <v>1.5798557280316095</v>
      </c>
      <c r="AA202">
        <f t="shared" si="105"/>
        <v>0.22490835761401762</v>
      </c>
      <c r="AB202">
        <f t="shared" si="116"/>
        <v>1.5475852619775798</v>
      </c>
      <c r="AD202">
        <v>84.084360000000004</v>
      </c>
      <c r="AE202">
        <v>0.13419599830929782</v>
      </c>
      <c r="AF202">
        <f t="shared" si="97"/>
        <v>11.28378463239839</v>
      </c>
      <c r="AG202">
        <f t="shared" si="106"/>
        <v>0.91834775177870309</v>
      </c>
      <c r="AH202">
        <f t="shared" si="107"/>
        <v>0.88641633386692398</v>
      </c>
      <c r="AI202">
        <f t="shared" si="117"/>
        <v>0.88641633386692398</v>
      </c>
      <c r="AK202">
        <v>103.4513</v>
      </c>
      <c r="AL202">
        <v>7.6832789733813092E-2</v>
      </c>
      <c r="AM202">
        <f t="shared" si="98"/>
        <v>7.9484519805896188</v>
      </c>
      <c r="AN202">
        <f t="shared" si="108"/>
        <v>2.5019271507299434</v>
      </c>
      <c r="AO202">
        <f t="shared" si="109"/>
        <v>0.69716306508431636</v>
      </c>
      <c r="AP202">
        <f t="shared" si="118"/>
        <v>1.3624129078194436</v>
      </c>
      <c r="AR202">
        <v>101.048</v>
      </c>
      <c r="AS202">
        <v>0.49395097175951519</v>
      </c>
      <c r="AT202">
        <f t="shared" si="99"/>
        <v>49.912757794355493</v>
      </c>
      <c r="AU202">
        <f t="shared" si="110"/>
        <v>1.0487982855064581</v>
      </c>
      <c r="AV202">
        <f t="shared" si="111"/>
        <v>0.75596580013916892</v>
      </c>
      <c r="AW202">
        <f t="shared" si="119"/>
        <v>0.75596580013916892</v>
      </c>
      <c r="AY202" s="4">
        <f t="shared" si="91"/>
        <v>96.313922348238705</v>
      </c>
      <c r="AZ202">
        <f t="shared" si="112"/>
        <v>1.8047640856456271</v>
      </c>
    </row>
    <row r="203" spans="1:52" x14ac:dyDescent="0.35">
      <c r="A203" s="2">
        <v>42614</v>
      </c>
      <c r="B203">
        <v>102.10769999999999</v>
      </c>
      <c r="C203">
        <v>4.4436077341198817E-2</v>
      </c>
      <c r="D203">
        <f t="shared" si="90"/>
        <v>4.5372656543319261</v>
      </c>
      <c r="E203">
        <f t="shared" si="100"/>
        <v>-0.24005064804881737</v>
      </c>
      <c r="F203">
        <f t="shared" si="92"/>
        <v>0.11829804349339224</v>
      </c>
      <c r="G203">
        <f t="shared" si="113"/>
        <v>3.6960775565630932E-2</v>
      </c>
      <c r="I203">
        <v>93.541979999999995</v>
      </c>
      <c r="J203">
        <v>7.5613374231440086E-2</v>
      </c>
      <c r="K203">
        <f t="shared" si="93"/>
        <v>7.0730247400898838</v>
      </c>
      <c r="L203">
        <f t="shared" si="101"/>
        <v>0.85431086987857174</v>
      </c>
      <c r="M203">
        <f t="shared" si="94"/>
        <v>0.97606347443399688</v>
      </c>
      <c r="N203">
        <f t="shared" si="114"/>
        <v>8.6014053043381722E-2</v>
      </c>
      <c r="P203">
        <v>94.27055</v>
      </c>
      <c r="Q203">
        <v>0.11077380866640774</v>
      </c>
      <c r="R203">
        <f t="shared" si="95"/>
        <v>10.442707868577024</v>
      </c>
      <c r="S203">
        <f t="shared" si="102"/>
        <v>-1.6354501099158369E-2</v>
      </c>
      <c r="T203">
        <f t="shared" si="103"/>
        <v>0.10539810345626677</v>
      </c>
      <c r="U203">
        <f t="shared" si="115"/>
        <v>3.5405731344563707</v>
      </c>
      <c r="W203">
        <v>80.296899999999994</v>
      </c>
      <c r="X203">
        <v>6.419697995832728E-2</v>
      </c>
      <c r="Y203">
        <f t="shared" si="96"/>
        <v>5.154818480015809</v>
      </c>
      <c r="Z203">
        <f t="shared" si="104"/>
        <v>-0.16266777640000507</v>
      </c>
      <c r="AA203">
        <f t="shared" si="105"/>
        <v>4.0915171844579934E-2</v>
      </c>
      <c r="AB203">
        <f t="shared" si="116"/>
        <v>0.84550116202234404</v>
      </c>
      <c r="AD203">
        <v>86.005970000000005</v>
      </c>
      <c r="AE203">
        <v>0.13419599830929782</v>
      </c>
      <c r="AF203">
        <f t="shared" si="97"/>
        <v>11.541657004709521</v>
      </c>
      <c r="AG203">
        <f t="shared" si="106"/>
        <v>2.2853358222623132</v>
      </c>
      <c r="AH203">
        <f t="shared" si="107"/>
        <v>2.4070884268177384</v>
      </c>
      <c r="AI203">
        <f t="shared" si="117"/>
        <v>2.4070884268177384</v>
      </c>
      <c r="AK203">
        <v>103.3202</v>
      </c>
      <c r="AL203">
        <v>7.6832789733813092E-2</v>
      </c>
      <c r="AM203">
        <f t="shared" si="98"/>
        <v>7.9383792018555157</v>
      </c>
      <c r="AN203">
        <f t="shared" si="108"/>
        <v>-0.12672629536797375</v>
      </c>
      <c r="AO203">
        <f t="shared" si="109"/>
        <v>4.9736908125486146E-3</v>
      </c>
      <c r="AP203">
        <f t="shared" si="118"/>
        <v>1.7997903948330785</v>
      </c>
      <c r="AR203">
        <v>100.2302</v>
      </c>
      <c r="AS203">
        <v>0.49395097175951519</v>
      </c>
      <c r="AT203">
        <f t="shared" si="99"/>
        <v>49.50880468965056</v>
      </c>
      <c r="AU203">
        <f t="shared" si="110"/>
        <v>-0.80931834375742584</v>
      </c>
      <c r="AV203">
        <f t="shared" si="111"/>
        <v>0.6875657392020007</v>
      </c>
      <c r="AW203">
        <f t="shared" si="119"/>
        <v>0.6875657392020007</v>
      </c>
      <c r="AY203" s="4">
        <f t="shared" si="91"/>
        <v>96.196657639230239</v>
      </c>
      <c r="AZ203">
        <f t="shared" si="112"/>
        <v>-0.12175260455542514</v>
      </c>
    </row>
    <row r="204" spans="1:52" x14ac:dyDescent="0.35">
      <c r="A204" s="2">
        <v>42644</v>
      </c>
      <c r="B204">
        <v>102.5932</v>
      </c>
      <c r="C204">
        <v>4.4436077341198817E-2</v>
      </c>
      <c r="D204">
        <f t="shared" si="90"/>
        <v>4.5588393698810785</v>
      </c>
      <c r="E204">
        <f t="shared" si="100"/>
        <v>0.47547834296532976</v>
      </c>
      <c r="F204">
        <f t="shared" si="92"/>
        <v>0.40104875872344348</v>
      </c>
      <c r="G204">
        <f t="shared" si="113"/>
        <v>0.28275071523005124</v>
      </c>
      <c r="I204">
        <v>94.17201</v>
      </c>
      <c r="J204">
        <v>7.5613374231440086E-2</v>
      </c>
      <c r="K204">
        <f t="shared" si="93"/>
        <v>7.1206634342569179</v>
      </c>
      <c r="L204">
        <f t="shared" si="101"/>
        <v>0.67352647442358027</v>
      </c>
      <c r="M204">
        <f t="shared" si="94"/>
        <v>0.59909689018169399</v>
      </c>
      <c r="N204">
        <f t="shared" si="114"/>
        <v>0.37696658425230289</v>
      </c>
      <c r="P204">
        <v>95.15737</v>
      </c>
      <c r="Q204">
        <v>0.11077380866640774</v>
      </c>
      <c r="R204">
        <f t="shared" si="95"/>
        <v>10.540944297578568</v>
      </c>
      <c r="S204">
        <f t="shared" si="102"/>
        <v>0.94071796547277042</v>
      </c>
      <c r="T204">
        <f t="shared" si="103"/>
        <v>0.86628838123088414</v>
      </c>
      <c r="U204">
        <f t="shared" si="115"/>
        <v>0.76089027777461737</v>
      </c>
      <c r="W204">
        <v>80.814499999999995</v>
      </c>
      <c r="X204">
        <v>6.419697995832728E-2</v>
      </c>
      <c r="Y204">
        <f t="shared" si="96"/>
        <v>5.1880468368422399</v>
      </c>
      <c r="Z204">
        <f t="shared" si="104"/>
        <v>0.64460769967458198</v>
      </c>
      <c r="AA204">
        <f t="shared" si="105"/>
        <v>0.5701781154326957</v>
      </c>
      <c r="AB204">
        <f t="shared" si="116"/>
        <v>1.8369103113850427</v>
      </c>
      <c r="AD204">
        <v>87.667169999999999</v>
      </c>
      <c r="AE204">
        <v>0.13419599830929782</v>
      </c>
      <c r="AF204">
        <f t="shared" si="97"/>
        <v>11.764583397100925</v>
      </c>
      <c r="AG204">
        <f t="shared" si="106"/>
        <v>1.9314938253704783</v>
      </c>
      <c r="AH204">
        <f t="shared" si="107"/>
        <v>1.857064241128592</v>
      </c>
      <c r="AI204">
        <f t="shared" si="117"/>
        <v>1.857064241128592</v>
      </c>
      <c r="AK204">
        <v>106.3142</v>
      </c>
      <c r="AL204">
        <v>7.6832789733813092E-2</v>
      </c>
      <c r="AM204">
        <f t="shared" si="98"/>
        <v>8.1684165743185524</v>
      </c>
      <c r="AN204">
        <f t="shared" si="108"/>
        <v>2.8977876543018644</v>
      </c>
      <c r="AO204">
        <f t="shared" si="109"/>
        <v>2.8233580700599781</v>
      </c>
      <c r="AP204">
        <f t="shared" si="118"/>
        <v>2.9451106746154032</v>
      </c>
      <c r="AR204">
        <v>99.051860000000005</v>
      </c>
      <c r="AS204">
        <v>0.49395097175951519</v>
      </c>
      <c r="AT204">
        <f t="shared" si="99"/>
        <v>48.926762501587454</v>
      </c>
      <c r="AU204">
        <f t="shared" si="110"/>
        <v>-1.1756336912427501</v>
      </c>
      <c r="AV204">
        <f t="shared" si="111"/>
        <v>1.2500632754846364</v>
      </c>
      <c r="AW204">
        <f t="shared" si="119"/>
        <v>1.2500632754846364</v>
      </c>
      <c r="AY204" s="4">
        <f t="shared" si="91"/>
        <v>96.268256411565716</v>
      </c>
      <c r="AZ204">
        <f t="shared" si="112"/>
        <v>7.4429584241886282E-2</v>
      </c>
    </row>
    <row r="205" spans="1:52" x14ac:dyDescent="0.35">
      <c r="A205" s="2">
        <v>42675</v>
      </c>
      <c r="B205">
        <v>103.3672</v>
      </c>
      <c r="C205">
        <v>4.4436077341198817E-2</v>
      </c>
      <c r="D205">
        <f t="shared" si="90"/>
        <v>4.5932328937431661</v>
      </c>
      <c r="E205">
        <f t="shared" si="100"/>
        <v>0.75443596651629807</v>
      </c>
      <c r="F205">
        <f t="shared" si="92"/>
        <v>0.29758623630575798</v>
      </c>
      <c r="G205">
        <f t="shared" si="113"/>
        <v>0.1034625224176855</v>
      </c>
      <c r="I205">
        <v>94.002939999999995</v>
      </c>
      <c r="J205">
        <v>7.5613374231440086E-2</v>
      </c>
      <c r="K205">
        <f t="shared" si="93"/>
        <v>7.1078794810756083</v>
      </c>
      <c r="L205">
        <f t="shared" si="101"/>
        <v>-0.17953317551574477</v>
      </c>
      <c r="M205">
        <f t="shared" si="94"/>
        <v>0.63638290572628486</v>
      </c>
      <c r="N205">
        <f t="shared" si="114"/>
        <v>3.7286015544590878E-2</v>
      </c>
      <c r="P205">
        <v>94.193439999999995</v>
      </c>
      <c r="Q205">
        <v>0.11077380866640774</v>
      </c>
      <c r="R205">
        <f t="shared" si="95"/>
        <v>10.434166100190756</v>
      </c>
      <c r="S205">
        <f t="shared" si="102"/>
        <v>-1.0129851213836694</v>
      </c>
      <c r="T205">
        <f t="shared" si="103"/>
        <v>1.4698348515942095</v>
      </c>
      <c r="U205">
        <f t="shared" si="115"/>
        <v>0.60354647036332532</v>
      </c>
      <c r="W205">
        <v>79.940799999999996</v>
      </c>
      <c r="X205">
        <v>6.419697995832728E-2</v>
      </c>
      <c r="Y205">
        <f t="shared" si="96"/>
        <v>5.1319579354526494</v>
      </c>
      <c r="Z205">
        <f t="shared" si="104"/>
        <v>-1.0811178686992995</v>
      </c>
      <c r="AA205">
        <f t="shared" si="105"/>
        <v>1.5379675989098396</v>
      </c>
      <c r="AB205">
        <f t="shared" si="116"/>
        <v>0.31909664221875245</v>
      </c>
      <c r="AD205">
        <v>90.848370000000003</v>
      </c>
      <c r="AE205">
        <v>0.13419599830929782</v>
      </c>
      <c r="AF205">
        <f t="shared" si="97"/>
        <v>12.191487706922462</v>
      </c>
      <c r="AG205">
        <f t="shared" si="106"/>
        <v>3.628724413027129</v>
      </c>
      <c r="AH205">
        <f t="shared" si="107"/>
        <v>3.1718746828165889</v>
      </c>
      <c r="AI205">
        <f t="shared" si="117"/>
        <v>3.1718746828165889</v>
      </c>
      <c r="AK205">
        <v>103.1622</v>
      </c>
      <c r="AL205">
        <v>7.6832789733813092E-2</v>
      </c>
      <c r="AM205">
        <f t="shared" si="98"/>
        <v>7.9262396210775732</v>
      </c>
      <c r="AN205">
        <f t="shared" si="108"/>
        <v>-2.9647968004274161</v>
      </c>
      <c r="AO205">
        <f t="shared" si="109"/>
        <v>3.4216465306379562</v>
      </c>
      <c r="AP205">
        <f t="shared" si="118"/>
        <v>3.3472169463960699</v>
      </c>
      <c r="AR205">
        <v>99.854230000000001</v>
      </c>
      <c r="AS205">
        <v>0.49395097175951519</v>
      </c>
      <c r="AT205">
        <f t="shared" si="99"/>
        <v>49.323093942798138</v>
      </c>
      <c r="AU205">
        <f t="shared" si="110"/>
        <v>0.81005041197610428</v>
      </c>
      <c r="AV205">
        <f t="shared" si="111"/>
        <v>0.35320068176556418</v>
      </c>
      <c r="AW205">
        <f t="shared" si="119"/>
        <v>0.35320068176556418</v>
      </c>
      <c r="AY205" s="4">
        <f t="shared" si="91"/>
        <v>96.708057681260343</v>
      </c>
      <c r="AZ205">
        <f t="shared" si="112"/>
        <v>0.45684973021054009</v>
      </c>
    </row>
    <row r="206" spans="1:52" x14ac:dyDescent="0.35">
      <c r="A206" s="2">
        <v>42705</v>
      </c>
      <c r="B206">
        <v>106.4306</v>
      </c>
      <c r="C206">
        <v>4.4436077341198817E-2</v>
      </c>
      <c r="D206">
        <f t="shared" si="90"/>
        <v>4.7293583730701947</v>
      </c>
      <c r="E206">
        <f t="shared" si="100"/>
        <v>2.9636093460981838</v>
      </c>
      <c r="F206">
        <f t="shared" si="92"/>
        <v>1.9878500175769753</v>
      </c>
      <c r="G206">
        <f t="shared" si="113"/>
        <v>1.6902637812712173</v>
      </c>
      <c r="I206">
        <v>99.261669999999995</v>
      </c>
      <c r="J206">
        <v>7.5613374231440086E-2</v>
      </c>
      <c r="K206">
        <f t="shared" si="93"/>
        <v>7.505509800547709</v>
      </c>
      <c r="L206">
        <f t="shared" si="101"/>
        <v>5.5942186489060797</v>
      </c>
      <c r="M206">
        <f t="shared" si="94"/>
        <v>0.64275928523092052</v>
      </c>
      <c r="N206">
        <f t="shared" si="114"/>
        <v>6.3763795046356542E-3</v>
      </c>
      <c r="P206">
        <v>99.25215</v>
      </c>
      <c r="Q206">
        <v>0.11077380866640774</v>
      </c>
      <c r="R206">
        <f t="shared" si="95"/>
        <v>10.9945386738296</v>
      </c>
      <c r="S206">
        <f t="shared" si="102"/>
        <v>5.3705544674873318</v>
      </c>
      <c r="T206">
        <f t="shared" si="103"/>
        <v>0.41909510381217263</v>
      </c>
      <c r="U206">
        <f t="shared" si="115"/>
        <v>1.0507397477820368</v>
      </c>
      <c r="W206">
        <v>88.34939</v>
      </c>
      <c r="X206">
        <v>6.419697995832728E-2</v>
      </c>
      <c r="Y206">
        <f t="shared" si="96"/>
        <v>5.6717640191604408</v>
      </c>
      <c r="Z206">
        <f t="shared" si="104"/>
        <v>10.51852120569221</v>
      </c>
      <c r="AA206">
        <f t="shared" si="105"/>
        <v>5.5670618420170506</v>
      </c>
      <c r="AB206">
        <f t="shared" si="116"/>
        <v>2.3951871592004617</v>
      </c>
      <c r="AD206">
        <v>98.217029999999994</v>
      </c>
      <c r="AE206">
        <v>0.13419599830929782</v>
      </c>
      <c r="AF206">
        <f t="shared" si="97"/>
        <v>13.180332391824253</v>
      </c>
      <c r="AG206">
        <f t="shared" si="106"/>
        <v>8.1109435425203547</v>
      </c>
      <c r="AH206">
        <f t="shared" si="107"/>
        <v>3.1594841788451955</v>
      </c>
      <c r="AI206">
        <f t="shared" si="117"/>
        <v>3.1594841788451955</v>
      </c>
      <c r="AK206">
        <v>105.7012</v>
      </c>
      <c r="AL206">
        <v>7.6832789733813092E-2</v>
      </c>
      <c r="AM206">
        <f t="shared" si="98"/>
        <v>8.1213180742117252</v>
      </c>
      <c r="AN206">
        <f t="shared" si="108"/>
        <v>2.4611727939109596</v>
      </c>
      <c r="AO206">
        <f t="shared" si="109"/>
        <v>2.4902865697641996</v>
      </c>
      <c r="AP206">
        <f t="shared" si="118"/>
        <v>2.0334368395536595</v>
      </c>
      <c r="AR206">
        <v>103.8437</v>
      </c>
      <c r="AS206">
        <v>0.49395097175951519</v>
      </c>
      <c r="AT206">
        <f t="shared" si="99"/>
        <v>51.293696526103567</v>
      </c>
      <c r="AU206">
        <f t="shared" si="110"/>
        <v>3.9952939399763077</v>
      </c>
      <c r="AV206">
        <f t="shared" si="111"/>
        <v>0.95616542369885149</v>
      </c>
      <c r="AW206">
        <f t="shared" si="119"/>
        <v>0.95616542369885149</v>
      </c>
      <c r="AY206" s="4">
        <f t="shared" si="91"/>
        <v>101.49651785874748</v>
      </c>
      <c r="AZ206">
        <f t="shared" si="112"/>
        <v>4.9514593636751592</v>
      </c>
    </row>
    <row r="207" spans="1:52" x14ac:dyDescent="0.35">
      <c r="A207" s="2">
        <v>42736</v>
      </c>
      <c r="B207">
        <v>107.93940000000001</v>
      </c>
      <c r="C207">
        <v>4.4777479056792829E-2</v>
      </c>
      <c r="D207">
        <f t="shared" si="90"/>
        <v>4.8332542229027844</v>
      </c>
      <c r="E207">
        <f t="shared" si="100"/>
        <v>1.4176374087903287</v>
      </c>
      <c r="F207">
        <f t="shared" si="92"/>
        <v>0.42025814139978745</v>
      </c>
      <c r="G207">
        <f t="shared" si="113"/>
        <v>1.5675918761771879</v>
      </c>
      <c r="I207">
        <v>101.50839999999999</v>
      </c>
      <c r="J207">
        <v>7.5645289136026847E-2</v>
      </c>
      <c r="K207">
        <f t="shared" si="93"/>
        <v>7.678632267735467</v>
      </c>
      <c r="L207">
        <f t="shared" si="101"/>
        <v>2.2634416688738002</v>
      </c>
      <c r="M207">
        <f t="shared" si="94"/>
        <v>0.42554611868368397</v>
      </c>
      <c r="N207">
        <f t="shared" si="114"/>
        <v>0.21721316654723655</v>
      </c>
      <c r="P207">
        <v>102.892</v>
      </c>
      <c r="Q207">
        <v>0.11124179460857518</v>
      </c>
      <c r="R207">
        <f t="shared" si="95"/>
        <v>11.445890730865518</v>
      </c>
      <c r="S207">
        <f t="shared" si="102"/>
        <v>3.6672757214831098</v>
      </c>
      <c r="T207">
        <f t="shared" si="103"/>
        <v>1.8293801712929936</v>
      </c>
      <c r="U207">
        <f t="shared" si="115"/>
        <v>1.4102850674808209</v>
      </c>
      <c r="W207">
        <v>92.512159999999994</v>
      </c>
      <c r="X207">
        <v>6.3832570996795651E-2</v>
      </c>
      <c r="Y207">
        <f t="shared" si="96"/>
        <v>5.9052890212669187</v>
      </c>
      <c r="Z207">
        <f t="shared" si="104"/>
        <v>4.7117133462947436</v>
      </c>
      <c r="AA207">
        <f t="shared" si="105"/>
        <v>2.8738177961046274</v>
      </c>
      <c r="AB207">
        <f t="shared" si="116"/>
        <v>0.2856663827405681</v>
      </c>
      <c r="AD207">
        <v>98.874539999999996</v>
      </c>
      <c r="AE207">
        <v>0.13344405316323268</v>
      </c>
      <c r="AF207">
        <f t="shared" si="97"/>
        <v>13.194219372250176</v>
      </c>
      <c r="AG207">
        <f t="shared" si="106"/>
        <v>0.66944602173371059</v>
      </c>
      <c r="AH207">
        <f t="shared" si="107"/>
        <v>1.1684495284564056</v>
      </c>
      <c r="AI207">
        <f t="shared" si="117"/>
        <v>1.1684495284564056</v>
      </c>
      <c r="AK207">
        <v>109.30200000000001</v>
      </c>
      <c r="AL207">
        <v>7.7138477946357573E-2</v>
      </c>
      <c r="AM207">
        <f t="shared" si="98"/>
        <v>8.4313899164927761</v>
      </c>
      <c r="AN207">
        <f t="shared" si="108"/>
        <v>3.4065838419998995</v>
      </c>
      <c r="AO207">
        <f t="shared" si="109"/>
        <v>1.5686882918097833</v>
      </c>
      <c r="AP207">
        <f t="shared" si="118"/>
        <v>3.3827710718653758</v>
      </c>
      <c r="AR207">
        <v>105.0235</v>
      </c>
      <c r="AS207">
        <v>0.49392033509221922</v>
      </c>
      <c r="AT207">
        <f t="shared" si="99"/>
        <v>51.873242312557686</v>
      </c>
      <c r="AU207">
        <f t="shared" si="110"/>
        <v>1.1361305500478203</v>
      </c>
      <c r="AV207">
        <f t="shared" si="111"/>
        <v>0.70176500014229592</v>
      </c>
      <c r="AW207">
        <f t="shared" si="119"/>
        <v>0.70176500014229592</v>
      </c>
      <c r="AY207" s="4">
        <f t="shared" si="91"/>
        <v>103.36191784407133</v>
      </c>
      <c r="AZ207">
        <f t="shared" si="112"/>
        <v>1.8378955501901162</v>
      </c>
    </row>
    <row r="208" spans="1:52" x14ac:dyDescent="0.35">
      <c r="A208" s="2">
        <v>42767</v>
      </c>
      <c r="B208">
        <v>109.13979999999999</v>
      </c>
      <c r="C208">
        <v>4.4777479056792829E-2</v>
      </c>
      <c r="D208">
        <f t="shared" ref="D208:D271" si="120">B208*C208</f>
        <v>4.8870051087625574</v>
      </c>
      <c r="E208">
        <f t="shared" si="100"/>
        <v>1.1121054962321297</v>
      </c>
      <c r="F208">
        <f t="shared" si="92"/>
        <v>3.9709816834743172E-2</v>
      </c>
      <c r="G208">
        <f t="shared" si="113"/>
        <v>0.38054832456504428</v>
      </c>
      <c r="I208">
        <v>101.5872</v>
      </c>
      <c r="J208">
        <v>7.5645289136026847E-2</v>
      </c>
      <c r="K208">
        <f t="shared" si="93"/>
        <v>7.6845931165193866</v>
      </c>
      <c r="L208">
        <f t="shared" si="101"/>
        <v>7.762904350772093E-2</v>
      </c>
      <c r="M208">
        <f t="shared" si="94"/>
        <v>0.99476663588966563</v>
      </c>
      <c r="N208">
        <f t="shared" si="114"/>
        <v>0.56922051720598166</v>
      </c>
      <c r="P208">
        <v>104.00239999999999</v>
      </c>
      <c r="Q208">
        <v>0.11124179460857518</v>
      </c>
      <c r="R208">
        <f t="shared" si="95"/>
        <v>11.569413619598878</v>
      </c>
      <c r="S208">
        <f t="shared" si="102"/>
        <v>1.0791898301131253</v>
      </c>
      <c r="T208">
        <f t="shared" si="103"/>
        <v>6.7941507157387449E-3</v>
      </c>
      <c r="U208">
        <f t="shared" si="115"/>
        <v>1.8225860205772548</v>
      </c>
      <c r="W208">
        <v>90.814549999999997</v>
      </c>
      <c r="X208">
        <v>6.3832570996795651E-2</v>
      </c>
      <c r="Y208">
        <f t="shared" si="96"/>
        <v>5.7969262104170483</v>
      </c>
      <c r="Z208">
        <f t="shared" si="104"/>
        <v>-1.8350128242600738</v>
      </c>
      <c r="AA208">
        <f t="shared" si="105"/>
        <v>2.9074085036574604</v>
      </c>
      <c r="AB208">
        <f t="shared" si="116"/>
        <v>1.7389589752010548</v>
      </c>
      <c r="AD208">
        <v>99.116919999999993</v>
      </c>
      <c r="AE208">
        <v>0.13344405316323268</v>
      </c>
      <c r="AF208">
        <f t="shared" si="97"/>
        <v>13.22656354185588</v>
      </c>
      <c r="AG208">
        <f t="shared" si="106"/>
        <v>0.24513894072224485</v>
      </c>
      <c r="AH208">
        <f t="shared" si="107"/>
        <v>0.82725673867514171</v>
      </c>
      <c r="AI208">
        <f t="shared" si="117"/>
        <v>0.82725673867514171</v>
      </c>
      <c r="AK208">
        <v>109.79</v>
      </c>
      <c r="AL208">
        <v>7.7138477946357573E-2</v>
      </c>
      <c r="AM208">
        <f t="shared" si="98"/>
        <v>8.4690334937305991</v>
      </c>
      <c r="AN208">
        <f t="shared" si="108"/>
        <v>0.44646941501527149</v>
      </c>
      <c r="AO208">
        <f t="shared" si="109"/>
        <v>0.62592626438211507</v>
      </c>
      <c r="AP208">
        <f t="shared" si="118"/>
        <v>1.2119692858080011</v>
      </c>
      <c r="AR208">
        <v>106.9744</v>
      </c>
      <c r="AS208">
        <v>0.49392033509221922</v>
      </c>
      <c r="AT208">
        <f t="shared" si="99"/>
        <v>52.8368314942891</v>
      </c>
      <c r="AU208">
        <f t="shared" si="110"/>
        <v>1.8575842549524602</v>
      </c>
      <c r="AV208">
        <f t="shared" si="111"/>
        <v>0.7851885755550736</v>
      </c>
      <c r="AW208">
        <f t="shared" si="119"/>
        <v>0.7851885755550736</v>
      </c>
      <c r="AY208" s="4">
        <f t="shared" si="91"/>
        <v>104.47036658517342</v>
      </c>
      <c r="AZ208">
        <f t="shared" si="112"/>
        <v>1.0723956793973866</v>
      </c>
    </row>
    <row r="209" spans="1:52" x14ac:dyDescent="0.35">
      <c r="A209" s="2">
        <v>42795</v>
      </c>
      <c r="B209">
        <v>108.2026</v>
      </c>
      <c r="C209">
        <v>4.4777479056792829E-2</v>
      </c>
      <c r="D209">
        <f t="shared" si="120"/>
        <v>4.8450396553905319</v>
      </c>
      <c r="E209">
        <f t="shared" si="100"/>
        <v>-0.85871515249248409</v>
      </c>
      <c r="F209">
        <f t="shared" si="92"/>
        <v>2.248070263422608</v>
      </c>
      <c r="G209">
        <f t="shared" si="113"/>
        <v>2.2083604465878648</v>
      </c>
      <c r="I209">
        <v>104.81529999999999</v>
      </c>
      <c r="J209">
        <v>7.5645289136026847E-2</v>
      </c>
      <c r="K209">
        <f t="shared" si="93"/>
        <v>7.9287836743793942</v>
      </c>
      <c r="L209">
        <f t="shared" si="101"/>
        <v>3.1776641151641138</v>
      </c>
      <c r="M209">
        <f t="shared" si="94"/>
        <v>1.78830900423399</v>
      </c>
      <c r="N209">
        <f t="shared" si="114"/>
        <v>0.79354236834432434</v>
      </c>
      <c r="P209">
        <v>106.4354</v>
      </c>
      <c r="Q209">
        <v>0.11124179460857518</v>
      </c>
      <c r="R209">
        <f t="shared" si="95"/>
        <v>11.840064905881542</v>
      </c>
      <c r="S209">
        <f t="shared" si="102"/>
        <v>2.3393690914825127</v>
      </c>
      <c r="T209">
        <f t="shared" si="103"/>
        <v>0.95001398055238884</v>
      </c>
      <c r="U209">
        <f t="shared" si="115"/>
        <v>0.94321982983665009</v>
      </c>
      <c r="W209">
        <v>95.554820000000007</v>
      </c>
      <c r="X209">
        <v>6.3832570996795651E-2</v>
      </c>
      <c r="Y209">
        <f t="shared" si="96"/>
        <v>6.0995098317360297</v>
      </c>
      <c r="Z209">
        <f t="shared" si="104"/>
        <v>5.2197252532771632</v>
      </c>
      <c r="AA209">
        <f t="shared" si="105"/>
        <v>3.8303701423470393</v>
      </c>
      <c r="AB209">
        <f t="shared" si="116"/>
        <v>3.0031134036718976</v>
      </c>
      <c r="AD209">
        <v>100.0903</v>
      </c>
      <c r="AE209">
        <v>0.13344405316323268</v>
      </c>
      <c r="AF209">
        <f t="shared" si="97"/>
        <v>13.356455314323908</v>
      </c>
      <c r="AG209">
        <f t="shared" si="106"/>
        <v>0.98205230751722272</v>
      </c>
      <c r="AH209">
        <f t="shared" si="107"/>
        <v>0.40730280341290115</v>
      </c>
      <c r="AI209">
        <f t="shared" si="117"/>
        <v>0.40730280341290115</v>
      </c>
      <c r="AK209">
        <v>111.59610000000001</v>
      </c>
      <c r="AL209">
        <v>7.7138477946357573E-2</v>
      </c>
      <c r="AM209">
        <f t="shared" si="98"/>
        <v>8.608353298749515</v>
      </c>
      <c r="AN209">
        <f t="shared" si="108"/>
        <v>1.6450496402222514</v>
      </c>
      <c r="AO209">
        <f t="shared" si="109"/>
        <v>0.25569452929212755</v>
      </c>
      <c r="AP209">
        <f t="shared" si="118"/>
        <v>0.81670115010525901</v>
      </c>
      <c r="AR209">
        <v>107.798</v>
      </c>
      <c r="AS209">
        <v>0.49392033509221922</v>
      </c>
      <c r="AT209">
        <f t="shared" si="99"/>
        <v>53.24362428227105</v>
      </c>
      <c r="AU209">
        <f t="shared" si="110"/>
        <v>0.76990382745778518</v>
      </c>
      <c r="AV209">
        <f t="shared" si="111"/>
        <v>0.61945128347233869</v>
      </c>
      <c r="AW209">
        <f t="shared" si="119"/>
        <v>0.61945128347233869</v>
      </c>
      <c r="AY209" s="4">
        <f t="shared" si="91"/>
        <v>105.92183096273197</v>
      </c>
      <c r="AZ209">
        <f t="shared" si="112"/>
        <v>1.3893551109301239</v>
      </c>
    </row>
    <row r="210" spans="1:52" x14ac:dyDescent="0.35">
      <c r="A210" s="2">
        <v>42826</v>
      </c>
      <c r="B210">
        <v>109.0509</v>
      </c>
      <c r="C210">
        <v>4.4777479056792829E-2</v>
      </c>
      <c r="D210">
        <f t="shared" si="120"/>
        <v>4.8830243908744091</v>
      </c>
      <c r="E210">
        <f t="shared" si="100"/>
        <v>0.78399225157250729</v>
      </c>
      <c r="F210">
        <f t="shared" si="92"/>
        <v>1.0445688852368629</v>
      </c>
      <c r="G210">
        <f t="shared" si="113"/>
        <v>1.2035013781857451</v>
      </c>
      <c r="I210">
        <v>107.48860000000001</v>
      </c>
      <c r="J210">
        <v>7.5645289136026847E-2</v>
      </c>
      <c r="K210">
        <f t="shared" si="93"/>
        <v>8.1310062258267362</v>
      </c>
      <c r="L210">
        <f t="shared" si="101"/>
        <v>2.5504864270769811</v>
      </c>
      <c r="M210">
        <f t="shared" si="94"/>
        <v>2.8110630607413367</v>
      </c>
      <c r="N210">
        <f t="shared" si="114"/>
        <v>1.0227540565073467</v>
      </c>
      <c r="P210">
        <v>108.09529999999999</v>
      </c>
      <c r="Q210">
        <v>0.11124179460857518</v>
      </c>
      <c r="R210">
        <f t="shared" si="95"/>
        <v>12.024715160752317</v>
      </c>
      <c r="S210">
        <f t="shared" si="102"/>
        <v>1.5595375222904995</v>
      </c>
      <c r="T210">
        <f t="shared" si="103"/>
        <v>1.820114155954855</v>
      </c>
      <c r="U210">
        <f t="shared" si="115"/>
        <v>0.8701001754024662</v>
      </c>
      <c r="W210">
        <v>98.069190000000006</v>
      </c>
      <c r="X210">
        <v>6.3832570996795651E-2</v>
      </c>
      <c r="Y210">
        <f t="shared" si="96"/>
        <v>6.2600085332732425</v>
      </c>
      <c r="Z210">
        <f t="shared" si="104"/>
        <v>2.631337697041336</v>
      </c>
      <c r="AA210">
        <f t="shared" si="105"/>
        <v>2.8919143307056916</v>
      </c>
      <c r="AB210">
        <f t="shared" si="116"/>
        <v>2.4846115272927904</v>
      </c>
      <c r="AD210">
        <v>96.358590000000007</v>
      </c>
      <c r="AE210">
        <v>0.13344405316323268</v>
      </c>
      <c r="AF210">
        <f t="shared" si="97"/>
        <v>12.858480806694143</v>
      </c>
      <c r="AG210">
        <f t="shared" si="106"/>
        <v>-3.7283433059946747</v>
      </c>
      <c r="AH210">
        <f t="shared" si="107"/>
        <v>3.4677666723303191</v>
      </c>
      <c r="AI210">
        <f t="shared" si="117"/>
        <v>3.4677666723303191</v>
      </c>
      <c r="AK210">
        <v>110.2385</v>
      </c>
      <c r="AL210">
        <v>7.7138477946357573E-2</v>
      </c>
      <c r="AM210">
        <f t="shared" si="98"/>
        <v>8.5036301010895397</v>
      </c>
      <c r="AN210">
        <f t="shared" si="108"/>
        <v>-1.2165299683411956</v>
      </c>
      <c r="AO210">
        <f t="shared" si="109"/>
        <v>0.95595333467684007</v>
      </c>
      <c r="AP210">
        <f t="shared" si="118"/>
        <v>0.4334017762532838</v>
      </c>
      <c r="AR210">
        <v>107.2743</v>
      </c>
      <c r="AS210">
        <v>0.49392033509221922</v>
      </c>
      <c r="AT210">
        <f t="shared" si="99"/>
        <v>52.984958202783254</v>
      </c>
      <c r="AU210">
        <f t="shared" si="110"/>
        <v>-0.48581606337780858</v>
      </c>
      <c r="AV210">
        <f t="shared" si="111"/>
        <v>0.22523942971345301</v>
      </c>
      <c r="AW210">
        <f t="shared" si="119"/>
        <v>0.22523942971345301</v>
      </c>
      <c r="AY210" s="4">
        <f t="shared" si="91"/>
        <v>105.64582342129364</v>
      </c>
      <c r="AZ210">
        <f t="shared" si="112"/>
        <v>-0.26057663366435557</v>
      </c>
    </row>
    <row r="211" spans="1:52" x14ac:dyDescent="0.35">
      <c r="A211" s="2">
        <v>42856</v>
      </c>
      <c r="B211">
        <v>107.9957</v>
      </c>
      <c r="C211">
        <v>4.4777479056792829E-2</v>
      </c>
      <c r="D211">
        <f t="shared" si="120"/>
        <v>4.8357751949736816</v>
      </c>
      <c r="E211">
        <f t="shared" si="100"/>
        <v>-0.96762154186714744</v>
      </c>
      <c r="F211">
        <f t="shared" si="92"/>
        <v>3.1133175001844982</v>
      </c>
      <c r="G211">
        <f t="shared" si="113"/>
        <v>2.0687486149476353</v>
      </c>
      <c r="I211">
        <v>112.306</v>
      </c>
      <c r="J211">
        <v>7.5645289136026847E-2</v>
      </c>
      <c r="K211">
        <f t="shared" si="93"/>
        <v>8.4954198417106301</v>
      </c>
      <c r="L211">
        <f t="shared" si="101"/>
        <v>4.4817776024620226</v>
      </c>
      <c r="M211">
        <f t="shared" si="94"/>
        <v>2.3360816441446719</v>
      </c>
      <c r="N211">
        <f t="shared" si="114"/>
        <v>0.47498141659666482</v>
      </c>
      <c r="P211">
        <v>110.79810000000001</v>
      </c>
      <c r="Q211">
        <v>0.11124179460857518</v>
      </c>
      <c r="R211">
        <f t="shared" si="95"/>
        <v>12.325379483220374</v>
      </c>
      <c r="S211">
        <f t="shared" si="102"/>
        <v>2.5003862332589888</v>
      </c>
      <c r="T211">
        <f t="shared" si="103"/>
        <v>0.35469027494163807</v>
      </c>
      <c r="U211">
        <f t="shared" si="115"/>
        <v>1.465423881013217</v>
      </c>
      <c r="W211">
        <v>102.5869</v>
      </c>
      <c r="X211">
        <v>6.3832570996795651E-2</v>
      </c>
      <c r="Y211">
        <f t="shared" si="96"/>
        <v>6.5483855775911755</v>
      </c>
      <c r="Z211">
        <f t="shared" si="104"/>
        <v>4.6066557702781008</v>
      </c>
      <c r="AA211">
        <f t="shared" si="105"/>
        <v>2.4609598119607501</v>
      </c>
      <c r="AB211">
        <f t="shared" si="116"/>
        <v>1.006806860369569</v>
      </c>
      <c r="AD211">
        <v>101.1307</v>
      </c>
      <c r="AE211">
        <v>0.13344405316323268</v>
      </c>
      <c r="AF211">
        <f t="shared" si="97"/>
        <v>13.495290507234936</v>
      </c>
      <c r="AG211">
        <f t="shared" si="106"/>
        <v>4.9524489721155085</v>
      </c>
      <c r="AH211">
        <f t="shared" si="107"/>
        <v>2.8067530137981578</v>
      </c>
      <c r="AI211">
        <f t="shared" si="117"/>
        <v>2.8067530137981578</v>
      </c>
      <c r="AK211">
        <v>112.4915</v>
      </c>
      <c r="AL211">
        <v>7.7138477946357573E-2</v>
      </c>
      <c r="AM211">
        <f t="shared" si="98"/>
        <v>8.6774230919026838</v>
      </c>
      <c r="AN211">
        <f t="shared" si="108"/>
        <v>2.0437505953001978</v>
      </c>
      <c r="AO211">
        <f t="shared" si="109"/>
        <v>0.10194536301715296</v>
      </c>
      <c r="AP211">
        <f t="shared" si="118"/>
        <v>0.36252199668150853</v>
      </c>
      <c r="AR211">
        <v>108.3879</v>
      </c>
      <c r="AS211">
        <v>0.49392033509221922</v>
      </c>
      <c r="AT211">
        <f t="shared" si="99"/>
        <v>53.534987887941952</v>
      </c>
      <c r="AU211">
        <f t="shared" si="110"/>
        <v>1.0380864755118457</v>
      </c>
      <c r="AV211">
        <f t="shared" si="111"/>
        <v>1.107609482805505</v>
      </c>
      <c r="AW211">
        <f t="shared" si="119"/>
        <v>1.107609482805505</v>
      </c>
      <c r="AY211" s="4">
        <f t="shared" si="91"/>
        <v>107.91266158457543</v>
      </c>
      <c r="AZ211">
        <f t="shared" si="112"/>
        <v>2.1456959583173507</v>
      </c>
    </row>
    <row r="212" spans="1:52" x14ac:dyDescent="0.35">
      <c r="A212" s="2">
        <v>42887</v>
      </c>
      <c r="B212">
        <v>106.7628</v>
      </c>
      <c r="C212">
        <v>4.4777479056792829E-2</v>
      </c>
      <c r="D212">
        <f t="shared" si="120"/>
        <v>4.7805690410445614</v>
      </c>
      <c r="E212">
        <f t="shared" si="100"/>
        <v>-1.1416195274441487</v>
      </c>
      <c r="F212">
        <f t="shared" si="92"/>
        <v>1.9717389129487839</v>
      </c>
      <c r="G212">
        <f t="shared" si="113"/>
        <v>1.1415785872357143</v>
      </c>
      <c r="I212">
        <v>111.18380000000001</v>
      </c>
      <c r="J212">
        <v>7.5645289136026847E-2</v>
      </c>
      <c r="K212">
        <f t="shared" si="93"/>
        <v>8.4105306982421819</v>
      </c>
      <c r="L212">
        <f t="shared" si="101"/>
        <v>-0.99923423503641695</v>
      </c>
      <c r="M212">
        <f t="shared" si="94"/>
        <v>1.8293536205410521</v>
      </c>
      <c r="N212">
        <f t="shared" si="114"/>
        <v>0.50672802360361979</v>
      </c>
      <c r="P212">
        <v>110.8772</v>
      </c>
      <c r="Q212">
        <v>0.11124179460857518</v>
      </c>
      <c r="R212">
        <f t="shared" si="95"/>
        <v>12.334178709173912</v>
      </c>
      <c r="S212">
        <f t="shared" si="102"/>
        <v>7.1391115912633474E-2</v>
      </c>
      <c r="T212">
        <f t="shared" si="103"/>
        <v>0.75872826959200168</v>
      </c>
      <c r="U212">
        <f t="shared" si="115"/>
        <v>0.40403799465036361</v>
      </c>
      <c r="W212">
        <v>101.2362</v>
      </c>
      <c r="X212">
        <v>6.3832570996795651E-2</v>
      </c>
      <c r="Y212">
        <f t="shared" si="96"/>
        <v>6.4621669239458033</v>
      </c>
      <c r="Z212">
        <f t="shared" si="104"/>
        <v>-1.3166398438787086</v>
      </c>
      <c r="AA212">
        <f t="shared" si="105"/>
        <v>2.1467592293833437</v>
      </c>
      <c r="AB212">
        <f t="shared" si="116"/>
        <v>0.65999378441481404</v>
      </c>
      <c r="AD212">
        <v>103.3824</v>
      </c>
      <c r="AE212">
        <v>0.13344405316323268</v>
      </c>
      <c r="AF212">
        <f t="shared" si="97"/>
        <v>13.795766481742588</v>
      </c>
      <c r="AG212">
        <f t="shared" si="106"/>
        <v>2.2265246853823806</v>
      </c>
      <c r="AH212">
        <f t="shared" si="107"/>
        <v>1.3964052998777454</v>
      </c>
      <c r="AI212">
        <f t="shared" si="117"/>
        <v>1.3964052998777454</v>
      </c>
      <c r="AK212">
        <v>113.1798</v>
      </c>
      <c r="AL212">
        <v>7.7138477946357573E-2</v>
      </c>
      <c r="AM212">
        <f t="shared" si="98"/>
        <v>8.730517506273161</v>
      </c>
      <c r="AN212">
        <f t="shared" si="108"/>
        <v>0.61186845228304865</v>
      </c>
      <c r="AO212">
        <f t="shared" si="109"/>
        <v>0.21825093322158651</v>
      </c>
      <c r="AP212">
        <f t="shared" si="118"/>
        <v>1.9274450250957642</v>
      </c>
      <c r="AR212">
        <v>109.92610000000001</v>
      </c>
      <c r="AS212">
        <v>0.49392033509221922</v>
      </c>
      <c r="AT212">
        <f t="shared" si="99"/>
        <v>54.294736147380803</v>
      </c>
      <c r="AU212">
        <f t="shared" si="110"/>
        <v>1.4191621020427592</v>
      </c>
      <c r="AV212">
        <f t="shared" si="111"/>
        <v>0.58904271653812401</v>
      </c>
      <c r="AW212">
        <f t="shared" si="119"/>
        <v>0.58904271653812401</v>
      </c>
      <c r="AY212" s="4">
        <f t="shared" si="91"/>
        <v>108.80846550780301</v>
      </c>
      <c r="AZ212">
        <f t="shared" si="112"/>
        <v>0.83011938550463515</v>
      </c>
    </row>
    <row r="213" spans="1:52" x14ac:dyDescent="0.35">
      <c r="A213" s="2">
        <v>42917</v>
      </c>
      <c r="B213">
        <v>105.68940000000001</v>
      </c>
      <c r="C213">
        <v>4.4777479056792829E-2</v>
      </c>
      <c r="D213">
        <f t="shared" si="120"/>
        <v>4.7325048950250004</v>
      </c>
      <c r="E213">
        <f t="shared" si="100"/>
        <v>-1.0054063775022715</v>
      </c>
      <c r="F213">
        <f t="shared" si="92"/>
        <v>1.2522082594804806</v>
      </c>
      <c r="G213">
        <f t="shared" si="113"/>
        <v>0.71953065346830325</v>
      </c>
      <c r="I213">
        <v>109.23</v>
      </c>
      <c r="J213">
        <v>7.5645289136026847E-2</v>
      </c>
      <c r="K213">
        <f t="shared" si="93"/>
        <v>8.2627349323282129</v>
      </c>
      <c r="L213">
        <f t="shared" si="101"/>
        <v>-1.7572703937084322</v>
      </c>
      <c r="M213">
        <f t="shared" si="94"/>
        <v>2.0040722756866414</v>
      </c>
      <c r="N213">
        <f t="shared" si="114"/>
        <v>0.17471865514558926</v>
      </c>
      <c r="P213">
        <v>108.40560000000001</v>
      </c>
      <c r="Q213">
        <v>0.11124179460857518</v>
      </c>
      <c r="R213">
        <f t="shared" si="95"/>
        <v>12.059233489619359</v>
      </c>
      <c r="S213">
        <f t="shared" si="102"/>
        <v>-2.229132770308051</v>
      </c>
      <c r="T213">
        <f t="shared" si="103"/>
        <v>2.4759346522862602</v>
      </c>
      <c r="U213">
        <f t="shared" si="115"/>
        <v>1.7172063826942585</v>
      </c>
      <c r="W213">
        <v>102.08450000000001</v>
      </c>
      <c r="X213">
        <v>6.3832570996795651E-2</v>
      </c>
      <c r="Y213">
        <f t="shared" si="96"/>
        <v>6.5163160939223861</v>
      </c>
      <c r="Z213">
        <f t="shared" si="104"/>
        <v>0.83794136879891123</v>
      </c>
      <c r="AA213">
        <f t="shared" si="105"/>
        <v>0.59113948682070205</v>
      </c>
      <c r="AB213">
        <f t="shared" si="116"/>
        <v>0.80526581305704337</v>
      </c>
      <c r="AD213">
        <v>104.45569999999999</v>
      </c>
      <c r="AE213">
        <v>0.13344405316323268</v>
      </c>
      <c r="AF213">
        <f t="shared" si="97"/>
        <v>13.938991984002683</v>
      </c>
      <c r="AG213">
        <f t="shared" si="106"/>
        <v>1.0381844491905712</v>
      </c>
      <c r="AH213">
        <f t="shared" si="107"/>
        <v>0.791382567212362</v>
      </c>
      <c r="AI213">
        <f t="shared" si="117"/>
        <v>0.791382567212362</v>
      </c>
      <c r="AK213">
        <v>112.1469</v>
      </c>
      <c r="AL213">
        <v>7.7138477946357573E-2</v>
      </c>
      <c r="AM213">
        <f t="shared" si="98"/>
        <v>8.6508411724023677</v>
      </c>
      <c r="AN213">
        <f t="shared" si="108"/>
        <v>-0.91261868283916137</v>
      </c>
      <c r="AO213">
        <f t="shared" si="109"/>
        <v>1.1594205648173705</v>
      </c>
      <c r="AP213">
        <f t="shared" si="118"/>
        <v>0.32930117931273539</v>
      </c>
      <c r="AR213">
        <v>111.18470000000001</v>
      </c>
      <c r="AS213">
        <v>0.49392033509221922</v>
      </c>
      <c r="AT213">
        <f t="shared" si="99"/>
        <v>54.916384281127868</v>
      </c>
      <c r="AU213">
        <f t="shared" si="110"/>
        <v>1.1449510170923993</v>
      </c>
      <c r="AV213">
        <f t="shared" si="111"/>
        <v>0.89814913511419014</v>
      </c>
      <c r="AW213">
        <f t="shared" si="119"/>
        <v>0.89814913511419014</v>
      </c>
      <c r="AY213" s="4">
        <f t="shared" si="91"/>
        <v>109.07700684842787</v>
      </c>
      <c r="AZ213">
        <f t="shared" si="112"/>
        <v>0.24680188197820918</v>
      </c>
    </row>
    <row r="214" spans="1:52" x14ac:dyDescent="0.35">
      <c r="A214" s="2">
        <v>42948</v>
      </c>
      <c r="B214">
        <v>105.4141</v>
      </c>
      <c r="C214">
        <v>4.4777479056792829E-2</v>
      </c>
      <c r="D214">
        <f t="shared" si="120"/>
        <v>4.7201776550406649</v>
      </c>
      <c r="E214">
        <f t="shared" si="100"/>
        <v>-0.26048023737480497</v>
      </c>
      <c r="F214">
        <f t="shared" si="92"/>
        <v>3.488210360456101E-2</v>
      </c>
      <c r="G214">
        <f t="shared" si="113"/>
        <v>1.2173261558759196</v>
      </c>
      <c r="I214">
        <v>108.2775</v>
      </c>
      <c r="J214">
        <v>7.5645289136026847E-2</v>
      </c>
      <c r="K214">
        <f t="shared" si="93"/>
        <v>8.1906827944261469</v>
      </c>
      <c r="L214">
        <f t="shared" si="101"/>
        <v>-0.87201318319143351</v>
      </c>
      <c r="M214">
        <f t="shared" si="94"/>
        <v>0.57665084221206753</v>
      </c>
      <c r="N214">
        <f t="shared" si="114"/>
        <v>1.4274214334745738</v>
      </c>
      <c r="P214">
        <v>106.8961</v>
      </c>
      <c r="Q214">
        <v>0.11124179460857518</v>
      </c>
      <c r="R214">
        <f t="shared" si="95"/>
        <v>11.891314000657713</v>
      </c>
      <c r="S214">
        <f t="shared" si="102"/>
        <v>-1.3924557402938631</v>
      </c>
      <c r="T214">
        <f t="shared" si="103"/>
        <v>1.0970933993144971</v>
      </c>
      <c r="U214">
        <f t="shared" si="115"/>
        <v>1.3788412529717631</v>
      </c>
      <c r="W214">
        <v>103.5304</v>
      </c>
      <c r="X214">
        <v>6.3832570996795651E-2</v>
      </c>
      <c r="Y214">
        <f t="shared" si="96"/>
        <v>6.6086116083266528</v>
      </c>
      <c r="Z214">
        <f t="shared" si="104"/>
        <v>1.4163756495844115</v>
      </c>
      <c r="AA214">
        <f t="shared" si="105"/>
        <v>1.7117379905637775</v>
      </c>
      <c r="AB214">
        <f t="shared" si="116"/>
        <v>0.92035542335141551</v>
      </c>
      <c r="AD214">
        <v>103.98569999999999</v>
      </c>
      <c r="AE214">
        <v>0.13344405316323268</v>
      </c>
      <c r="AF214">
        <f t="shared" si="97"/>
        <v>13.876273279015964</v>
      </c>
      <c r="AG214">
        <f t="shared" si="106"/>
        <v>-0.44995151054465499</v>
      </c>
      <c r="AH214">
        <f t="shared" si="107"/>
        <v>0.15458916956528901</v>
      </c>
      <c r="AI214">
        <f t="shared" si="117"/>
        <v>0.15458916956528901</v>
      </c>
      <c r="AK214">
        <v>112.3438</v>
      </c>
      <c r="AL214">
        <v>7.7138477946357573E-2</v>
      </c>
      <c r="AM214">
        <f t="shared" si="98"/>
        <v>8.6660297387100051</v>
      </c>
      <c r="AN214">
        <f t="shared" si="108"/>
        <v>0.1755732882495975</v>
      </c>
      <c r="AO214">
        <f t="shared" si="109"/>
        <v>0.47093562922896348</v>
      </c>
      <c r="AP214">
        <f t="shared" si="118"/>
        <v>0.2241337472507543</v>
      </c>
      <c r="AR214">
        <v>110.9526</v>
      </c>
      <c r="AS214">
        <v>0.49392033509221922</v>
      </c>
      <c r="AT214">
        <f t="shared" si="99"/>
        <v>54.801745371352965</v>
      </c>
      <c r="AU214">
        <f t="shared" si="110"/>
        <v>-0.20875174372013694</v>
      </c>
      <c r="AV214">
        <f t="shared" si="111"/>
        <v>8.6610597259229039E-2</v>
      </c>
      <c r="AW214">
        <f t="shared" si="119"/>
        <v>8.6610597259229039E-2</v>
      </c>
      <c r="AY214" s="4">
        <f t="shared" si="91"/>
        <v>108.75483444753013</v>
      </c>
      <c r="AZ214">
        <f t="shared" si="112"/>
        <v>-0.29536234097936598</v>
      </c>
    </row>
    <row r="215" spans="1:52" x14ac:dyDescent="0.35">
      <c r="A215" s="2">
        <v>42979</v>
      </c>
      <c r="B215">
        <v>106.5621</v>
      </c>
      <c r="C215">
        <v>4.4777479056792829E-2</v>
      </c>
      <c r="D215">
        <f t="shared" si="120"/>
        <v>4.7715822009978632</v>
      </c>
      <c r="E215">
        <f t="shared" si="100"/>
        <v>1.0890383734244224</v>
      </c>
      <c r="F215">
        <f t="shared" si="92"/>
        <v>0.53114327120926674</v>
      </c>
      <c r="G215">
        <f t="shared" si="113"/>
        <v>0.49626116760470573</v>
      </c>
      <c r="I215">
        <v>110.1987</v>
      </c>
      <c r="J215">
        <v>7.5645289136026847E-2</v>
      </c>
      <c r="K215">
        <f t="shared" si="93"/>
        <v>8.336012523914281</v>
      </c>
      <c r="L215">
        <f t="shared" si="101"/>
        <v>1.7743298469210966</v>
      </c>
      <c r="M215">
        <f t="shared" si="94"/>
        <v>0.15414820228740744</v>
      </c>
      <c r="N215">
        <f t="shared" si="114"/>
        <v>0.42250263992466008</v>
      </c>
      <c r="P215">
        <v>109.8785</v>
      </c>
      <c r="Q215">
        <v>0.11124179460857518</v>
      </c>
      <c r="R215">
        <f t="shared" si="95"/>
        <v>12.223081528898328</v>
      </c>
      <c r="S215">
        <f t="shared" si="102"/>
        <v>2.7899988867694958</v>
      </c>
      <c r="T215">
        <f t="shared" si="103"/>
        <v>1.1698172421358066</v>
      </c>
      <c r="U215">
        <f t="shared" si="115"/>
        <v>7.2723842821309503E-2</v>
      </c>
      <c r="W215">
        <v>105.9813</v>
      </c>
      <c r="X215">
        <v>6.3832570996795651E-2</v>
      </c>
      <c r="Y215">
        <f t="shared" si="96"/>
        <v>6.7650588565826997</v>
      </c>
      <c r="Z215">
        <f t="shared" si="104"/>
        <v>2.367323993725523</v>
      </c>
      <c r="AA215">
        <f t="shared" si="105"/>
        <v>0.74714234909183386</v>
      </c>
      <c r="AB215">
        <f t="shared" si="116"/>
        <v>0.59255317952654485</v>
      </c>
      <c r="AD215">
        <v>105.6405</v>
      </c>
      <c r="AE215">
        <v>0.13344405316323268</v>
      </c>
      <c r="AF215">
        <f t="shared" si="97"/>
        <v>14.097096498190483</v>
      </c>
      <c r="AG215">
        <f t="shared" si="106"/>
        <v>1.5913726598945965</v>
      </c>
      <c r="AH215">
        <f t="shared" si="107"/>
        <v>2.8808984739092658E-2</v>
      </c>
      <c r="AI215">
        <f t="shared" si="117"/>
        <v>2.8808984739092658E-2</v>
      </c>
      <c r="AK215">
        <v>111.2187</v>
      </c>
      <c r="AL215">
        <v>7.7138477946357573E-2</v>
      </c>
      <c r="AM215">
        <f t="shared" si="98"/>
        <v>8.5792412371725586</v>
      </c>
      <c r="AN215">
        <f t="shared" si="108"/>
        <v>-1.0014793873805217</v>
      </c>
      <c r="AO215">
        <f t="shared" si="109"/>
        <v>2.6216610320142109</v>
      </c>
      <c r="AP215">
        <f t="shared" si="118"/>
        <v>2.9170233729935768</v>
      </c>
      <c r="AR215">
        <v>112.86190000000001</v>
      </c>
      <c r="AS215">
        <v>0.49392033509221922</v>
      </c>
      <c r="AT215">
        <f t="shared" si="99"/>
        <v>55.74478746714454</v>
      </c>
      <c r="AU215">
        <f t="shared" si="110"/>
        <v>1.7208249288434896</v>
      </c>
      <c r="AV215">
        <f t="shared" si="111"/>
        <v>0.1006432842098004</v>
      </c>
      <c r="AW215">
        <f t="shared" si="119"/>
        <v>0.1006432842098004</v>
      </c>
      <c r="AY215" s="4">
        <f t="shared" si="91"/>
        <v>110.51686031290076</v>
      </c>
      <c r="AZ215">
        <f t="shared" si="112"/>
        <v>1.6201816446336892</v>
      </c>
    </row>
    <row r="216" spans="1:52" x14ac:dyDescent="0.35">
      <c r="A216" s="2">
        <v>43009</v>
      </c>
      <c r="B216">
        <v>110.3385</v>
      </c>
      <c r="C216">
        <v>4.4777479056792829E-2</v>
      </c>
      <c r="D216">
        <f t="shared" si="120"/>
        <v>4.9406798729079355</v>
      </c>
      <c r="E216">
        <f t="shared" si="100"/>
        <v>3.5438490795507871</v>
      </c>
      <c r="F216">
        <f t="shared" si="92"/>
        <v>0.52864437074073845</v>
      </c>
      <c r="G216">
        <f t="shared" si="113"/>
        <v>2.4989004685282978E-3</v>
      </c>
      <c r="I216">
        <v>113.76300000000001</v>
      </c>
      <c r="J216">
        <v>7.5645289136026847E-2</v>
      </c>
      <c r="K216">
        <f t="shared" si="93"/>
        <v>8.6056350279818226</v>
      </c>
      <c r="L216">
        <f t="shared" si="101"/>
        <v>3.2344301702288636</v>
      </c>
      <c r="M216">
        <f t="shared" si="94"/>
        <v>0.21922546141881494</v>
      </c>
      <c r="N216">
        <f t="shared" si="114"/>
        <v>6.5077259131407494E-2</v>
      </c>
      <c r="P216">
        <v>114.4746</v>
      </c>
      <c r="Q216">
        <v>0.11124179460857518</v>
      </c>
      <c r="R216">
        <f t="shared" si="95"/>
        <v>12.7343599410988</v>
      </c>
      <c r="S216">
        <f t="shared" si="102"/>
        <v>4.1828929226372713</v>
      </c>
      <c r="T216">
        <f t="shared" si="103"/>
        <v>1.1676882138272227</v>
      </c>
      <c r="U216">
        <f t="shared" si="115"/>
        <v>2.129028308583969E-3</v>
      </c>
      <c r="W216">
        <v>107.7231</v>
      </c>
      <c r="X216">
        <v>6.3832570996795651E-2</v>
      </c>
      <c r="Y216">
        <f t="shared" si="96"/>
        <v>6.8762424287449182</v>
      </c>
      <c r="Z216">
        <f t="shared" si="104"/>
        <v>1.6434974849336648</v>
      </c>
      <c r="AA216">
        <f t="shared" si="105"/>
        <v>1.3717072238763839</v>
      </c>
      <c r="AB216">
        <f t="shared" si="116"/>
        <v>1.3428982391372912</v>
      </c>
      <c r="AD216">
        <v>110.8845</v>
      </c>
      <c r="AE216">
        <v>0.13344405316323268</v>
      </c>
      <c r="AF216">
        <f t="shared" si="97"/>
        <v>14.796877112978475</v>
      </c>
      <c r="AG216">
        <f t="shared" si="106"/>
        <v>4.9640052820651093</v>
      </c>
      <c r="AH216">
        <f t="shared" si="107"/>
        <v>1.9488005732550606</v>
      </c>
      <c r="AI216">
        <f t="shared" si="117"/>
        <v>1.9488005732550606</v>
      </c>
      <c r="AK216">
        <v>113.8502</v>
      </c>
      <c r="AL216">
        <v>7.7138477946357573E-2</v>
      </c>
      <c r="AM216">
        <f t="shared" si="98"/>
        <v>8.7822311418883992</v>
      </c>
      <c r="AN216">
        <f t="shared" si="108"/>
        <v>2.3660589451234504</v>
      </c>
      <c r="AO216">
        <f t="shared" si="109"/>
        <v>0.64914576368659826</v>
      </c>
      <c r="AP216">
        <f t="shared" si="118"/>
        <v>0.97103588094709092</v>
      </c>
      <c r="AR216">
        <v>115.6323</v>
      </c>
      <c r="AS216">
        <v>0.49392033509221922</v>
      </c>
      <c r="AT216">
        <f t="shared" si="99"/>
        <v>57.113144363484018</v>
      </c>
      <c r="AU216">
        <f t="shared" si="110"/>
        <v>2.4546813406472801</v>
      </c>
      <c r="AV216">
        <f t="shared" si="111"/>
        <v>0.5605233681627686</v>
      </c>
      <c r="AW216">
        <f t="shared" si="119"/>
        <v>0.5605233681627686</v>
      </c>
      <c r="AY216" s="4">
        <f t="shared" si="91"/>
        <v>113.84916988908437</v>
      </c>
      <c r="AZ216">
        <f t="shared" si="112"/>
        <v>3.0152047088100487</v>
      </c>
    </row>
    <row r="217" spans="1:52" x14ac:dyDescent="0.35">
      <c r="A217" s="2">
        <v>43040</v>
      </c>
      <c r="B217">
        <v>111.80840000000001</v>
      </c>
      <c r="C217">
        <v>4.4777479056792829E-2</v>
      </c>
      <c r="D217">
        <f t="shared" si="120"/>
        <v>5.0064982893735159</v>
      </c>
      <c r="E217">
        <f t="shared" si="100"/>
        <v>1.3321732668107877</v>
      </c>
      <c r="F217">
        <f t="shared" si="92"/>
        <v>0.58844749228585957</v>
      </c>
      <c r="G217">
        <f t="shared" si="113"/>
        <v>5.980312154512113E-2</v>
      </c>
      <c r="I217">
        <v>113.5964</v>
      </c>
      <c r="J217">
        <v>7.5645289136026847E-2</v>
      </c>
      <c r="K217">
        <f t="shared" si="93"/>
        <v>8.593032522811761</v>
      </c>
      <c r="L217">
        <f t="shared" si="101"/>
        <v>-0.14644480191274845</v>
      </c>
      <c r="M217">
        <f t="shared" si="94"/>
        <v>0.89017057643767661</v>
      </c>
      <c r="N217">
        <f t="shared" si="114"/>
        <v>0.67094511501886167</v>
      </c>
      <c r="P217">
        <v>115.9012</v>
      </c>
      <c r="Q217">
        <v>0.11124179460857518</v>
      </c>
      <c r="R217">
        <f t="shared" si="95"/>
        <v>12.893057485287395</v>
      </c>
      <c r="S217">
        <f t="shared" si="102"/>
        <v>1.2462153176337809</v>
      </c>
      <c r="T217">
        <f t="shared" si="103"/>
        <v>0.50248954310885274</v>
      </c>
      <c r="U217">
        <f t="shared" si="115"/>
        <v>0.66519867071836991</v>
      </c>
      <c r="W217">
        <v>107.9145</v>
      </c>
      <c r="X217">
        <v>6.3832570996795651E-2</v>
      </c>
      <c r="Y217">
        <f t="shared" si="96"/>
        <v>6.8884599828337043</v>
      </c>
      <c r="Z217">
        <f t="shared" si="104"/>
        <v>0.17767776827810611</v>
      </c>
      <c r="AA217">
        <f t="shared" si="105"/>
        <v>0.56604800624682206</v>
      </c>
      <c r="AB217">
        <f t="shared" si="116"/>
        <v>1.3827525670082386</v>
      </c>
      <c r="AD217">
        <v>114.9662</v>
      </c>
      <c r="AE217">
        <v>0.13344405316323268</v>
      </c>
      <c r="AF217">
        <f t="shared" si="97"/>
        <v>15.341555704774841</v>
      </c>
      <c r="AG217">
        <f t="shared" si="106"/>
        <v>3.6810374759321585</v>
      </c>
      <c r="AH217">
        <f t="shared" si="107"/>
        <v>2.9373117014072303</v>
      </c>
      <c r="AI217">
        <f t="shared" si="117"/>
        <v>2.9373117014072303</v>
      </c>
      <c r="AK217">
        <v>112.83499999999999</v>
      </c>
      <c r="AL217">
        <v>7.7138477946357573E-2</v>
      </c>
      <c r="AM217">
        <f t="shared" si="98"/>
        <v>8.7039201590772564</v>
      </c>
      <c r="AN217">
        <f t="shared" si="108"/>
        <v>-0.89169803829945993</v>
      </c>
      <c r="AO217">
        <f t="shared" si="109"/>
        <v>1.6354238128243881</v>
      </c>
      <c r="AP217">
        <f t="shared" si="118"/>
        <v>1.3797808959856606</v>
      </c>
      <c r="AR217">
        <v>115.9486</v>
      </c>
      <c r="AS217">
        <v>0.49392033509221922</v>
      </c>
      <c r="AT217">
        <f t="shared" si="99"/>
        <v>57.269371365473688</v>
      </c>
      <c r="AU217">
        <f t="shared" si="110"/>
        <v>0.27353948680428619</v>
      </c>
      <c r="AV217">
        <f t="shared" si="111"/>
        <v>0.47018628772064197</v>
      </c>
      <c r="AW217">
        <f t="shared" si="119"/>
        <v>0.47018628772064197</v>
      </c>
      <c r="AY217" s="4">
        <f t="shared" si="91"/>
        <v>114.69589550963217</v>
      </c>
      <c r="AZ217">
        <f t="shared" si="112"/>
        <v>0.74372577452492816</v>
      </c>
    </row>
    <row r="218" spans="1:52" x14ac:dyDescent="0.35">
      <c r="A218" s="2">
        <v>43070</v>
      </c>
      <c r="B218">
        <v>112.27849999999999</v>
      </c>
      <c r="C218">
        <v>4.4777479056792829E-2</v>
      </c>
      <c r="D218">
        <f t="shared" si="120"/>
        <v>5.0275481822781138</v>
      </c>
      <c r="E218">
        <f t="shared" si="100"/>
        <v>0.42045141509938766</v>
      </c>
      <c r="F218">
        <f t="shared" si="92"/>
        <v>1.1184702039132466</v>
      </c>
      <c r="G218">
        <f t="shared" si="113"/>
        <v>0.53002271162738701</v>
      </c>
      <c r="I218">
        <v>113.3596</v>
      </c>
      <c r="J218">
        <v>7.5645289136026847E-2</v>
      </c>
      <c r="K218">
        <f t="shared" si="93"/>
        <v>8.5751197183443484</v>
      </c>
      <c r="L218">
        <f t="shared" si="101"/>
        <v>-0.20845731026687409</v>
      </c>
      <c r="M218">
        <f t="shared" si="94"/>
        <v>1.7473789292795083</v>
      </c>
      <c r="N218">
        <f t="shared" si="114"/>
        <v>0.85720835284183172</v>
      </c>
      <c r="P218">
        <v>115.7334</v>
      </c>
      <c r="Q218">
        <v>0.11124179460857518</v>
      </c>
      <c r="R218">
        <f t="shared" si="95"/>
        <v>12.874391112152075</v>
      </c>
      <c r="S218">
        <f t="shared" si="102"/>
        <v>-0.14477848374304658</v>
      </c>
      <c r="T218">
        <f t="shared" si="103"/>
        <v>1.6837001027556808</v>
      </c>
      <c r="U218">
        <f t="shared" si="115"/>
        <v>1.1812105596468281</v>
      </c>
      <c r="W218">
        <v>107.3933</v>
      </c>
      <c r="X218">
        <v>6.3832570996795651E-2</v>
      </c>
      <c r="Y218">
        <f t="shared" si="96"/>
        <v>6.8551904468301741</v>
      </c>
      <c r="Z218">
        <f t="shared" si="104"/>
        <v>-0.4829749477595735</v>
      </c>
      <c r="AA218">
        <f t="shared" si="105"/>
        <v>2.0218965667722077</v>
      </c>
      <c r="AB218">
        <f t="shared" si="116"/>
        <v>0.91541513463502255</v>
      </c>
      <c r="AD218">
        <v>116.65130000000001</v>
      </c>
      <c r="AE218">
        <v>0.13344405316323268</v>
      </c>
      <c r="AF218">
        <f t="shared" si="97"/>
        <v>15.566422278760205</v>
      </c>
      <c r="AG218">
        <f t="shared" si="106"/>
        <v>1.4657351465039437</v>
      </c>
      <c r="AH218">
        <f t="shared" si="107"/>
        <v>7.3186472508690592E-2</v>
      </c>
      <c r="AI218">
        <f t="shared" si="117"/>
        <v>7.3186472508690592E-2</v>
      </c>
      <c r="AK218">
        <v>113.60939999999999</v>
      </c>
      <c r="AL218">
        <v>7.7138477946357573E-2</v>
      </c>
      <c r="AM218">
        <f t="shared" si="98"/>
        <v>8.7636561963989159</v>
      </c>
      <c r="AN218">
        <f t="shared" si="108"/>
        <v>0.68631187131651394</v>
      </c>
      <c r="AO218">
        <f t="shared" si="109"/>
        <v>0.8526097476961203</v>
      </c>
      <c r="AP218">
        <f t="shared" si="118"/>
        <v>0.10888397317119214</v>
      </c>
      <c r="AR218">
        <v>119.0448</v>
      </c>
      <c r="AS218">
        <v>0.49392033509221922</v>
      </c>
      <c r="AT218">
        <f t="shared" si="99"/>
        <v>58.798647506986214</v>
      </c>
      <c r="AU218">
        <f t="shared" si="110"/>
        <v>2.6703211595482834</v>
      </c>
      <c r="AV218">
        <f t="shared" si="111"/>
        <v>1.1313995405356492</v>
      </c>
      <c r="AW218">
        <f t="shared" si="119"/>
        <v>1.1313995405356492</v>
      </c>
      <c r="AY218" s="4">
        <f t="shared" si="91"/>
        <v>116.46097544175004</v>
      </c>
      <c r="AZ218">
        <f t="shared" si="112"/>
        <v>1.5389216190126342</v>
      </c>
    </row>
    <row r="219" spans="1:52" x14ac:dyDescent="0.35">
      <c r="A219" s="2">
        <v>43101</v>
      </c>
      <c r="B219">
        <v>113.464</v>
      </c>
      <c r="C219">
        <v>4.5067809080039711E-2</v>
      </c>
      <c r="D219">
        <f t="shared" si="120"/>
        <v>5.1135738894576255</v>
      </c>
      <c r="E219">
        <f t="shared" si="100"/>
        <v>1.0558566421888571</v>
      </c>
      <c r="F219">
        <f t="shared" si="92"/>
        <v>2.4979184153477219</v>
      </c>
      <c r="G219">
        <f t="shared" si="113"/>
        <v>1.3794482114344753</v>
      </c>
      <c r="I219">
        <v>115.84739999999999</v>
      </c>
      <c r="J219">
        <v>7.5485211608124866E-2</v>
      </c>
      <c r="K219">
        <f t="shared" si="93"/>
        <v>8.7447655032510845</v>
      </c>
      <c r="L219">
        <f t="shared" si="101"/>
        <v>2.1946090141461205</v>
      </c>
      <c r="M219">
        <f t="shared" si="94"/>
        <v>1.3591660433904584</v>
      </c>
      <c r="N219">
        <f t="shared" si="114"/>
        <v>0.3882128858890499</v>
      </c>
      <c r="P219">
        <v>117.96980000000001</v>
      </c>
      <c r="Q219">
        <v>0.11004324091883406</v>
      </c>
      <c r="R219">
        <f t="shared" si="95"/>
        <v>12.981779122546671</v>
      </c>
      <c r="S219">
        <f t="shared" si="102"/>
        <v>1.9323721587718001</v>
      </c>
      <c r="T219">
        <f t="shared" si="103"/>
        <v>1.6214028987647788</v>
      </c>
      <c r="U219">
        <f t="shared" si="115"/>
        <v>6.2297203990901995E-2</v>
      </c>
      <c r="W219">
        <v>111.5373</v>
      </c>
      <c r="X219">
        <v>6.3110163170331107E-2</v>
      </c>
      <c r="Y219">
        <f t="shared" si="96"/>
        <v>7.0391372025781722</v>
      </c>
      <c r="Z219">
        <f t="shared" si="104"/>
        <v>3.8587137186398168</v>
      </c>
      <c r="AA219">
        <f t="shared" si="105"/>
        <v>0.30493866110323786</v>
      </c>
      <c r="AB219">
        <f t="shared" si="116"/>
        <v>0.23175218859454727</v>
      </c>
      <c r="AD219">
        <v>120.80200000000001</v>
      </c>
      <c r="AE219">
        <v>0.13156464681360755</v>
      </c>
      <c r="AF219">
        <f t="shared" si="97"/>
        <v>15.89327246437742</v>
      </c>
      <c r="AG219">
        <f t="shared" si="106"/>
        <v>3.5582115244322088</v>
      </c>
      <c r="AH219">
        <f t="shared" si="107"/>
        <v>4.4364668956298203E-3</v>
      </c>
      <c r="AI219">
        <f t="shared" si="117"/>
        <v>4.4364668956298203E-3</v>
      </c>
      <c r="AK219">
        <v>116.68770000000001</v>
      </c>
      <c r="AL219">
        <v>7.662667481451875E-2</v>
      </c>
      <c r="AM219">
        <f t="shared" si="98"/>
        <v>8.9413904427541198</v>
      </c>
      <c r="AN219">
        <f t="shared" si="108"/>
        <v>2.7095469212935042</v>
      </c>
      <c r="AO219">
        <f t="shared" si="109"/>
        <v>0.8442281362430748</v>
      </c>
      <c r="AP219">
        <f t="shared" si="118"/>
        <v>0.69469348276955944</v>
      </c>
      <c r="AR219">
        <v>124.2432</v>
      </c>
      <c r="AS219">
        <v>0.49810225359454396</v>
      </c>
      <c r="AT219">
        <f t="shared" si="99"/>
        <v>61.885817913797645</v>
      </c>
      <c r="AU219">
        <f t="shared" si="110"/>
        <v>4.3667594048627079</v>
      </c>
      <c r="AV219">
        <f t="shared" si="111"/>
        <v>0.8129843473261289</v>
      </c>
      <c r="AW219">
        <f t="shared" si="119"/>
        <v>0.8129843473261289</v>
      </c>
      <c r="AY219" s="4">
        <f t="shared" si="91"/>
        <v>120.59973653876274</v>
      </c>
      <c r="AZ219">
        <f t="shared" si="112"/>
        <v>3.553775057536579</v>
      </c>
    </row>
    <row r="220" spans="1:52" x14ac:dyDescent="0.35">
      <c r="A220" s="2">
        <v>43132</v>
      </c>
      <c r="B220">
        <v>107.6199</v>
      </c>
      <c r="C220">
        <v>4.5067809080039711E-2</v>
      </c>
      <c r="D220">
        <f t="shared" si="120"/>
        <v>4.8501931064129655</v>
      </c>
      <c r="E220">
        <f t="shared" si="100"/>
        <v>-5.1506204611154178</v>
      </c>
      <c r="F220">
        <f t="shared" si="92"/>
        <v>0.68946375189803355</v>
      </c>
      <c r="G220">
        <f t="shared" si="113"/>
        <v>1.8084546634496883</v>
      </c>
      <c r="I220">
        <v>111.4709</v>
      </c>
      <c r="J220">
        <v>7.5485211608124866E-2</v>
      </c>
      <c r="K220">
        <f t="shared" si="93"/>
        <v>8.4144044746481264</v>
      </c>
      <c r="L220">
        <f t="shared" si="101"/>
        <v>-3.7778146078375485</v>
      </c>
      <c r="M220">
        <f t="shared" si="94"/>
        <v>0.68334210137983575</v>
      </c>
      <c r="N220">
        <f t="shared" si="114"/>
        <v>0.67582394201062268</v>
      </c>
      <c r="P220">
        <v>111.16630000000001</v>
      </c>
      <c r="Q220">
        <v>0.11004324091883406</v>
      </c>
      <c r="R220">
        <f t="shared" si="95"/>
        <v>12.233099932955383</v>
      </c>
      <c r="S220">
        <f t="shared" si="102"/>
        <v>-5.7671539665236304</v>
      </c>
      <c r="T220">
        <f t="shared" si="103"/>
        <v>1.3059972573062462</v>
      </c>
      <c r="U220">
        <f t="shared" si="115"/>
        <v>0.31540564145853267</v>
      </c>
      <c r="W220">
        <v>107.8398</v>
      </c>
      <c r="X220">
        <v>6.3110163170331107E-2</v>
      </c>
      <c r="Y220">
        <f t="shared" si="96"/>
        <v>6.8057873742558721</v>
      </c>
      <c r="Z220">
        <f t="shared" si="104"/>
        <v>-3.3150345220836486</v>
      </c>
      <c r="AA220">
        <f t="shared" si="105"/>
        <v>1.1461221871337357</v>
      </c>
      <c r="AB220">
        <f t="shared" si="116"/>
        <v>1.1416857202381059</v>
      </c>
      <c r="AD220">
        <v>113.7653</v>
      </c>
      <c r="AE220">
        <v>0.13156464681360755</v>
      </c>
      <c r="AF220">
        <f t="shared" si="97"/>
        <v>14.967491514144106</v>
      </c>
      <c r="AG220">
        <f t="shared" si="106"/>
        <v>-5.8249863412857543</v>
      </c>
      <c r="AH220">
        <f t="shared" si="107"/>
        <v>1.36382963206837</v>
      </c>
      <c r="AI220">
        <f t="shared" si="117"/>
        <v>1.36382963206837</v>
      </c>
      <c r="AK220">
        <v>110.0247</v>
      </c>
      <c r="AL220">
        <v>7.662667481451875E-2</v>
      </c>
      <c r="AM220">
        <f t="shared" si="98"/>
        <v>8.4308269084649812</v>
      </c>
      <c r="AN220">
        <f t="shared" si="108"/>
        <v>-5.7101134052689462</v>
      </c>
      <c r="AO220">
        <f t="shared" si="109"/>
        <v>1.2489566960515619</v>
      </c>
      <c r="AP220">
        <f t="shared" si="118"/>
        <v>2.3048183614850171</v>
      </c>
      <c r="AR220">
        <v>119.48909999999999</v>
      </c>
      <c r="AS220">
        <v>0.49810225359454396</v>
      </c>
      <c r="AT220">
        <f t="shared" si="99"/>
        <v>59.517789989983818</v>
      </c>
      <c r="AU220">
        <f t="shared" si="110"/>
        <v>-3.8264468397465667</v>
      </c>
      <c r="AV220">
        <f t="shared" si="111"/>
        <v>0.63470986947081753</v>
      </c>
      <c r="AW220">
        <f t="shared" si="119"/>
        <v>0.63470986947081753</v>
      </c>
      <c r="AY220" s="4">
        <f t="shared" si="91"/>
        <v>115.21959330086524</v>
      </c>
      <c r="AZ220">
        <f t="shared" si="112"/>
        <v>-4.4611567092173843</v>
      </c>
    </row>
    <row r="221" spans="1:52" x14ac:dyDescent="0.35">
      <c r="A221" s="2">
        <v>43160</v>
      </c>
      <c r="B221">
        <v>107.9901</v>
      </c>
      <c r="C221">
        <v>4.5067809080039711E-2</v>
      </c>
      <c r="D221">
        <f t="shared" si="120"/>
        <v>4.8668772093343966</v>
      </c>
      <c r="E221">
        <f t="shared" si="100"/>
        <v>0.34398842593237333</v>
      </c>
      <c r="F221">
        <f t="shared" si="92"/>
        <v>1.7754605764270348</v>
      </c>
      <c r="G221">
        <f t="shared" si="113"/>
        <v>1.0859968245290013</v>
      </c>
      <c r="I221">
        <v>110.4175</v>
      </c>
      <c r="J221">
        <v>7.5485211608124866E-2</v>
      </c>
      <c r="K221">
        <f t="shared" si="93"/>
        <v>8.3348883527401281</v>
      </c>
      <c r="L221">
        <f t="shared" si="101"/>
        <v>-0.94499999551451719</v>
      </c>
      <c r="M221">
        <f t="shared" si="94"/>
        <v>0.48647215498014429</v>
      </c>
      <c r="N221">
        <f t="shared" si="114"/>
        <v>0.19686994639969146</v>
      </c>
      <c r="P221">
        <v>108.9667</v>
      </c>
      <c r="Q221">
        <v>0.11004324091883406</v>
      </c>
      <c r="R221">
        <f t="shared" si="95"/>
        <v>11.991048820230317</v>
      </c>
      <c r="S221">
        <f t="shared" si="102"/>
        <v>-1.9786572009682812</v>
      </c>
      <c r="T221">
        <f t="shared" si="103"/>
        <v>0.54718505047361976</v>
      </c>
      <c r="U221">
        <f t="shared" si="115"/>
        <v>0.7588122068326264</v>
      </c>
      <c r="W221">
        <v>107.2522</v>
      </c>
      <c r="X221">
        <v>6.3110163170331107E-2</v>
      </c>
      <c r="Y221">
        <f t="shared" si="96"/>
        <v>6.7687038423769863</v>
      </c>
      <c r="Z221">
        <f t="shared" si="104"/>
        <v>-0.54488231617639826</v>
      </c>
      <c r="AA221">
        <f t="shared" si="105"/>
        <v>0.88658983431826321</v>
      </c>
      <c r="AB221">
        <f t="shared" si="116"/>
        <v>0.47723979775010683</v>
      </c>
      <c r="AD221">
        <v>110.6344</v>
      </c>
      <c r="AE221">
        <v>0.13156464681360755</v>
      </c>
      <c r="AF221">
        <f t="shared" si="97"/>
        <v>14.555575761435383</v>
      </c>
      <c r="AG221">
        <f t="shared" si="106"/>
        <v>-2.7520693919850792</v>
      </c>
      <c r="AH221">
        <f t="shared" si="107"/>
        <v>1.3205972414904177</v>
      </c>
      <c r="AI221">
        <f t="shared" si="117"/>
        <v>1.3205972414904177</v>
      </c>
      <c r="AK221">
        <v>107.48739999999999</v>
      </c>
      <c r="AL221">
        <v>7.662667481451875E-2</v>
      </c>
      <c r="AM221">
        <f t="shared" si="98"/>
        <v>8.2364020464581014</v>
      </c>
      <c r="AN221">
        <f t="shared" si="108"/>
        <v>-2.30611853520164</v>
      </c>
      <c r="AO221">
        <f t="shared" si="109"/>
        <v>0.87464638470697853</v>
      </c>
      <c r="AP221">
        <f t="shared" si="118"/>
        <v>5.3358030939243628</v>
      </c>
      <c r="AR221">
        <v>118.0817</v>
      </c>
      <c r="AS221">
        <v>0.49810225359454396</v>
      </c>
      <c r="AT221">
        <f t="shared" si="99"/>
        <v>58.816760878274863</v>
      </c>
      <c r="AU221">
        <f t="shared" si="110"/>
        <v>-1.1778480212839448</v>
      </c>
      <c r="AV221">
        <f t="shared" si="111"/>
        <v>0.25362412921071664</v>
      </c>
      <c r="AW221">
        <f t="shared" si="119"/>
        <v>0.25362412921071664</v>
      </c>
      <c r="AY221" s="4">
        <f t="shared" si="91"/>
        <v>113.57025691085015</v>
      </c>
      <c r="AZ221">
        <f t="shared" si="112"/>
        <v>-1.4314721504946615</v>
      </c>
    </row>
    <row r="222" spans="1:52" x14ac:dyDescent="0.35">
      <c r="A222" s="2">
        <v>43191</v>
      </c>
      <c r="B222">
        <v>107.2621</v>
      </c>
      <c r="C222">
        <v>4.5067809080039711E-2</v>
      </c>
      <c r="D222">
        <f t="shared" si="120"/>
        <v>4.8340678443241281</v>
      </c>
      <c r="E222">
        <f t="shared" si="100"/>
        <v>-0.67413586986213581</v>
      </c>
      <c r="F222">
        <f t="shared" si="92"/>
        <v>1.2299795738921704</v>
      </c>
      <c r="G222">
        <f t="shared" si="113"/>
        <v>0.54548100253486442</v>
      </c>
      <c r="I222">
        <v>112.9564</v>
      </c>
      <c r="J222">
        <v>7.5485211608124866E-2</v>
      </c>
      <c r="K222">
        <f t="shared" si="93"/>
        <v>8.5265377564919955</v>
      </c>
      <c r="L222">
        <f t="shared" si="101"/>
        <v>2.2993637783865761</v>
      </c>
      <c r="M222">
        <f t="shared" si="94"/>
        <v>1.7435200743565415</v>
      </c>
      <c r="N222">
        <f t="shared" si="114"/>
        <v>1.2570479193763973</v>
      </c>
      <c r="P222">
        <v>110.4106</v>
      </c>
      <c r="Q222">
        <v>0.11004324091883406</v>
      </c>
      <c r="R222">
        <f t="shared" si="95"/>
        <v>12.149940255793021</v>
      </c>
      <c r="S222">
        <f t="shared" si="102"/>
        <v>1.3250837182368524</v>
      </c>
      <c r="T222">
        <f t="shared" si="103"/>
        <v>0.76924001420681787</v>
      </c>
      <c r="U222">
        <f t="shared" si="115"/>
        <v>0.22205496373319811</v>
      </c>
      <c r="W222">
        <v>111.0204</v>
      </c>
      <c r="X222">
        <v>6.3110163170331107E-2</v>
      </c>
      <c r="Y222">
        <f t="shared" si="96"/>
        <v>7.0065155592354271</v>
      </c>
      <c r="Z222">
        <f t="shared" si="104"/>
        <v>3.5134011237065499</v>
      </c>
      <c r="AA222">
        <f t="shared" si="105"/>
        <v>2.9575574196765153</v>
      </c>
      <c r="AB222">
        <f t="shared" si="116"/>
        <v>1.6369601781860976</v>
      </c>
      <c r="AD222">
        <v>112.1202</v>
      </c>
      <c r="AE222">
        <v>0.13156464681360755</v>
      </c>
      <c r="AF222">
        <f t="shared" si="97"/>
        <v>14.751054513671042</v>
      </c>
      <c r="AG222">
        <f t="shared" si="106"/>
        <v>1.342981929671061</v>
      </c>
      <c r="AH222">
        <f t="shared" si="107"/>
        <v>0.78713822564102642</v>
      </c>
      <c r="AI222">
        <f t="shared" si="117"/>
        <v>0.78713822564102642</v>
      </c>
      <c r="AK222">
        <v>110.3475</v>
      </c>
      <c r="AL222">
        <v>7.662667481451875E-2</v>
      </c>
      <c r="AM222">
        <f t="shared" si="98"/>
        <v>8.4555619990951083</v>
      </c>
      <c r="AN222">
        <f t="shared" si="108"/>
        <v>2.6608700182533029</v>
      </c>
      <c r="AO222">
        <f t="shared" si="109"/>
        <v>2.1050263142232684</v>
      </c>
      <c r="AP222">
        <f t="shared" si="118"/>
        <v>3.5364984647179298</v>
      </c>
      <c r="AR222">
        <v>117.40130000000001</v>
      </c>
      <c r="AS222">
        <v>0.49810225359454396</v>
      </c>
      <c r="AT222">
        <f t="shared" si="99"/>
        <v>58.477852104929134</v>
      </c>
      <c r="AU222">
        <f t="shared" si="110"/>
        <v>-0.57621121647130069</v>
      </c>
      <c r="AV222">
        <f t="shared" si="111"/>
        <v>1.1320549205013353</v>
      </c>
      <c r="AW222">
        <f t="shared" si="119"/>
        <v>1.1320549205013353</v>
      </c>
      <c r="AY222" s="4">
        <f t="shared" si="91"/>
        <v>114.20153003353984</v>
      </c>
      <c r="AZ222">
        <f t="shared" si="112"/>
        <v>0.55584370403003458</v>
      </c>
    </row>
    <row r="223" spans="1:52" x14ac:dyDescent="0.35">
      <c r="A223" s="2">
        <v>43221</v>
      </c>
      <c r="B223">
        <v>111.3948</v>
      </c>
      <c r="C223">
        <v>4.5067809080039711E-2</v>
      </c>
      <c r="D223">
        <f t="shared" si="120"/>
        <v>5.0203195789092074</v>
      </c>
      <c r="E223">
        <f t="shared" si="100"/>
        <v>3.8528986473320925</v>
      </c>
      <c r="F223">
        <f t="shared" si="92"/>
        <v>1.9622431367155801</v>
      </c>
      <c r="G223">
        <f t="shared" si="113"/>
        <v>0.73226356282340976</v>
      </c>
      <c r="I223">
        <v>116.9777</v>
      </c>
      <c r="J223">
        <v>7.5485211608124866E-2</v>
      </c>
      <c r="K223">
        <f t="shared" si="93"/>
        <v>8.8300864379317474</v>
      </c>
      <c r="L223">
        <f t="shared" si="101"/>
        <v>3.560046177109033</v>
      </c>
      <c r="M223">
        <f t="shared" si="94"/>
        <v>1.6693906664925207</v>
      </c>
      <c r="N223">
        <f t="shared" si="114"/>
        <v>7.4129407864020891E-2</v>
      </c>
      <c r="P223">
        <v>113.3236</v>
      </c>
      <c r="Q223">
        <v>0.11004324091883406</v>
      </c>
      <c r="R223">
        <f t="shared" si="95"/>
        <v>12.470496216589584</v>
      </c>
      <c r="S223">
        <f t="shared" si="102"/>
        <v>2.638333638255741</v>
      </c>
      <c r="T223">
        <f t="shared" si="103"/>
        <v>0.74767812763922858</v>
      </c>
      <c r="U223">
        <f t="shared" si="115"/>
        <v>2.1561886567589283E-2</v>
      </c>
      <c r="W223">
        <v>111.88160000000001</v>
      </c>
      <c r="X223">
        <v>6.3110163170331107E-2</v>
      </c>
      <c r="Y223">
        <f t="shared" si="96"/>
        <v>7.0608660317577172</v>
      </c>
      <c r="Z223">
        <f t="shared" si="104"/>
        <v>0.77571329233185882</v>
      </c>
      <c r="AA223">
        <f t="shared" si="105"/>
        <v>1.1149422182846536</v>
      </c>
      <c r="AB223">
        <f t="shared" si="116"/>
        <v>0.32780399264362714</v>
      </c>
      <c r="AD223">
        <v>114.92749999999999</v>
      </c>
      <c r="AE223">
        <v>0.13156464681360755</v>
      </c>
      <c r="AF223">
        <f t="shared" si="97"/>
        <v>15.120395946670881</v>
      </c>
      <c r="AG223">
        <f t="shared" si="106"/>
        <v>2.5038307102555946</v>
      </c>
      <c r="AH223">
        <f t="shared" si="107"/>
        <v>0.61317519963908218</v>
      </c>
      <c r="AI223">
        <f t="shared" si="117"/>
        <v>0.61317519963908218</v>
      </c>
      <c r="AK223">
        <v>116.5558</v>
      </c>
      <c r="AL223">
        <v>7.662667481451875E-2</v>
      </c>
      <c r="AM223">
        <f t="shared" si="98"/>
        <v>8.9312833843460844</v>
      </c>
      <c r="AN223">
        <f t="shared" si="108"/>
        <v>5.6261356170280274</v>
      </c>
      <c r="AO223">
        <f t="shared" si="109"/>
        <v>3.7354801064115151</v>
      </c>
      <c r="AP223">
        <f t="shared" si="118"/>
        <v>3.1796364023814805</v>
      </c>
      <c r="AR223">
        <v>118.3035</v>
      </c>
      <c r="AS223">
        <v>0.49810225359454396</v>
      </c>
      <c r="AT223">
        <f t="shared" si="99"/>
        <v>58.927239958122129</v>
      </c>
      <c r="AU223">
        <f t="shared" si="110"/>
        <v>0.76847530649148954</v>
      </c>
      <c r="AV223">
        <f t="shared" si="111"/>
        <v>1.1221802041250228</v>
      </c>
      <c r="AW223">
        <f t="shared" si="119"/>
        <v>1.1221802041250228</v>
      </c>
      <c r="AY223" s="4">
        <f t="shared" si="91"/>
        <v>116.36068755432734</v>
      </c>
      <c r="AZ223">
        <f t="shared" si="112"/>
        <v>1.8906555106165124</v>
      </c>
    </row>
    <row r="224" spans="1:52" x14ac:dyDescent="0.35">
      <c r="A224" s="2">
        <v>43252</v>
      </c>
      <c r="B224">
        <v>113.3493</v>
      </c>
      <c r="C224">
        <v>4.5067809080039711E-2</v>
      </c>
      <c r="D224">
        <f t="shared" si="120"/>
        <v>5.1084046117561455</v>
      </c>
      <c r="E224">
        <f t="shared" si="100"/>
        <v>1.7545702312854683</v>
      </c>
      <c r="F224">
        <f t="shared" si="92"/>
        <v>2.4389651574409865</v>
      </c>
      <c r="G224">
        <f t="shared" si="113"/>
        <v>0.47672202072540637</v>
      </c>
      <c r="I224">
        <v>114.6062</v>
      </c>
      <c r="J224">
        <v>7.5485211608124866E-2</v>
      </c>
      <c r="K224">
        <f t="shared" si="93"/>
        <v>8.6510732586030805</v>
      </c>
      <c r="L224">
        <f t="shared" si="101"/>
        <v>-2.0273094786442236</v>
      </c>
      <c r="M224">
        <f t="shared" si="94"/>
        <v>1.3429145524887054</v>
      </c>
      <c r="N224">
        <f t="shared" si="114"/>
        <v>0.32647611400381527</v>
      </c>
      <c r="P224">
        <v>110.7576</v>
      </c>
      <c r="Q224">
        <v>0.11004324091883406</v>
      </c>
      <c r="R224">
        <f t="shared" si="95"/>
        <v>12.188125260391855</v>
      </c>
      <c r="S224">
        <f t="shared" si="102"/>
        <v>-2.2643121115107578</v>
      </c>
      <c r="T224">
        <f t="shared" si="103"/>
        <v>1.5799171853552396</v>
      </c>
      <c r="U224">
        <f t="shared" si="115"/>
        <v>0.83223905771601103</v>
      </c>
      <c r="W224">
        <v>106.125</v>
      </c>
      <c r="X224">
        <v>6.3110163170331107E-2</v>
      </c>
      <c r="Y224">
        <f t="shared" si="96"/>
        <v>6.6975660664513885</v>
      </c>
      <c r="Z224">
        <f t="shared" si="104"/>
        <v>-5.1452607041729825</v>
      </c>
      <c r="AA224">
        <f t="shared" si="105"/>
        <v>4.4608657780174639</v>
      </c>
      <c r="AB224">
        <f t="shared" si="116"/>
        <v>3.8476905783783817</v>
      </c>
      <c r="AD224">
        <v>113.61320000000001</v>
      </c>
      <c r="AE224">
        <v>0.13156464681360755</v>
      </c>
      <c r="AF224">
        <f t="shared" si="97"/>
        <v>14.947480531363759</v>
      </c>
      <c r="AG224">
        <f t="shared" si="106"/>
        <v>-1.1435905244610689</v>
      </c>
      <c r="AH224">
        <f t="shared" si="107"/>
        <v>0.45919559830555068</v>
      </c>
      <c r="AI224">
        <f t="shared" si="117"/>
        <v>0.45919559830555068</v>
      </c>
      <c r="AK224">
        <v>116.1057</v>
      </c>
      <c r="AL224">
        <v>7.662667481451875E-2</v>
      </c>
      <c r="AM224">
        <f t="shared" si="98"/>
        <v>8.89679371801207</v>
      </c>
      <c r="AN224">
        <f t="shared" si="108"/>
        <v>-0.3861669689539271</v>
      </c>
      <c r="AO224">
        <f t="shared" si="109"/>
        <v>0.29822795720159112</v>
      </c>
      <c r="AP224">
        <f t="shared" si="118"/>
        <v>1.5924275534149213</v>
      </c>
      <c r="AR224">
        <v>118.59990000000001</v>
      </c>
      <c r="AS224">
        <v>0.49810225359454396</v>
      </c>
      <c r="AT224">
        <f t="shared" si="99"/>
        <v>59.074877466087557</v>
      </c>
      <c r="AU224">
        <f t="shared" si="110"/>
        <v>0.25054203806311737</v>
      </c>
      <c r="AV224">
        <f t="shared" si="111"/>
        <v>0.93493696421863559</v>
      </c>
      <c r="AW224">
        <f t="shared" si="119"/>
        <v>0.93493696421863559</v>
      </c>
      <c r="AY224" s="4">
        <f t="shared" si="91"/>
        <v>115.56432091266585</v>
      </c>
      <c r="AZ224">
        <f t="shared" si="112"/>
        <v>-0.68439492615551822</v>
      </c>
    </row>
    <row r="225" spans="1:52" x14ac:dyDescent="0.35">
      <c r="A225" s="2">
        <v>43282</v>
      </c>
      <c r="B225">
        <v>114.55070000000001</v>
      </c>
      <c r="C225">
        <v>4.5067809080039711E-2</v>
      </c>
      <c r="D225">
        <f t="shared" si="120"/>
        <v>5.162549077584905</v>
      </c>
      <c r="E225">
        <f t="shared" si="100"/>
        <v>1.0599095009850235</v>
      </c>
      <c r="F225">
        <f t="shared" si="92"/>
        <v>0.96465568431698401</v>
      </c>
      <c r="G225">
        <f t="shared" si="113"/>
        <v>1.4743094731240025</v>
      </c>
      <c r="I225">
        <v>114.3751</v>
      </c>
      <c r="J225">
        <v>7.5485211608124866E-2</v>
      </c>
      <c r="K225">
        <f t="shared" si="93"/>
        <v>8.6336286262004425</v>
      </c>
      <c r="L225">
        <f t="shared" si="101"/>
        <v>-0.20164703131243522</v>
      </c>
      <c r="M225">
        <f t="shared" si="94"/>
        <v>0.29690084798047467</v>
      </c>
      <c r="N225">
        <f t="shared" si="114"/>
        <v>1.0460137045082307</v>
      </c>
      <c r="P225">
        <v>109.9421</v>
      </c>
      <c r="Q225">
        <v>0.11004324091883406</v>
      </c>
      <c r="R225">
        <f t="shared" si="95"/>
        <v>12.098384997422546</v>
      </c>
      <c r="S225">
        <f t="shared" si="102"/>
        <v>-0.73629258849956525</v>
      </c>
      <c r="T225">
        <f t="shared" si="103"/>
        <v>0.8315464051676047</v>
      </c>
      <c r="U225">
        <f t="shared" si="115"/>
        <v>0.74837078018763492</v>
      </c>
      <c r="W225">
        <v>105.9577</v>
      </c>
      <c r="X225">
        <v>6.3110163170331107E-2</v>
      </c>
      <c r="Y225">
        <f t="shared" si="96"/>
        <v>6.6870077361529923</v>
      </c>
      <c r="Z225">
        <f t="shared" si="104"/>
        <v>-0.15764428739692971</v>
      </c>
      <c r="AA225">
        <f t="shared" si="105"/>
        <v>0.25289810406496915</v>
      </c>
      <c r="AB225">
        <f t="shared" si="116"/>
        <v>0.20629749424058152</v>
      </c>
      <c r="AD225">
        <v>111.4653</v>
      </c>
      <c r="AE225">
        <v>0.13156464681360755</v>
      </c>
      <c r="AF225">
        <f t="shared" si="97"/>
        <v>14.66489282647281</v>
      </c>
      <c r="AG225">
        <f t="shared" si="106"/>
        <v>-1.8905373671369241</v>
      </c>
      <c r="AH225">
        <f t="shared" si="107"/>
        <v>1.9857911838049636</v>
      </c>
      <c r="AI225">
        <f t="shared" si="117"/>
        <v>1.9857911838049636</v>
      </c>
      <c r="AK225">
        <v>116.0167</v>
      </c>
      <c r="AL225">
        <v>7.662667481451875E-2</v>
      </c>
      <c r="AM225">
        <f t="shared" si="98"/>
        <v>8.8899739439535779</v>
      </c>
      <c r="AN225">
        <f t="shared" si="108"/>
        <v>-7.665429001332269E-2</v>
      </c>
      <c r="AO225">
        <f t="shared" si="109"/>
        <v>0.17190810668136214</v>
      </c>
      <c r="AP225">
        <f t="shared" si="118"/>
        <v>0.85630303283688036</v>
      </c>
      <c r="AR225">
        <v>119.5296</v>
      </c>
      <c r="AS225">
        <v>0.49810225359454396</v>
      </c>
      <c r="AT225">
        <f t="shared" si="99"/>
        <v>59.537963131254401</v>
      </c>
      <c r="AU225">
        <f t="shared" si="110"/>
        <v>0.78389610783820007</v>
      </c>
      <c r="AV225">
        <f t="shared" si="111"/>
        <v>0.68864229117016063</v>
      </c>
      <c r="AW225">
        <f t="shared" si="119"/>
        <v>0.68864229117016063</v>
      </c>
      <c r="AY225" s="4">
        <f t="shared" si="91"/>
        <v>115.67440033904167</v>
      </c>
      <c r="AZ225">
        <f t="shared" si="112"/>
        <v>9.5253816668039448E-2</v>
      </c>
    </row>
    <row r="226" spans="1:52" x14ac:dyDescent="0.35">
      <c r="A226" s="2">
        <v>43313</v>
      </c>
      <c r="B226">
        <v>113.92789999999999</v>
      </c>
      <c r="C226">
        <v>4.5067809080039711E-2</v>
      </c>
      <c r="D226">
        <f t="shared" si="120"/>
        <v>5.1344808460898559</v>
      </c>
      <c r="E226">
        <f t="shared" si="100"/>
        <v>-0.54368938819231438</v>
      </c>
      <c r="F226">
        <f t="shared" si="92"/>
        <v>1.0205358934020081</v>
      </c>
      <c r="G226">
        <f t="shared" si="113"/>
        <v>5.5880209085024113E-2</v>
      </c>
      <c r="I226">
        <v>115.151</v>
      </c>
      <c r="J226">
        <v>7.5485211608124866E-2</v>
      </c>
      <c r="K226">
        <f t="shared" si="93"/>
        <v>8.6921976018871856</v>
      </c>
      <c r="L226">
        <f t="shared" si="101"/>
        <v>0.67838192054039403</v>
      </c>
      <c r="M226">
        <f t="shared" si="94"/>
        <v>0.2015354153307003</v>
      </c>
      <c r="N226">
        <f t="shared" si="114"/>
        <v>9.5365432649774373E-2</v>
      </c>
      <c r="P226">
        <v>109.6395</v>
      </c>
      <c r="Q226">
        <v>0.11004324091883406</v>
      </c>
      <c r="R226">
        <f t="shared" si="95"/>
        <v>12.065085912720507</v>
      </c>
      <c r="S226">
        <f t="shared" si="102"/>
        <v>-0.27523578319861297</v>
      </c>
      <c r="T226">
        <f t="shared" si="103"/>
        <v>0.75208228840830671</v>
      </c>
      <c r="U226">
        <f t="shared" si="115"/>
        <v>7.9464116759297987E-2</v>
      </c>
      <c r="W226">
        <v>102.86709999999999</v>
      </c>
      <c r="X226">
        <v>6.3110163170331107E-2</v>
      </c>
      <c r="Y226">
        <f t="shared" si="96"/>
        <v>6.4919594658587663</v>
      </c>
      <c r="Z226">
        <f t="shared" si="104"/>
        <v>-2.9168243553795659</v>
      </c>
      <c r="AA226">
        <f t="shared" si="105"/>
        <v>3.3936708605892596</v>
      </c>
      <c r="AB226">
        <f t="shared" si="116"/>
        <v>1.407879676784296</v>
      </c>
      <c r="AD226">
        <v>110.94119999999999</v>
      </c>
      <c r="AE226">
        <v>0.13156464681360755</v>
      </c>
      <c r="AF226">
        <f t="shared" si="97"/>
        <v>14.595939795077797</v>
      </c>
      <c r="AG226">
        <f t="shared" si="106"/>
        <v>-0.47019117160228552</v>
      </c>
      <c r="AH226">
        <f t="shared" si="107"/>
        <v>0.94703767681197926</v>
      </c>
      <c r="AI226">
        <f t="shared" si="117"/>
        <v>0.94703767681197926</v>
      </c>
      <c r="AK226">
        <v>115.30889999999999</v>
      </c>
      <c r="AL226">
        <v>7.662667481451875E-2</v>
      </c>
      <c r="AM226">
        <f t="shared" si="98"/>
        <v>8.8357375835198599</v>
      </c>
      <c r="AN226">
        <f t="shared" si="108"/>
        <v>-0.61008458265060517</v>
      </c>
      <c r="AO226">
        <f t="shared" si="109"/>
        <v>1.0869310878602989</v>
      </c>
      <c r="AP226">
        <f t="shared" si="118"/>
        <v>0.99167727119225946</v>
      </c>
      <c r="AR226">
        <v>121.28149999999999</v>
      </c>
      <c r="AS226">
        <v>0.49810225359454396</v>
      </c>
      <c r="AT226">
        <f t="shared" si="99"/>
        <v>60.410588469326683</v>
      </c>
      <c r="AU226">
        <f t="shared" si="110"/>
        <v>1.4656620619495131</v>
      </c>
      <c r="AV226">
        <f t="shared" si="111"/>
        <v>0.98881555673981936</v>
      </c>
      <c r="AW226">
        <f t="shared" si="119"/>
        <v>0.98881555673981936</v>
      </c>
      <c r="AY226" s="4">
        <f t="shared" si="91"/>
        <v>116.22598967448066</v>
      </c>
      <c r="AZ226">
        <f t="shared" si="112"/>
        <v>0.47684650520969374</v>
      </c>
    </row>
    <row r="227" spans="1:52" x14ac:dyDescent="0.35">
      <c r="A227" s="2">
        <v>43344</v>
      </c>
      <c r="B227">
        <v>112.5069</v>
      </c>
      <c r="C227">
        <v>4.5067809080039711E-2</v>
      </c>
      <c r="D227">
        <f t="shared" si="120"/>
        <v>5.0704394893871196</v>
      </c>
      <c r="E227">
        <f t="shared" si="100"/>
        <v>-1.2472800780142457</v>
      </c>
      <c r="F227">
        <f t="shared" si="92"/>
        <v>1.3000626250311953</v>
      </c>
      <c r="G227">
        <f t="shared" si="113"/>
        <v>0.27952673162918718</v>
      </c>
      <c r="I227">
        <v>114.04040000000001</v>
      </c>
      <c r="J227">
        <v>7.5485211608124866E-2</v>
      </c>
      <c r="K227">
        <f t="shared" si="93"/>
        <v>8.6083637258752042</v>
      </c>
      <c r="L227">
        <f t="shared" si="101"/>
        <v>-0.96447273579907122</v>
      </c>
      <c r="M227">
        <f t="shared" si="94"/>
        <v>1.0172552828160208</v>
      </c>
      <c r="N227">
        <f t="shared" si="114"/>
        <v>0.81571986748532055</v>
      </c>
      <c r="P227">
        <v>107.3357</v>
      </c>
      <c r="Q227">
        <v>0.11004324091883406</v>
      </c>
      <c r="R227">
        <f t="shared" si="95"/>
        <v>11.811568294291698</v>
      </c>
      <c r="S227">
        <f t="shared" si="102"/>
        <v>-2.1012500057004946</v>
      </c>
      <c r="T227">
        <f t="shared" si="103"/>
        <v>2.1540325527174442</v>
      </c>
      <c r="U227">
        <f t="shared" si="115"/>
        <v>1.4019502643091375</v>
      </c>
      <c r="W227">
        <v>102.8113</v>
      </c>
      <c r="X227">
        <v>6.3110163170331107E-2</v>
      </c>
      <c r="Y227">
        <f t="shared" si="96"/>
        <v>6.4884379187538626</v>
      </c>
      <c r="Z227">
        <f t="shared" si="104"/>
        <v>-5.4244748806941967E-2</v>
      </c>
      <c r="AA227">
        <f t="shared" si="105"/>
        <v>0.10702729582389159</v>
      </c>
      <c r="AB227">
        <f t="shared" si="116"/>
        <v>0.84001038098808767</v>
      </c>
      <c r="AD227">
        <v>112.7055</v>
      </c>
      <c r="AE227">
        <v>0.13156464681360755</v>
      </c>
      <c r="AF227">
        <f t="shared" si="97"/>
        <v>14.828059301451045</v>
      </c>
      <c r="AG227">
        <f t="shared" si="106"/>
        <v>1.590301889649659</v>
      </c>
      <c r="AH227">
        <f t="shared" si="107"/>
        <v>1.5375193426327094</v>
      </c>
      <c r="AI227">
        <f t="shared" si="117"/>
        <v>1.5375193426327094</v>
      </c>
      <c r="AK227">
        <v>111.9961</v>
      </c>
      <c r="AL227">
        <v>7.662667481451875E-2</v>
      </c>
      <c r="AM227">
        <f t="shared" si="98"/>
        <v>8.5818887351943225</v>
      </c>
      <c r="AN227">
        <f t="shared" si="108"/>
        <v>-2.8729785818787601</v>
      </c>
      <c r="AO227">
        <f t="shared" si="109"/>
        <v>2.9257611288957097</v>
      </c>
      <c r="AP227">
        <f t="shared" si="118"/>
        <v>2.448914623686016</v>
      </c>
      <c r="AR227">
        <v>122.2612</v>
      </c>
      <c r="AS227">
        <v>0.49810225359454396</v>
      </c>
      <c r="AT227">
        <f t="shared" si="99"/>
        <v>60.898579247173259</v>
      </c>
      <c r="AU227">
        <f t="shared" si="110"/>
        <v>0.80779014111798109</v>
      </c>
      <c r="AV227">
        <f t="shared" si="111"/>
        <v>0.75500759410103147</v>
      </c>
      <c r="AW227">
        <f t="shared" si="119"/>
        <v>0.75500759410103147</v>
      </c>
      <c r="AY227" s="4">
        <f t="shared" si="91"/>
        <v>116.28733671212652</v>
      </c>
      <c r="AZ227">
        <f t="shared" si="112"/>
        <v>5.2782547016949621E-2</v>
      </c>
    </row>
    <row r="228" spans="1:52" x14ac:dyDescent="0.35">
      <c r="A228" s="2">
        <v>43374</v>
      </c>
      <c r="B228">
        <v>107.8389</v>
      </c>
      <c r="C228">
        <v>4.5067809080039711E-2</v>
      </c>
      <c r="D228">
        <f t="shared" si="120"/>
        <v>4.8600629566014941</v>
      </c>
      <c r="E228">
        <f t="shared" si="100"/>
        <v>-4.1490788564968017</v>
      </c>
      <c r="F228">
        <f t="shared" si="92"/>
        <v>0.13162930197539957</v>
      </c>
      <c r="G228">
        <f t="shared" si="113"/>
        <v>1.1684333230557957</v>
      </c>
      <c r="I228">
        <v>109.2244</v>
      </c>
      <c r="J228">
        <v>7.5485211608124866E-2</v>
      </c>
      <c r="K228">
        <f t="shared" si="93"/>
        <v>8.2448269467704733</v>
      </c>
      <c r="L228">
        <f t="shared" si="101"/>
        <v>-4.2230648086116869</v>
      </c>
      <c r="M228">
        <f t="shared" si="94"/>
        <v>0.20561525409028469</v>
      </c>
      <c r="N228">
        <f t="shared" si="114"/>
        <v>0.81164002872573615</v>
      </c>
      <c r="P228">
        <v>101.9068</v>
      </c>
      <c r="Q228">
        <v>0.11004324091883406</v>
      </c>
      <c r="R228">
        <f t="shared" si="95"/>
        <v>11.214154543667441</v>
      </c>
      <c r="S228">
        <f t="shared" si="102"/>
        <v>-5.0578698420003736</v>
      </c>
      <c r="T228">
        <f t="shared" si="103"/>
        <v>1.0404202874789714</v>
      </c>
      <c r="U228">
        <f t="shared" si="115"/>
        <v>1.1136122652384728</v>
      </c>
      <c r="W228">
        <v>95.617750000000001</v>
      </c>
      <c r="X228">
        <v>6.3110163170331107E-2</v>
      </c>
      <c r="Y228">
        <f t="shared" si="96"/>
        <v>6.0344518044799269</v>
      </c>
      <c r="Z228">
        <f t="shared" si="104"/>
        <v>-6.9968476227807663</v>
      </c>
      <c r="AA228">
        <f t="shared" si="105"/>
        <v>2.9793980682593642</v>
      </c>
      <c r="AB228">
        <f t="shared" si="116"/>
        <v>1.4418787256266548</v>
      </c>
      <c r="AD228">
        <v>110.0826</v>
      </c>
      <c r="AE228">
        <v>0.13156464681360755</v>
      </c>
      <c r="AF228">
        <f t="shared" si="97"/>
        <v>14.482978389323634</v>
      </c>
      <c r="AG228">
        <f t="shared" si="106"/>
        <v>-2.3272156194684368</v>
      </c>
      <c r="AH228">
        <f t="shared" si="107"/>
        <v>1.6902339350529654</v>
      </c>
      <c r="AI228">
        <f t="shared" si="117"/>
        <v>1.6902339350529654</v>
      </c>
      <c r="AK228">
        <v>108.2222</v>
      </c>
      <c r="AL228">
        <v>7.662667481451875E-2</v>
      </c>
      <c r="AM228">
        <f t="shared" si="98"/>
        <v>8.2927073271118115</v>
      </c>
      <c r="AN228">
        <f t="shared" si="108"/>
        <v>-3.3696709081834086</v>
      </c>
      <c r="AO228">
        <f t="shared" si="109"/>
        <v>0.64777864633799354</v>
      </c>
      <c r="AP228">
        <f t="shared" si="118"/>
        <v>0.59499609932104391</v>
      </c>
      <c r="AR228">
        <v>117.41840000000001</v>
      </c>
      <c r="AS228">
        <v>0.49810225359454396</v>
      </c>
      <c r="AT228">
        <f t="shared" si="99"/>
        <v>58.486369653465601</v>
      </c>
      <c r="AU228">
        <f t="shared" si="110"/>
        <v>-3.9610277013476081</v>
      </c>
      <c r="AV228">
        <f t="shared" si="111"/>
        <v>5.6421853173794112E-2</v>
      </c>
      <c r="AW228">
        <f t="shared" si="119"/>
        <v>5.6421853173794112E-2</v>
      </c>
      <c r="AY228" s="4">
        <f t="shared" si="91"/>
        <v>111.61555162142039</v>
      </c>
      <c r="AZ228">
        <f t="shared" si="112"/>
        <v>-4.0174495545214022</v>
      </c>
    </row>
    <row r="229" spans="1:52" x14ac:dyDescent="0.35">
      <c r="A229" s="2">
        <v>43405</v>
      </c>
      <c r="B229">
        <v>105.6134</v>
      </c>
      <c r="C229">
        <v>4.5067809080039711E-2</v>
      </c>
      <c r="D229">
        <f t="shared" si="120"/>
        <v>4.7597645474938659</v>
      </c>
      <c r="E229">
        <f t="shared" si="100"/>
        <v>-2.0637265402373317</v>
      </c>
      <c r="F229">
        <f t="shared" si="92"/>
        <v>4.4122760848186449E-2</v>
      </c>
      <c r="G229">
        <f t="shared" si="113"/>
        <v>8.7506541127213122E-2</v>
      </c>
      <c r="I229">
        <v>106.1412</v>
      </c>
      <c r="J229">
        <v>7.5485211608124866E-2</v>
      </c>
      <c r="K229">
        <f t="shared" si="93"/>
        <v>8.0120909423403024</v>
      </c>
      <c r="L229">
        <f t="shared" si="101"/>
        <v>-2.8228124851223724</v>
      </c>
      <c r="M229">
        <f t="shared" si="94"/>
        <v>0.71496318403685422</v>
      </c>
      <c r="N229">
        <f t="shared" si="114"/>
        <v>0.50934792994656952</v>
      </c>
      <c r="P229">
        <v>99.331190000000007</v>
      </c>
      <c r="Q229">
        <v>0.11004324091883406</v>
      </c>
      <c r="R229">
        <f t="shared" si="95"/>
        <v>10.930726071924482</v>
      </c>
      <c r="S229">
        <f t="shared" si="102"/>
        <v>-2.5274172086651725</v>
      </c>
      <c r="T229">
        <f t="shared" si="103"/>
        <v>0.41956790757965434</v>
      </c>
      <c r="U229">
        <f t="shared" si="115"/>
        <v>0.62085237989931708</v>
      </c>
      <c r="W229">
        <v>93.085589999999996</v>
      </c>
      <c r="X229">
        <v>6.3110163170331107E-2</v>
      </c>
      <c r="Y229">
        <f t="shared" si="96"/>
        <v>5.8746467737065418</v>
      </c>
      <c r="Z229">
        <f t="shared" si="104"/>
        <v>-2.6482112369303867</v>
      </c>
      <c r="AA229">
        <f t="shared" si="105"/>
        <v>0.54036193584486858</v>
      </c>
      <c r="AB229">
        <f t="shared" si="116"/>
        <v>1.1498719992080968</v>
      </c>
      <c r="AD229">
        <v>106.102</v>
      </c>
      <c r="AE229">
        <v>0.13156464681360755</v>
      </c>
      <c r="AF229">
        <f t="shared" si="97"/>
        <v>13.95927215621739</v>
      </c>
      <c r="AG229">
        <f t="shared" si="106"/>
        <v>-3.6160119764613086</v>
      </c>
      <c r="AH229">
        <f t="shared" si="107"/>
        <v>1.5081626753757904</v>
      </c>
      <c r="AI229">
        <f t="shared" si="117"/>
        <v>1.5081626753757904</v>
      </c>
      <c r="AK229">
        <v>106.7632</v>
      </c>
      <c r="AL229">
        <v>7.662667481451875E-2</v>
      </c>
      <c r="AM229">
        <f t="shared" si="98"/>
        <v>8.1809090085574283</v>
      </c>
      <c r="AN229">
        <f t="shared" si="108"/>
        <v>-1.3481522275466618</v>
      </c>
      <c r="AO229">
        <f t="shared" si="109"/>
        <v>0.7596970735388564</v>
      </c>
      <c r="AP229">
        <f t="shared" si="118"/>
        <v>4.7771466280602581</v>
      </c>
      <c r="AR229">
        <v>115.5294</v>
      </c>
      <c r="AS229">
        <v>0.49810225359454396</v>
      </c>
      <c r="AT229">
        <f t="shared" si="99"/>
        <v>57.545454496425506</v>
      </c>
      <c r="AU229">
        <f t="shared" si="110"/>
        <v>-1.6087768186246909</v>
      </c>
      <c r="AV229">
        <f t="shared" si="111"/>
        <v>0.49907248246082725</v>
      </c>
      <c r="AW229">
        <f t="shared" si="119"/>
        <v>0.49907248246082725</v>
      </c>
      <c r="AY229" s="4">
        <f t="shared" si="91"/>
        <v>109.26286399666554</v>
      </c>
      <c r="AZ229">
        <f t="shared" si="112"/>
        <v>-2.1078493010855182</v>
      </c>
    </row>
    <row r="230" spans="1:52" x14ac:dyDescent="0.35">
      <c r="A230" s="2">
        <v>43435</v>
      </c>
      <c r="B230">
        <v>100.9393</v>
      </c>
      <c r="C230">
        <v>4.5067809080039711E-2</v>
      </c>
      <c r="D230">
        <f t="shared" si="120"/>
        <v>4.5491131010728525</v>
      </c>
      <c r="E230">
        <f t="shared" si="100"/>
        <v>-4.4256694699725596</v>
      </c>
      <c r="F230">
        <f t="shared" si="92"/>
        <v>0.9132703801052795</v>
      </c>
      <c r="G230">
        <f t="shared" si="113"/>
        <v>0.86914761925709305</v>
      </c>
      <c r="I230">
        <v>100.1675</v>
      </c>
      <c r="J230">
        <v>7.5485211608124866E-2</v>
      </c>
      <c r="K230">
        <f t="shared" si="93"/>
        <v>7.5611649337568476</v>
      </c>
      <c r="L230">
        <f t="shared" si="101"/>
        <v>-5.6280690250345655</v>
      </c>
      <c r="M230">
        <f t="shared" si="94"/>
        <v>0.28912917495672641</v>
      </c>
      <c r="N230">
        <f t="shared" si="114"/>
        <v>0.42583400908012781</v>
      </c>
      <c r="P230">
        <v>93.788589999999999</v>
      </c>
      <c r="Q230">
        <v>0.11004324091883406</v>
      </c>
      <c r="R230">
        <f t="shared" si="95"/>
        <v>10.320800404807752</v>
      </c>
      <c r="S230">
        <f t="shared" si="102"/>
        <v>-5.5799190566427352</v>
      </c>
      <c r="T230">
        <f t="shared" si="103"/>
        <v>0.24097920656489613</v>
      </c>
      <c r="U230">
        <f t="shared" si="115"/>
        <v>0.17858870101475821</v>
      </c>
      <c r="W230">
        <v>90.771389999999997</v>
      </c>
      <c r="X230">
        <v>6.3110163170331107E-2</v>
      </c>
      <c r="Y230">
        <f t="shared" si="96"/>
        <v>5.7285972340977613</v>
      </c>
      <c r="Z230">
        <f t="shared" si="104"/>
        <v>-2.4860990836497843</v>
      </c>
      <c r="AA230">
        <f t="shared" si="105"/>
        <v>2.8528407664280548</v>
      </c>
      <c r="AB230">
        <f t="shared" si="116"/>
        <v>1.3446780910522644</v>
      </c>
      <c r="AD230">
        <v>100.47969999999999</v>
      </c>
      <c r="AE230">
        <v>0.13156464681360755</v>
      </c>
      <c r="AF230">
        <f t="shared" si="97"/>
        <v>13.219576242437242</v>
      </c>
      <c r="AG230">
        <f t="shared" si="106"/>
        <v>-5.2989576068311672</v>
      </c>
      <c r="AH230">
        <f t="shared" si="107"/>
        <v>3.9982243246671878E-2</v>
      </c>
      <c r="AI230">
        <f t="shared" si="117"/>
        <v>3.9982243246671878E-2</v>
      </c>
      <c r="AK230">
        <v>102.8222</v>
      </c>
      <c r="AL230">
        <v>7.662667481451875E-2</v>
      </c>
      <c r="AM230">
        <f t="shared" si="98"/>
        <v>7.8789232831134095</v>
      </c>
      <c r="AN230">
        <f t="shared" si="108"/>
        <v>-3.6913468311178366</v>
      </c>
      <c r="AO230">
        <f t="shared" si="109"/>
        <v>1.6475930189600025</v>
      </c>
      <c r="AP230">
        <f t="shared" si="118"/>
        <v>3.7554423200455207</v>
      </c>
      <c r="AR230">
        <v>108.7552</v>
      </c>
      <c r="AS230">
        <v>0.49810225359454396</v>
      </c>
      <c r="AT230">
        <f t="shared" si="99"/>
        <v>54.171210210125352</v>
      </c>
      <c r="AU230">
        <f t="shared" si="110"/>
        <v>-5.8636156683926295</v>
      </c>
      <c r="AV230">
        <f t="shared" si="111"/>
        <v>0.52467581831479038</v>
      </c>
      <c r="AW230">
        <f t="shared" si="119"/>
        <v>0.52467581831479038</v>
      </c>
      <c r="AY230" s="4">
        <f t="shared" si="91"/>
        <v>103.42938540941121</v>
      </c>
      <c r="AZ230">
        <f t="shared" si="112"/>
        <v>-5.3389398500778391</v>
      </c>
    </row>
    <row r="231" spans="1:52" x14ac:dyDescent="0.35">
      <c r="A231" s="2">
        <v>43466</v>
      </c>
      <c r="B231">
        <v>104.6165</v>
      </c>
      <c r="C231">
        <v>4.5209200416971553E-2</v>
      </c>
      <c r="D231">
        <f t="shared" si="120"/>
        <v>4.7296283154221044</v>
      </c>
      <c r="E231">
        <f t="shared" si="100"/>
        <v>3.6429814750052802</v>
      </c>
      <c r="F231">
        <f t="shared" si="92"/>
        <v>1.9319013790996653</v>
      </c>
      <c r="G231">
        <f t="shared" si="113"/>
        <v>1.0186309989943858</v>
      </c>
      <c r="I231">
        <v>101.21980000000001</v>
      </c>
      <c r="J231">
        <v>7.5673392054605562E-2</v>
      </c>
      <c r="K231">
        <f t="shared" si="93"/>
        <v>7.6596456090887646</v>
      </c>
      <c r="L231">
        <f t="shared" si="101"/>
        <v>1.0505403449222683</v>
      </c>
      <c r="M231">
        <f t="shared" si="94"/>
        <v>0.66053975098334661</v>
      </c>
      <c r="N231">
        <f t="shared" si="114"/>
        <v>0.3714105760266202</v>
      </c>
      <c r="P231">
        <v>95.579570000000004</v>
      </c>
      <c r="Q231">
        <v>0.10948620688509378</v>
      </c>
      <c r="R231">
        <f t="shared" si="95"/>
        <v>10.464644575008304</v>
      </c>
      <c r="S231">
        <f t="shared" si="102"/>
        <v>1.9095926274187658</v>
      </c>
      <c r="T231">
        <f t="shared" si="103"/>
        <v>0.19851253151315085</v>
      </c>
      <c r="U231">
        <f t="shared" si="115"/>
        <v>4.2466675051745284E-2</v>
      </c>
      <c r="W231">
        <v>93.831789999999998</v>
      </c>
      <c r="X231">
        <v>6.2422766772502927E-2</v>
      </c>
      <c r="Y231">
        <f t="shared" si="96"/>
        <v>5.8572399430164719</v>
      </c>
      <c r="Z231">
        <f t="shared" si="104"/>
        <v>3.3715469158288824</v>
      </c>
      <c r="AA231">
        <f t="shared" si="105"/>
        <v>1.6604668199232675</v>
      </c>
      <c r="AB231">
        <f t="shared" si="116"/>
        <v>1.6204845766765956</v>
      </c>
      <c r="AD231">
        <v>98.93965</v>
      </c>
      <c r="AE231">
        <v>0.12898504070033739</v>
      </c>
      <c r="AF231">
        <f t="shared" si="97"/>
        <v>12.761734782127137</v>
      </c>
      <c r="AG231">
        <f t="shared" si="106"/>
        <v>-1.5326976493759359</v>
      </c>
      <c r="AH231">
        <f t="shared" si="107"/>
        <v>3.2437777452815508</v>
      </c>
      <c r="AI231">
        <f t="shared" si="117"/>
        <v>3.2437777452815508</v>
      </c>
      <c r="AK231">
        <v>103.9577</v>
      </c>
      <c r="AL231">
        <v>7.6665819249888426E-2</v>
      </c>
      <c r="AM231">
        <f t="shared" si="98"/>
        <v>7.9700022378341258</v>
      </c>
      <c r="AN231">
        <f t="shared" si="108"/>
        <v>1.1043334999640164</v>
      </c>
      <c r="AO231">
        <f t="shared" si="109"/>
        <v>0.60674659594159852</v>
      </c>
      <c r="AP231">
        <f t="shared" si="118"/>
        <v>5.9456864460194376</v>
      </c>
      <c r="AR231">
        <v>111.1662</v>
      </c>
      <c r="AS231">
        <v>0.50155757392060041</v>
      </c>
      <c r="AT231">
        <f t="shared" si="99"/>
        <v>55.756249573972248</v>
      </c>
      <c r="AU231">
        <f t="shared" si="110"/>
        <v>2.2169054904960905</v>
      </c>
      <c r="AV231">
        <f t="shared" si="111"/>
        <v>0.5058253945904756</v>
      </c>
      <c r="AW231">
        <f t="shared" si="119"/>
        <v>0.5058253945904756</v>
      </c>
      <c r="AY231" s="4">
        <f t="shared" si="91"/>
        <v>105.19914503646916</v>
      </c>
      <c r="AZ231">
        <f t="shared" si="112"/>
        <v>1.7110800959056149</v>
      </c>
    </row>
    <row r="232" spans="1:52" x14ac:dyDescent="0.35">
      <c r="A232" s="2">
        <v>43497</v>
      </c>
      <c r="B232">
        <v>110.27589999999999</v>
      </c>
      <c r="C232">
        <v>4.5209200416971553E-2</v>
      </c>
      <c r="D232">
        <f t="shared" si="120"/>
        <v>4.9854852642619125</v>
      </c>
      <c r="E232">
        <f t="shared" si="100"/>
        <v>5.4096629116821893</v>
      </c>
      <c r="F232">
        <f t="shared" si="92"/>
        <v>0.59684251079432649</v>
      </c>
      <c r="G232">
        <f t="shared" si="113"/>
        <v>1.3350588683053388</v>
      </c>
      <c r="I232">
        <v>107.0714</v>
      </c>
      <c r="J232">
        <v>7.5673392054605562E-2</v>
      </c>
      <c r="K232">
        <f t="shared" si="93"/>
        <v>8.1024560300354942</v>
      </c>
      <c r="L232">
        <f t="shared" si="101"/>
        <v>5.7810823574043768</v>
      </c>
      <c r="M232">
        <f t="shared" si="94"/>
        <v>0.96826195651651403</v>
      </c>
      <c r="N232">
        <f t="shared" si="114"/>
        <v>0.30772220553316743</v>
      </c>
      <c r="P232">
        <v>98.128200000000007</v>
      </c>
      <c r="Q232">
        <v>0.10948620688509378</v>
      </c>
      <c r="R232">
        <f t="shared" si="95"/>
        <v>10.74368440646186</v>
      </c>
      <c r="S232">
        <f t="shared" si="102"/>
        <v>2.6665008013741831</v>
      </c>
      <c r="T232">
        <f t="shared" si="103"/>
        <v>2.1463195995136797</v>
      </c>
      <c r="U232">
        <f t="shared" si="115"/>
        <v>1.9478070680005288</v>
      </c>
      <c r="W232">
        <v>97.840900000000005</v>
      </c>
      <c r="X232">
        <v>6.2422766772502927E-2</v>
      </c>
      <c r="Y232">
        <f t="shared" si="96"/>
        <v>6.1074996815117819</v>
      </c>
      <c r="Z232">
        <f t="shared" si="104"/>
        <v>4.272656420601173</v>
      </c>
      <c r="AA232">
        <f t="shared" si="105"/>
        <v>0.54016398028668977</v>
      </c>
      <c r="AB232">
        <f t="shared" si="116"/>
        <v>2.7036137649948611</v>
      </c>
      <c r="AD232">
        <v>102.4915</v>
      </c>
      <c r="AE232">
        <v>0.12898504070033739</v>
      </c>
      <c r="AF232">
        <f t="shared" si="97"/>
        <v>13.219870298938631</v>
      </c>
      <c r="AG232">
        <f t="shared" si="106"/>
        <v>3.5899156708155022</v>
      </c>
      <c r="AH232">
        <f t="shared" si="107"/>
        <v>1.2229047300723606</v>
      </c>
      <c r="AI232">
        <f t="shared" si="117"/>
        <v>1.2229047300723606</v>
      </c>
      <c r="AK232">
        <v>108.3783</v>
      </c>
      <c r="AL232">
        <v>7.6665819249888426E-2</v>
      </c>
      <c r="AM232">
        <f t="shared" si="98"/>
        <v>8.3089111584101829</v>
      </c>
      <c r="AN232">
        <f t="shared" si="108"/>
        <v>4.252306466957223</v>
      </c>
      <c r="AO232">
        <f t="shared" si="109"/>
        <v>0.56051393393063975</v>
      </c>
      <c r="AP232">
        <f t="shared" si="118"/>
        <v>1.1505661619749752</v>
      </c>
      <c r="AR232">
        <v>117.2234</v>
      </c>
      <c r="AS232">
        <v>0.50155757392060041</v>
      </c>
      <c r="AT232">
        <f t="shared" si="99"/>
        <v>58.794284110724107</v>
      </c>
      <c r="AU232">
        <f t="shared" si="110"/>
        <v>5.4487784956218643</v>
      </c>
      <c r="AV232">
        <f t="shared" si="111"/>
        <v>0.63595809473400156</v>
      </c>
      <c r="AW232">
        <f t="shared" si="119"/>
        <v>0.63595809473400156</v>
      </c>
      <c r="AY232" s="4">
        <f t="shared" si="91"/>
        <v>110.26219095034396</v>
      </c>
      <c r="AZ232">
        <f t="shared" si="112"/>
        <v>4.8128204008878628</v>
      </c>
    </row>
    <row r="233" spans="1:52" x14ac:dyDescent="0.35">
      <c r="A233" s="2">
        <v>43525</v>
      </c>
      <c r="B233">
        <v>112.41679999999999</v>
      </c>
      <c r="C233">
        <v>4.5209200416971553E-2</v>
      </c>
      <c r="D233">
        <f t="shared" si="120"/>
        <v>5.0822736414346075</v>
      </c>
      <c r="E233">
        <f t="shared" si="100"/>
        <v>1.94140333472681</v>
      </c>
      <c r="F233">
        <f t="shared" si="92"/>
        <v>0.49144649492014469</v>
      </c>
      <c r="G233">
        <f t="shared" si="113"/>
        <v>0.10539601587418179</v>
      </c>
      <c r="I233">
        <v>110.9524</v>
      </c>
      <c r="J233">
        <v>7.5673392054605562E-2</v>
      </c>
      <c r="K233">
        <f t="shared" si="93"/>
        <v>8.3961444645994181</v>
      </c>
      <c r="L233">
        <f t="shared" si="101"/>
        <v>3.6246840893086274</v>
      </c>
      <c r="M233">
        <f t="shared" si="94"/>
        <v>2.1747272495019621</v>
      </c>
      <c r="N233">
        <f t="shared" si="114"/>
        <v>1.206465292985448</v>
      </c>
      <c r="P233">
        <v>100.2103</v>
      </c>
      <c r="Q233">
        <v>0.10948620688509378</v>
      </c>
      <c r="R233">
        <f t="shared" si="95"/>
        <v>10.971645637817314</v>
      </c>
      <c r="S233">
        <f t="shared" si="102"/>
        <v>2.121816154785261</v>
      </c>
      <c r="T233">
        <f t="shared" si="103"/>
        <v>0.67185931497859563</v>
      </c>
      <c r="U233">
        <f t="shared" si="115"/>
        <v>1.474460284535084</v>
      </c>
      <c r="W233">
        <v>102.1769</v>
      </c>
      <c r="X233">
        <v>6.2422766772502927E-2</v>
      </c>
      <c r="Y233">
        <f t="shared" si="96"/>
        <v>6.3781647982373544</v>
      </c>
      <c r="Z233">
        <f t="shared" si="104"/>
        <v>4.4316845000403671</v>
      </c>
      <c r="AA233">
        <f t="shared" si="105"/>
        <v>2.9817276602337017</v>
      </c>
      <c r="AB233">
        <f t="shared" si="116"/>
        <v>1.7588229301613412</v>
      </c>
      <c r="AD233">
        <v>103.35720000000001</v>
      </c>
      <c r="AE233">
        <v>0.12898504070033739</v>
      </c>
      <c r="AF233">
        <f t="shared" si="97"/>
        <v>13.331532648672914</v>
      </c>
      <c r="AG233">
        <f t="shared" si="106"/>
        <v>0.84465541044866921</v>
      </c>
      <c r="AH233">
        <f t="shared" si="107"/>
        <v>0.60530142935799613</v>
      </c>
      <c r="AI233">
        <f t="shared" si="117"/>
        <v>0.60530142935799613</v>
      </c>
      <c r="AK233">
        <v>109.2462</v>
      </c>
      <c r="AL233">
        <v>7.6665819249888426E-2</v>
      </c>
      <c r="AM233">
        <f t="shared" si="98"/>
        <v>8.3754494229371605</v>
      </c>
      <c r="AN233">
        <f t="shared" si="108"/>
        <v>0.80080606542085597</v>
      </c>
      <c r="AO233">
        <f t="shared" si="109"/>
        <v>0.64915077438580937</v>
      </c>
      <c r="AP233">
        <f t="shared" si="118"/>
        <v>4.1636696265020534</v>
      </c>
      <c r="AR233">
        <v>118.283</v>
      </c>
      <c r="AS233">
        <v>0.50155757392060041</v>
      </c>
      <c r="AT233">
        <f t="shared" si="99"/>
        <v>59.325734516050382</v>
      </c>
      <c r="AU233">
        <f t="shared" si="110"/>
        <v>0.90391508862566194</v>
      </c>
      <c r="AV233">
        <f t="shared" si="111"/>
        <v>0.5460417511810034</v>
      </c>
      <c r="AW233">
        <f t="shared" si="119"/>
        <v>0.5460417511810034</v>
      </c>
      <c r="AY233" s="4">
        <f t="shared" si="91"/>
        <v>111.86094512974915</v>
      </c>
      <c r="AZ233">
        <f t="shared" si="112"/>
        <v>1.4499568398066653</v>
      </c>
    </row>
    <row r="234" spans="1:52" x14ac:dyDescent="0.35">
      <c r="A234" s="2">
        <v>43556</v>
      </c>
      <c r="B234">
        <v>114.9087</v>
      </c>
      <c r="C234">
        <v>4.5209200416971553E-2</v>
      </c>
      <c r="D234">
        <f t="shared" si="120"/>
        <v>5.1949304479536584</v>
      </c>
      <c r="E234">
        <f t="shared" si="100"/>
        <v>2.2166615665985878</v>
      </c>
      <c r="F234">
        <f t="shared" si="92"/>
        <v>0.35985412943713158</v>
      </c>
      <c r="G234">
        <f t="shared" si="113"/>
        <v>0.13159236548301312</v>
      </c>
      <c r="I234">
        <v>115.10509999999999</v>
      </c>
      <c r="J234">
        <v>7.5673392054605562E-2</v>
      </c>
      <c r="K234">
        <f t="shared" si="93"/>
        <v>8.7103933597845788</v>
      </c>
      <c r="L234">
        <f t="shared" si="101"/>
        <v>3.7427761814976535</v>
      </c>
      <c r="M234">
        <f t="shared" si="94"/>
        <v>1.1662604854619341</v>
      </c>
      <c r="N234">
        <f t="shared" si="114"/>
        <v>1.008466764040028</v>
      </c>
      <c r="P234">
        <v>104.3918</v>
      </c>
      <c r="Q234">
        <v>0.10948620688509378</v>
      </c>
      <c r="R234">
        <f t="shared" si="95"/>
        <v>11.429462211907333</v>
      </c>
      <c r="S234">
        <f t="shared" si="102"/>
        <v>4.1727247598300821</v>
      </c>
      <c r="T234">
        <f t="shared" si="103"/>
        <v>1.5962090637943627</v>
      </c>
      <c r="U234">
        <f t="shared" si="115"/>
        <v>0.92434974881576704</v>
      </c>
      <c r="W234">
        <v>105.7595</v>
      </c>
      <c r="X234">
        <v>6.2422766772502927E-2</v>
      </c>
      <c r="Y234">
        <f t="shared" si="96"/>
        <v>6.6018006024765237</v>
      </c>
      <c r="Z234">
        <f t="shared" si="104"/>
        <v>3.5062719655812646</v>
      </c>
      <c r="AA234">
        <f t="shared" si="105"/>
        <v>0.92975626954554524</v>
      </c>
      <c r="AB234">
        <f t="shared" si="116"/>
        <v>0.32445484018754911</v>
      </c>
      <c r="AD234">
        <v>104.3061</v>
      </c>
      <c r="AE234">
        <v>0.12898504070033739</v>
      </c>
      <c r="AF234">
        <f t="shared" si="97"/>
        <v>13.453926553793462</v>
      </c>
      <c r="AG234">
        <f t="shared" si="106"/>
        <v>0.91807827611427584</v>
      </c>
      <c r="AH234">
        <f t="shared" si="107"/>
        <v>1.6584374199214436</v>
      </c>
      <c r="AI234">
        <f t="shared" si="117"/>
        <v>1.6584374199214436</v>
      </c>
      <c r="AK234">
        <v>112.7637</v>
      </c>
      <c r="AL234">
        <v>7.6665819249888426E-2</v>
      </c>
      <c r="AM234">
        <f t="shared" si="98"/>
        <v>8.6451214421486426</v>
      </c>
      <c r="AN234">
        <f t="shared" si="108"/>
        <v>3.2197916266194948</v>
      </c>
      <c r="AO234">
        <f t="shared" si="109"/>
        <v>0.64327593058377541</v>
      </c>
      <c r="AP234">
        <f t="shared" si="118"/>
        <v>0.80668090922288993</v>
      </c>
      <c r="AR234">
        <v>121.0378</v>
      </c>
      <c r="AS234">
        <v>0.50155757392060041</v>
      </c>
      <c r="AT234">
        <f t="shared" si="99"/>
        <v>60.707425320686852</v>
      </c>
      <c r="AU234">
        <f t="shared" si="110"/>
        <v>2.3289906410896011</v>
      </c>
      <c r="AV234">
        <f t="shared" si="111"/>
        <v>0.24752505494611832</v>
      </c>
      <c r="AW234">
        <f t="shared" si="119"/>
        <v>0.24752505494611832</v>
      </c>
      <c r="AY234" s="4">
        <f t="shared" si="91"/>
        <v>114.74305993875105</v>
      </c>
      <c r="AZ234">
        <f t="shared" si="112"/>
        <v>2.5765156960357194</v>
      </c>
    </row>
    <row r="235" spans="1:52" x14ac:dyDescent="0.35">
      <c r="A235" s="2">
        <v>43586</v>
      </c>
      <c r="B235">
        <v>113.81780000000001</v>
      </c>
      <c r="C235">
        <v>4.5209200416971553E-2</v>
      </c>
      <c r="D235">
        <f t="shared" si="120"/>
        <v>5.1456117312187848</v>
      </c>
      <c r="E235">
        <f t="shared" si="100"/>
        <v>-0.94936240684995177</v>
      </c>
      <c r="F235">
        <f t="shared" si="92"/>
        <v>1.3476249440069199</v>
      </c>
      <c r="G235">
        <f t="shared" si="113"/>
        <v>0.98777081456978832</v>
      </c>
      <c r="I235">
        <v>111.9079</v>
      </c>
      <c r="J235">
        <v>7.5673392054605562E-2</v>
      </c>
      <c r="K235">
        <f t="shared" si="93"/>
        <v>8.4684503907075932</v>
      </c>
      <c r="L235">
        <f t="shared" si="101"/>
        <v>-2.7776353958252065</v>
      </c>
      <c r="M235">
        <f t="shared" si="94"/>
        <v>0.4806480449683348</v>
      </c>
      <c r="N235">
        <f t="shared" si="114"/>
        <v>0.68561244049359926</v>
      </c>
      <c r="P235">
        <v>102.5912</v>
      </c>
      <c r="Q235">
        <v>0.10948620688509378</v>
      </c>
      <c r="R235">
        <f t="shared" si="95"/>
        <v>11.232321347790032</v>
      </c>
      <c r="S235">
        <f t="shared" si="102"/>
        <v>-1.7248481202546628</v>
      </c>
      <c r="T235">
        <f t="shared" si="103"/>
        <v>0.57213923060220884</v>
      </c>
      <c r="U235">
        <f t="shared" si="115"/>
        <v>1.0240698331921538</v>
      </c>
      <c r="W235">
        <v>101.3312</v>
      </c>
      <c r="X235">
        <v>6.2422766772502927E-2</v>
      </c>
      <c r="Y235">
        <f t="shared" si="96"/>
        <v>6.3253738643778483</v>
      </c>
      <c r="Z235">
        <f t="shared" si="104"/>
        <v>-4.1871415806617911</v>
      </c>
      <c r="AA235">
        <f t="shared" si="105"/>
        <v>1.8901542298049194</v>
      </c>
      <c r="AB235">
        <f t="shared" si="116"/>
        <v>0.23171680988347587</v>
      </c>
      <c r="AD235">
        <v>100.5274</v>
      </c>
      <c r="AE235">
        <v>0.12898504070033739</v>
      </c>
      <c r="AF235">
        <f t="shared" si="97"/>
        <v>12.966530780499097</v>
      </c>
      <c r="AG235">
        <f t="shared" si="106"/>
        <v>-3.6227027949467971</v>
      </c>
      <c r="AH235">
        <f t="shared" si="107"/>
        <v>1.3257154440899255</v>
      </c>
      <c r="AI235">
        <f t="shared" si="117"/>
        <v>1.3257154440899255</v>
      </c>
      <c r="AK235">
        <v>110.38939999999999</v>
      </c>
      <c r="AL235">
        <v>7.6665819249888426E-2</v>
      </c>
      <c r="AM235">
        <f t="shared" si="98"/>
        <v>8.4630937875036327</v>
      </c>
      <c r="AN235">
        <f t="shared" si="108"/>
        <v>-2.10555347155158</v>
      </c>
      <c r="AO235">
        <f t="shared" si="109"/>
        <v>0.19143387930529165</v>
      </c>
      <c r="AP235">
        <f t="shared" si="118"/>
        <v>2.3850818167304277</v>
      </c>
      <c r="AR235">
        <v>118.6425</v>
      </c>
      <c r="AS235">
        <v>0.50155757392060041</v>
      </c>
      <c r="AT235">
        <f t="shared" si="99"/>
        <v>59.506044463874836</v>
      </c>
      <c r="AU235">
        <f t="shared" si="110"/>
        <v>-1.9789685536254042</v>
      </c>
      <c r="AV235">
        <f t="shared" si="111"/>
        <v>0.31801879723146742</v>
      </c>
      <c r="AW235">
        <f t="shared" si="119"/>
        <v>0.31801879723146742</v>
      </c>
      <c r="AY235" s="4">
        <f t="shared" si="91"/>
        <v>112.10742636597182</v>
      </c>
      <c r="AZ235">
        <f t="shared" si="112"/>
        <v>-2.2969873508568717</v>
      </c>
    </row>
    <row r="236" spans="1:52" x14ac:dyDescent="0.35">
      <c r="A236" s="2">
        <v>43617</v>
      </c>
      <c r="B236">
        <v>113.8331</v>
      </c>
      <c r="C236">
        <v>4.5209200416971553E-2</v>
      </c>
      <c r="D236">
        <f t="shared" si="120"/>
        <v>5.1463034319851646</v>
      </c>
      <c r="E236">
        <f t="shared" si="100"/>
        <v>1.3442537107555275E-2</v>
      </c>
      <c r="F236">
        <f t="shared" si="92"/>
        <v>0.52777007213486993</v>
      </c>
      <c r="G236">
        <f t="shared" si="113"/>
        <v>0.81985487187204997</v>
      </c>
      <c r="I236">
        <v>112.6742</v>
      </c>
      <c r="J236">
        <v>7.5673392054605562E-2</v>
      </c>
      <c r="K236">
        <f t="shared" si="93"/>
        <v>8.5264389110390386</v>
      </c>
      <c r="L236">
        <f t="shared" si="101"/>
        <v>0.68475952099895654</v>
      </c>
      <c r="M236">
        <f t="shared" si="94"/>
        <v>0.14354691175653134</v>
      </c>
      <c r="N236">
        <f t="shared" si="114"/>
        <v>0.33710113321180346</v>
      </c>
      <c r="P236">
        <v>101.21469999999999</v>
      </c>
      <c r="Q236">
        <v>0.10948620688509378</v>
      </c>
      <c r="R236">
        <f t="shared" si="95"/>
        <v>11.0816135840127</v>
      </c>
      <c r="S236">
        <f t="shared" si="102"/>
        <v>-1.3417330141376693</v>
      </c>
      <c r="T236">
        <f t="shared" si="103"/>
        <v>1.8829456233800945</v>
      </c>
      <c r="U236">
        <f t="shared" si="115"/>
        <v>1.3108063927778857</v>
      </c>
      <c r="W236">
        <v>101.33</v>
      </c>
      <c r="X236">
        <v>6.2422766772502927E-2</v>
      </c>
      <c r="Y236">
        <f t="shared" si="96"/>
        <v>6.3252989570577212</v>
      </c>
      <c r="Z236">
        <f t="shared" si="104"/>
        <v>-1.1842354575852809E-3</v>
      </c>
      <c r="AA236">
        <f t="shared" si="105"/>
        <v>0.54239684470001048</v>
      </c>
      <c r="AB236">
        <f t="shared" si="116"/>
        <v>0.78331859938991499</v>
      </c>
      <c r="AD236">
        <v>99.276790000000005</v>
      </c>
      <c r="AE236">
        <v>0.12898504070033739</v>
      </c>
      <c r="AF236">
        <f t="shared" si="97"/>
        <v>12.805220798748849</v>
      </c>
      <c r="AG236">
        <f t="shared" si="106"/>
        <v>-1.2440488861743093</v>
      </c>
      <c r="AH236">
        <f t="shared" si="107"/>
        <v>1.7852614954167345</v>
      </c>
      <c r="AI236">
        <f t="shared" si="117"/>
        <v>1.7852614954167345</v>
      </c>
      <c r="AK236">
        <v>111.5929</v>
      </c>
      <c r="AL236">
        <v>7.6665819249888426E-2</v>
      </c>
      <c r="AM236">
        <f t="shared" si="98"/>
        <v>8.5553611009708739</v>
      </c>
      <c r="AN236">
        <f t="shared" si="108"/>
        <v>1.0902314896176657</v>
      </c>
      <c r="AO236">
        <f t="shared" si="109"/>
        <v>0.54901888037524049</v>
      </c>
      <c r="AP236">
        <f t="shared" si="118"/>
        <v>2.8460062312321122</v>
      </c>
      <c r="AR236">
        <v>120.1735</v>
      </c>
      <c r="AS236">
        <v>0.50155757392060041</v>
      </c>
      <c r="AT236">
        <f t="shared" si="99"/>
        <v>60.273929109547275</v>
      </c>
      <c r="AU236">
        <f t="shared" si="110"/>
        <v>1.290431337842679</v>
      </c>
      <c r="AV236">
        <f t="shared" si="111"/>
        <v>0.74921872860025385</v>
      </c>
      <c r="AW236">
        <f t="shared" si="119"/>
        <v>0.74921872860025385</v>
      </c>
      <c r="AY236" s="4">
        <f t="shared" si="91"/>
        <v>112.71416589336162</v>
      </c>
      <c r="AZ236">
        <f t="shared" si="112"/>
        <v>0.5412126092424252</v>
      </c>
    </row>
    <row r="237" spans="1:52" x14ac:dyDescent="0.35">
      <c r="A237" s="2">
        <v>43647</v>
      </c>
      <c r="B237">
        <v>115.1347</v>
      </c>
      <c r="C237">
        <v>4.5209200416971553E-2</v>
      </c>
      <c r="D237">
        <f t="shared" si="120"/>
        <v>5.2051477272478941</v>
      </c>
      <c r="E237">
        <f t="shared" si="100"/>
        <v>1.1434284052705079</v>
      </c>
      <c r="F237">
        <f t="shared" si="92"/>
        <v>1.4784389970551537</v>
      </c>
      <c r="G237">
        <f t="shared" si="113"/>
        <v>0.95066892492028376</v>
      </c>
      <c r="I237">
        <v>115.8961</v>
      </c>
      <c r="J237">
        <v>7.5673392054605562E-2</v>
      </c>
      <c r="K237">
        <f t="shared" si="93"/>
        <v>8.7702510128997719</v>
      </c>
      <c r="L237">
        <f t="shared" si="101"/>
        <v>2.8594833599883573</v>
      </c>
      <c r="M237">
        <f t="shared" si="94"/>
        <v>0.23761595766269572</v>
      </c>
      <c r="N237">
        <f t="shared" si="114"/>
        <v>9.4069045906164384E-2</v>
      </c>
      <c r="P237">
        <v>103.1985</v>
      </c>
      <c r="Q237">
        <v>0.10948620688509378</v>
      </c>
      <c r="R237">
        <f t="shared" si="95"/>
        <v>11.298812321231351</v>
      </c>
      <c r="S237">
        <f t="shared" si="102"/>
        <v>1.9599919774499153</v>
      </c>
      <c r="T237">
        <f t="shared" si="103"/>
        <v>0.66187542487574635</v>
      </c>
      <c r="U237">
        <f t="shared" si="115"/>
        <v>1.2210701985043482</v>
      </c>
      <c r="W237">
        <v>106.2179</v>
      </c>
      <c r="X237">
        <v>6.2422766772502927E-2</v>
      </c>
      <c r="Y237">
        <f t="shared" si="96"/>
        <v>6.6304151987650384</v>
      </c>
      <c r="Z237">
        <f t="shared" si="104"/>
        <v>4.8237442021119126</v>
      </c>
      <c r="AA237">
        <f t="shared" si="105"/>
        <v>2.2018767997862509</v>
      </c>
      <c r="AB237">
        <f t="shared" si="116"/>
        <v>0.41661530436951644</v>
      </c>
      <c r="AD237">
        <v>101.41759999999999</v>
      </c>
      <c r="AE237">
        <v>0.12898504070033739</v>
      </c>
      <c r="AF237">
        <f t="shared" si="97"/>
        <v>13.081353263730536</v>
      </c>
      <c r="AG237">
        <f t="shared" si="106"/>
        <v>2.1564053390525473</v>
      </c>
      <c r="AH237">
        <f t="shared" si="107"/>
        <v>0.46546206327311435</v>
      </c>
      <c r="AI237">
        <f t="shared" si="117"/>
        <v>0.46546206327311435</v>
      </c>
      <c r="AK237">
        <v>114.47280000000001</v>
      </c>
      <c r="AL237">
        <v>7.6665819249888426E-2</v>
      </c>
      <c r="AM237">
        <f t="shared" si="98"/>
        <v>8.7761509938286277</v>
      </c>
      <c r="AN237">
        <f t="shared" si="108"/>
        <v>2.5807197411304994</v>
      </c>
      <c r="AO237">
        <f t="shared" si="109"/>
        <v>4.1147661195162222E-2</v>
      </c>
      <c r="AP237">
        <f t="shared" si="118"/>
        <v>0.50006494804726298</v>
      </c>
      <c r="AR237">
        <v>123.43</v>
      </c>
      <c r="AS237">
        <v>0.50155757392060041</v>
      </c>
      <c r="AT237">
        <f t="shared" si="99"/>
        <v>61.90725134901971</v>
      </c>
      <c r="AU237">
        <f t="shared" si="110"/>
        <v>2.709832034516757</v>
      </c>
      <c r="AV237">
        <f t="shared" si="111"/>
        <v>8.7964632191095404E-2</v>
      </c>
      <c r="AW237">
        <f t="shared" si="119"/>
        <v>8.7964632191095404E-2</v>
      </c>
      <c r="AY237" s="4">
        <f t="shared" si="91"/>
        <v>115.66938186672293</v>
      </c>
      <c r="AZ237">
        <f t="shared" si="112"/>
        <v>2.6218674023256616</v>
      </c>
    </row>
    <row r="238" spans="1:52" x14ac:dyDescent="0.35">
      <c r="A238" s="2">
        <v>43678</v>
      </c>
      <c r="B238">
        <v>113.2873</v>
      </c>
      <c r="C238">
        <v>4.5209200416971553E-2</v>
      </c>
      <c r="D238">
        <f t="shared" si="120"/>
        <v>5.1216282503975812</v>
      </c>
      <c r="E238">
        <f t="shared" si="100"/>
        <v>-1.6045553599392637</v>
      </c>
      <c r="F238">
        <f t="shared" si="92"/>
        <v>2.6347161932147252</v>
      </c>
      <c r="G238">
        <f t="shared" si="113"/>
        <v>1.1562771961595715</v>
      </c>
      <c r="I238">
        <v>111.44289999999999</v>
      </c>
      <c r="J238">
        <v>7.5673392054605562E-2</v>
      </c>
      <c r="K238">
        <f t="shared" si="93"/>
        <v>8.4332622634022023</v>
      </c>
      <c r="L238">
        <f t="shared" si="101"/>
        <v>-3.8424071215511169</v>
      </c>
      <c r="M238">
        <f t="shared" si="94"/>
        <v>0.39686443160287199</v>
      </c>
      <c r="N238">
        <f t="shared" si="114"/>
        <v>0.15924847394017627</v>
      </c>
      <c r="P238">
        <v>97.979759999999999</v>
      </c>
      <c r="Q238">
        <v>0.10948620688509378</v>
      </c>
      <c r="R238">
        <f t="shared" si="95"/>
        <v>10.727432273911836</v>
      </c>
      <c r="S238">
        <f t="shared" si="102"/>
        <v>-5.0569921074434143</v>
      </c>
      <c r="T238">
        <f t="shared" si="103"/>
        <v>0.81772055428942547</v>
      </c>
      <c r="U238">
        <f t="shared" si="115"/>
        <v>0.15584512941367912</v>
      </c>
      <c r="W238">
        <v>101.0348</v>
      </c>
      <c r="X238">
        <v>6.2422766772502927E-2</v>
      </c>
      <c r="Y238">
        <f t="shared" si="96"/>
        <v>6.3068717563064789</v>
      </c>
      <c r="Z238">
        <f t="shared" si="104"/>
        <v>-4.8796860039597822</v>
      </c>
      <c r="AA238">
        <f t="shared" si="105"/>
        <v>0.6404144508057934</v>
      </c>
      <c r="AB238">
        <f t="shared" si="116"/>
        <v>0.17495238753267905</v>
      </c>
      <c r="AD238">
        <v>96.770499999999998</v>
      </c>
      <c r="AE238">
        <v>0.12898504070033739</v>
      </c>
      <c r="AF238">
        <f t="shared" si="97"/>
        <v>12.481946881092</v>
      </c>
      <c r="AG238">
        <f t="shared" si="106"/>
        <v>-4.5821435332723315</v>
      </c>
      <c r="AH238">
        <f t="shared" si="107"/>
        <v>0.34287198011834263</v>
      </c>
      <c r="AI238">
        <f t="shared" si="117"/>
        <v>0.34287198011834263</v>
      </c>
      <c r="AK238">
        <v>109.1551</v>
      </c>
      <c r="AL238">
        <v>7.6665819249888426E-2</v>
      </c>
      <c r="AM238">
        <f t="shared" si="98"/>
        <v>8.3684651668034959</v>
      </c>
      <c r="AN238">
        <f t="shared" si="108"/>
        <v>-4.6453830080158802</v>
      </c>
      <c r="AO238">
        <f t="shared" si="109"/>
        <v>0.40611145486189137</v>
      </c>
      <c r="AP238">
        <f t="shared" si="118"/>
        <v>2.2157559474637702</v>
      </c>
      <c r="AR238">
        <v>118.28400000000001</v>
      </c>
      <c r="AS238">
        <v>0.50155757392060041</v>
      </c>
      <c r="AT238">
        <f t="shared" si="99"/>
        <v>59.326236073624301</v>
      </c>
      <c r="AU238">
        <f t="shared" si="110"/>
        <v>-4.1691647087418016</v>
      </c>
      <c r="AV238">
        <f t="shared" si="111"/>
        <v>7.0106844412187286E-2</v>
      </c>
      <c r="AW238">
        <f t="shared" si="119"/>
        <v>7.0106844412187286E-2</v>
      </c>
      <c r="AY238" s="4">
        <f t="shared" si="91"/>
        <v>110.76584266553789</v>
      </c>
      <c r="AZ238">
        <f t="shared" si="112"/>
        <v>-4.2392715531539888</v>
      </c>
    </row>
    <row r="239" spans="1:52" x14ac:dyDescent="0.35">
      <c r="A239" s="2">
        <v>43709</v>
      </c>
      <c r="B239">
        <v>116.2679</v>
      </c>
      <c r="C239">
        <v>4.5209200416971553E-2</v>
      </c>
      <c r="D239">
        <f t="shared" si="120"/>
        <v>5.2563787931604065</v>
      </c>
      <c r="E239">
        <f t="shared" si="100"/>
        <v>2.6310098307577245</v>
      </c>
      <c r="F239">
        <f t="shared" si="92"/>
        <v>0.86306387113097571</v>
      </c>
      <c r="G239">
        <f t="shared" si="113"/>
        <v>1.7716523220837495</v>
      </c>
      <c r="I239">
        <v>116.428</v>
      </c>
      <c r="J239">
        <v>7.5673392054605562E-2</v>
      </c>
      <c r="K239">
        <f t="shared" si="93"/>
        <v>8.8105016901336164</v>
      </c>
      <c r="L239">
        <f t="shared" si="101"/>
        <v>4.4732324804900081</v>
      </c>
      <c r="M239">
        <f t="shared" si="94"/>
        <v>0.97915877860130784</v>
      </c>
      <c r="N239">
        <f t="shared" si="114"/>
        <v>0.58229434699843585</v>
      </c>
      <c r="P239">
        <v>102.518</v>
      </c>
      <c r="Q239">
        <v>0.10948620688509378</v>
      </c>
      <c r="R239">
        <f t="shared" si="95"/>
        <v>11.224306957446045</v>
      </c>
      <c r="S239">
        <f t="shared" si="102"/>
        <v>4.631813754187597</v>
      </c>
      <c r="T239">
        <f t="shared" si="103"/>
        <v>1.1377400522988967</v>
      </c>
      <c r="U239">
        <f t="shared" si="115"/>
        <v>0.32001949800947127</v>
      </c>
      <c r="W239">
        <v>105.88200000000001</v>
      </c>
      <c r="X239">
        <v>6.2422766772502927E-2</v>
      </c>
      <c r="Y239">
        <f t="shared" si="96"/>
        <v>6.6094473914061549</v>
      </c>
      <c r="Z239">
        <f t="shared" si="104"/>
        <v>4.7975549018753894</v>
      </c>
      <c r="AA239">
        <f t="shared" si="105"/>
        <v>1.3034811999866891</v>
      </c>
      <c r="AB239">
        <f t="shared" si="116"/>
        <v>0.96060921986834646</v>
      </c>
      <c r="AD239">
        <v>102.0022</v>
      </c>
      <c r="AE239">
        <v>0.12898504070033739</v>
      </c>
      <c r="AF239">
        <f t="shared" si="97"/>
        <v>13.156757918523954</v>
      </c>
      <c r="AG239">
        <f t="shared" si="106"/>
        <v>5.4062963403103348</v>
      </c>
      <c r="AH239">
        <f t="shared" si="107"/>
        <v>1.9122226384216345</v>
      </c>
      <c r="AI239">
        <f t="shared" si="117"/>
        <v>1.9122226384216345</v>
      </c>
      <c r="AK239">
        <v>110.99590000000001</v>
      </c>
      <c r="AL239">
        <v>7.6665819249888426E-2</v>
      </c>
      <c r="AM239">
        <f t="shared" si="98"/>
        <v>8.5095916068786916</v>
      </c>
      <c r="AN239">
        <f t="shared" si="108"/>
        <v>1.6864076896086377</v>
      </c>
      <c r="AO239">
        <f t="shared" si="109"/>
        <v>1.8076660122800625</v>
      </c>
      <c r="AP239">
        <f t="shared" si="118"/>
        <v>6.0469375654340514</v>
      </c>
      <c r="AR239">
        <v>121.7589</v>
      </c>
      <c r="AS239">
        <v>0.50155757392060041</v>
      </c>
      <c r="AT239">
        <f t="shared" si="99"/>
        <v>61.069098487240993</v>
      </c>
      <c r="AU239">
        <f t="shared" si="110"/>
        <v>2.937759967535758</v>
      </c>
      <c r="AV239">
        <f t="shared" si="111"/>
        <v>0.55631373435294229</v>
      </c>
      <c r="AW239">
        <f t="shared" si="119"/>
        <v>0.55631373435294229</v>
      </c>
      <c r="AY239" s="4">
        <f t="shared" si="91"/>
        <v>114.63608284478985</v>
      </c>
      <c r="AZ239">
        <f t="shared" si="112"/>
        <v>3.4940737018887003</v>
      </c>
    </row>
    <row r="240" spans="1:52" x14ac:dyDescent="0.35">
      <c r="A240" s="2">
        <v>43739</v>
      </c>
      <c r="B240">
        <v>114.3991</v>
      </c>
      <c r="C240">
        <v>4.5209200416971553E-2</v>
      </c>
      <c r="D240">
        <f t="shared" si="120"/>
        <v>5.1718918394211704</v>
      </c>
      <c r="E240">
        <f t="shared" si="100"/>
        <v>-1.6073223993896768</v>
      </c>
      <c r="F240">
        <f t="shared" si="92"/>
        <v>1.7351852629951203</v>
      </c>
      <c r="G240">
        <f t="shared" si="113"/>
        <v>0.87212139186414461</v>
      </c>
      <c r="I240">
        <v>116.7199</v>
      </c>
      <c r="J240">
        <v>7.5673392054605562E-2</v>
      </c>
      <c r="K240">
        <f t="shared" si="93"/>
        <v>8.8325907532743546</v>
      </c>
      <c r="L240">
        <f t="shared" si="101"/>
        <v>0.25071288693441218</v>
      </c>
      <c r="M240">
        <f t="shared" si="94"/>
        <v>0.12285002332896866</v>
      </c>
      <c r="N240">
        <f t="shared" si="114"/>
        <v>0.85630875527233918</v>
      </c>
      <c r="P240">
        <v>104.27809999999999</v>
      </c>
      <c r="Q240">
        <v>0.10948620688509378</v>
      </c>
      <c r="R240">
        <f t="shared" si="95"/>
        <v>11.417013630184497</v>
      </c>
      <c r="S240">
        <f t="shared" si="102"/>
        <v>1.7168692327200974</v>
      </c>
      <c r="T240">
        <f t="shared" si="103"/>
        <v>1.5890063691146539</v>
      </c>
      <c r="U240">
        <f t="shared" si="115"/>
        <v>0.45126631681575713</v>
      </c>
      <c r="W240">
        <v>106.68859999999999</v>
      </c>
      <c r="X240">
        <v>6.2422766772502927E-2</v>
      </c>
      <c r="Y240">
        <f t="shared" si="96"/>
        <v>6.6597975950848554</v>
      </c>
      <c r="Z240">
        <f t="shared" si="104"/>
        <v>0.76179142819363665</v>
      </c>
      <c r="AA240">
        <f t="shared" si="105"/>
        <v>0.63392856458819313</v>
      </c>
      <c r="AB240">
        <f t="shared" si="116"/>
        <v>1.2782940738334414</v>
      </c>
      <c r="AD240">
        <v>104.2139</v>
      </c>
      <c r="AE240">
        <v>0.12898504070033739</v>
      </c>
      <c r="AF240">
        <f t="shared" si="97"/>
        <v>13.44203413304089</v>
      </c>
      <c r="AG240">
        <f t="shared" si="106"/>
        <v>2.1682865663681605</v>
      </c>
      <c r="AH240">
        <f t="shared" si="107"/>
        <v>2.040423702762717</v>
      </c>
      <c r="AI240">
        <f t="shared" si="117"/>
        <v>2.040423702762717</v>
      </c>
      <c r="AK240">
        <v>109.4995</v>
      </c>
      <c r="AL240">
        <v>7.6665819249888426E-2</v>
      </c>
      <c r="AM240">
        <f t="shared" si="98"/>
        <v>8.3948688749531577</v>
      </c>
      <c r="AN240">
        <f t="shared" si="108"/>
        <v>-1.348157904931635</v>
      </c>
      <c r="AO240">
        <f t="shared" si="109"/>
        <v>1.4760207685370785</v>
      </c>
      <c r="AP240">
        <f t="shared" si="118"/>
        <v>2.0180529333516217</v>
      </c>
      <c r="AR240">
        <v>121.3509</v>
      </c>
      <c r="AS240">
        <v>0.50155757392060041</v>
      </c>
      <c r="AT240">
        <f t="shared" si="99"/>
        <v>60.864462997081382</v>
      </c>
      <c r="AU240">
        <f t="shared" si="110"/>
        <v>-0.33508844117350334</v>
      </c>
      <c r="AV240">
        <f t="shared" si="111"/>
        <v>0.46295130477894686</v>
      </c>
      <c r="AW240">
        <f t="shared" si="119"/>
        <v>0.46295130477894686</v>
      </c>
      <c r="AY240" s="4">
        <f t="shared" si="91"/>
        <v>114.78265982304031</v>
      </c>
      <c r="AZ240">
        <f t="shared" si="112"/>
        <v>0.12786286360544352</v>
      </c>
    </row>
    <row r="241" spans="1:52" x14ac:dyDescent="0.35">
      <c r="A241" s="2">
        <v>43770</v>
      </c>
      <c r="B241">
        <v>118.04089999999999</v>
      </c>
      <c r="C241">
        <v>4.5209200416971553E-2</v>
      </c>
      <c r="D241">
        <f t="shared" si="120"/>
        <v>5.3365347054996972</v>
      </c>
      <c r="E241">
        <f t="shared" si="100"/>
        <v>3.183416652753368</v>
      </c>
      <c r="F241">
        <f t="shared" si="92"/>
        <v>0.84371799063656105</v>
      </c>
      <c r="G241">
        <f t="shared" si="113"/>
        <v>0.89146727235855927</v>
      </c>
      <c r="I241">
        <v>122.07680000000001</v>
      </c>
      <c r="J241">
        <v>7.5673392054605562E-2</v>
      </c>
      <c r="K241">
        <f t="shared" si="93"/>
        <v>9.2379655471716724</v>
      </c>
      <c r="L241">
        <f t="shared" si="101"/>
        <v>4.589534432431841</v>
      </c>
      <c r="M241">
        <f t="shared" si="94"/>
        <v>0.5623997890419119</v>
      </c>
      <c r="N241">
        <f t="shared" si="114"/>
        <v>0.43954976571294324</v>
      </c>
      <c r="P241">
        <v>109.7474</v>
      </c>
      <c r="Q241">
        <v>0.10948620688509378</v>
      </c>
      <c r="R241">
        <f t="shared" si="95"/>
        <v>12.015826541501141</v>
      </c>
      <c r="S241">
        <f t="shared" si="102"/>
        <v>5.2449171973789399</v>
      </c>
      <c r="T241">
        <f t="shared" si="103"/>
        <v>1.2177825539890108</v>
      </c>
      <c r="U241">
        <f t="shared" si="115"/>
        <v>0.37122381512564306</v>
      </c>
      <c r="W241">
        <v>112.6481</v>
      </c>
      <c r="X241">
        <v>6.2422766772502927E-2</v>
      </c>
      <c r="Y241">
        <f t="shared" si="96"/>
        <v>7.031806073665587</v>
      </c>
      <c r="Z241">
        <f t="shared" si="104"/>
        <v>5.5858826528795147</v>
      </c>
      <c r="AA241">
        <f t="shared" si="105"/>
        <v>1.5587480094895856</v>
      </c>
      <c r="AB241">
        <f t="shared" si="116"/>
        <v>0.48167569327313142</v>
      </c>
      <c r="AD241">
        <v>109.32129999999999</v>
      </c>
      <c r="AE241">
        <v>0.12898504070033739</v>
      </c>
      <c r="AF241">
        <f t="shared" si="97"/>
        <v>14.100812329913794</v>
      </c>
      <c r="AG241">
        <f t="shared" si="106"/>
        <v>4.9008817441819064</v>
      </c>
      <c r="AH241">
        <f t="shared" si="107"/>
        <v>0.87374710079197726</v>
      </c>
      <c r="AI241">
        <f t="shared" si="117"/>
        <v>0.87374710079197726</v>
      </c>
      <c r="AK241">
        <v>111.4263</v>
      </c>
      <c r="AL241">
        <v>7.6665819249888426E-2</v>
      </c>
      <c r="AM241">
        <f t="shared" si="98"/>
        <v>8.5425885754838422</v>
      </c>
      <c r="AN241">
        <f t="shared" si="108"/>
        <v>1.7596427380947022</v>
      </c>
      <c r="AO241">
        <f t="shared" si="109"/>
        <v>2.2674919052952269</v>
      </c>
      <c r="AP241">
        <f t="shared" si="118"/>
        <v>2.1396290416897834</v>
      </c>
      <c r="AR241">
        <v>125.887</v>
      </c>
      <c r="AS241">
        <v>0.50155757392060041</v>
      </c>
      <c r="AT241">
        <f t="shared" si="99"/>
        <v>63.139578308142625</v>
      </c>
      <c r="AU241">
        <f t="shared" si="110"/>
        <v>3.7380027671817917</v>
      </c>
      <c r="AV241">
        <f t="shared" si="111"/>
        <v>0.28913187620813741</v>
      </c>
      <c r="AW241">
        <f t="shared" si="119"/>
        <v>0.28913187620813741</v>
      </c>
      <c r="AY241" s="4">
        <f t="shared" si="91"/>
        <v>119.40511208137836</v>
      </c>
      <c r="AZ241">
        <f t="shared" si="112"/>
        <v>4.0271346433899291</v>
      </c>
    </row>
    <row r="242" spans="1:52" x14ac:dyDescent="0.35">
      <c r="A242" s="2">
        <v>43800</v>
      </c>
      <c r="B242">
        <v>118.7978</v>
      </c>
      <c r="C242">
        <v>4.5209200416971553E-2</v>
      </c>
      <c r="D242">
        <f t="shared" si="120"/>
        <v>5.3707535492953031</v>
      </c>
      <c r="E242">
        <f t="shared" si="100"/>
        <v>0.64121842513908955</v>
      </c>
      <c r="F242">
        <f t="shared" si="92"/>
        <v>0.90191479408465725</v>
      </c>
      <c r="G242">
        <f t="shared" si="113"/>
        <v>5.819680344809619E-2</v>
      </c>
      <c r="I242">
        <v>122.75620000000001</v>
      </c>
      <c r="J242">
        <v>7.5673392054605562E-2</v>
      </c>
      <c r="K242">
        <f t="shared" si="93"/>
        <v>9.2893780497335712</v>
      </c>
      <c r="L242">
        <f t="shared" si="101"/>
        <v>0.55653490261868832</v>
      </c>
      <c r="M242">
        <f t="shared" si="94"/>
        <v>0.98659831660505848</v>
      </c>
      <c r="N242">
        <f t="shared" si="114"/>
        <v>0.42419852756314658</v>
      </c>
      <c r="P242">
        <v>110.4704</v>
      </c>
      <c r="Q242">
        <v>0.10948620688509378</v>
      </c>
      <c r="R242">
        <f t="shared" si="95"/>
        <v>12.094985069079064</v>
      </c>
      <c r="S242">
        <f t="shared" si="102"/>
        <v>0.65878553842733112</v>
      </c>
      <c r="T242">
        <f t="shared" si="103"/>
        <v>0.88434768079641568</v>
      </c>
      <c r="U242">
        <f t="shared" si="115"/>
        <v>0.33343487319259513</v>
      </c>
      <c r="W242">
        <v>113.14919999999999</v>
      </c>
      <c r="X242">
        <v>6.2422766772502927E-2</v>
      </c>
      <c r="Y242">
        <f t="shared" si="96"/>
        <v>7.0630861220952879</v>
      </c>
      <c r="Z242">
        <f t="shared" si="104"/>
        <v>0.44483661952574582</v>
      </c>
      <c r="AA242">
        <f t="shared" si="105"/>
        <v>1.098296599698001</v>
      </c>
      <c r="AB242">
        <f t="shared" si="116"/>
        <v>0.22454949890602371</v>
      </c>
      <c r="AD242">
        <v>111.161</v>
      </c>
      <c r="AE242">
        <v>0.12898504070033739</v>
      </c>
      <c r="AF242">
        <f t="shared" si="97"/>
        <v>14.338106109290205</v>
      </c>
      <c r="AG242">
        <f t="shared" si="106"/>
        <v>1.6828376537783685</v>
      </c>
      <c r="AH242">
        <f t="shared" si="107"/>
        <v>0.13970443455462167</v>
      </c>
      <c r="AI242">
        <f t="shared" si="117"/>
        <v>0.13970443455462167</v>
      </c>
      <c r="AK242">
        <v>112.5802</v>
      </c>
      <c r="AL242">
        <v>7.6665819249888426E-2</v>
      </c>
      <c r="AM242">
        <f t="shared" si="98"/>
        <v>8.6310532643162894</v>
      </c>
      <c r="AN242">
        <f t="shared" si="108"/>
        <v>1.0355723917961912</v>
      </c>
      <c r="AO242">
        <f t="shared" si="109"/>
        <v>0.50756082742755559</v>
      </c>
      <c r="AP242">
        <f t="shared" si="118"/>
        <v>3.5195738159623735</v>
      </c>
      <c r="AR242">
        <v>128.52029999999999</v>
      </c>
      <c r="AS242">
        <v>0.50155757392060041</v>
      </c>
      <c r="AT242">
        <f t="shared" si="99"/>
        <v>64.460329867547742</v>
      </c>
      <c r="AU242">
        <f t="shared" si="110"/>
        <v>2.091796611246588</v>
      </c>
      <c r="AV242">
        <f t="shared" si="111"/>
        <v>0.5486633920228412</v>
      </c>
      <c r="AW242">
        <f t="shared" si="119"/>
        <v>0.5486633920228412</v>
      </c>
      <c r="AY242" s="4">
        <f t="shared" si="91"/>
        <v>121.24769203135746</v>
      </c>
      <c r="AZ242">
        <f t="shared" si="112"/>
        <v>1.5431332192237468</v>
      </c>
    </row>
    <row r="243" spans="1:52" x14ac:dyDescent="0.35">
      <c r="A243" s="2">
        <v>43831</v>
      </c>
      <c r="B243">
        <v>121.12439999999999</v>
      </c>
      <c r="C243">
        <v>4.4952020743065008E-2</v>
      </c>
      <c r="D243">
        <f t="shared" si="120"/>
        <v>5.444786541291303</v>
      </c>
      <c r="E243">
        <f t="shared" si="100"/>
        <v>1.958453776080038</v>
      </c>
      <c r="F243">
        <f t="shared" si="92"/>
        <v>0.3718097481627991</v>
      </c>
      <c r="G243">
        <f t="shared" si="113"/>
        <v>0.53010504592185814</v>
      </c>
      <c r="I243">
        <v>124.3891</v>
      </c>
      <c r="J243">
        <v>7.3260274618774615E-2</v>
      </c>
      <c r="K243">
        <f t="shared" si="93"/>
        <v>9.1127796255822169</v>
      </c>
      <c r="L243">
        <f t="shared" si="101"/>
        <v>1.3301975786151665</v>
      </c>
      <c r="M243">
        <f t="shared" si="94"/>
        <v>0.25644644930207239</v>
      </c>
      <c r="N243">
        <f t="shared" si="114"/>
        <v>0.73015186730298609</v>
      </c>
      <c r="P243">
        <v>112.0107</v>
      </c>
      <c r="Q243">
        <v>0.11025219037087246</v>
      </c>
      <c r="R243">
        <f t="shared" si="95"/>
        <v>12.349425019974683</v>
      </c>
      <c r="S243">
        <f t="shared" si="102"/>
        <v>1.3943101500492494</v>
      </c>
      <c r="T243">
        <f t="shared" si="103"/>
        <v>0.1923338778679895</v>
      </c>
      <c r="U243">
        <f t="shared" si="115"/>
        <v>0.69201380292842618</v>
      </c>
      <c r="W243">
        <v>114.6452</v>
      </c>
      <c r="X243">
        <v>5.9495095293120297E-2</v>
      </c>
      <c r="Y243">
        <f t="shared" si="96"/>
        <v>6.8208270988988353</v>
      </c>
      <c r="Z243">
        <f t="shared" si="104"/>
        <v>1.3221481017983372</v>
      </c>
      <c r="AA243">
        <f t="shared" si="105"/>
        <v>0.26449592611890171</v>
      </c>
      <c r="AB243">
        <f t="shared" si="116"/>
        <v>0.12479149156428004</v>
      </c>
      <c r="AD243">
        <v>110.87869999999999</v>
      </c>
      <c r="AE243">
        <v>0.12945479001253871</v>
      </c>
      <c r="AF243">
        <f t="shared" si="97"/>
        <v>14.353778825363275</v>
      </c>
      <c r="AG243">
        <f t="shared" si="106"/>
        <v>-0.25395597376778323</v>
      </c>
      <c r="AH243">
        <f t="shared" si="107"/>
        <v>1.8406000016850221</v>
      </c>
      <c r="AI243">
        <f t="shared" si="117"/>
        <v>1.8406000016850221</v>
      </c>
      <c r="AK243">
        <v>114.59529999999999</v>
      </c>
      <c r="AL243">
        <v>7.195777359135698E-2</v>
      </c>
      <c r="AM243">
        <f t="shared" si="98"/>
        <v>8.2460226520336306</v>
      </c>
      <c r="AN243">
        <f t="shared" si="108"/>
        <v>1.7899239830804881</v>
      </c>
      <c r="AO243">
        <f t="shared" si="109"/>
        <v>0.20327995516324915</v>
      </c>
      <c r="AP243">
        <f t="shared" si="118"/>
        <v>1.3398532640604977</v>
      </c>
      <c r="AR243">
        <v>130.90520000000001</v>
      </c>
      <c r="AS243">
        <v>0.51062785537027189</v>
      </c>
      <c r="AT243">
        <f t="shared" si="99"/>
        <v>66.843841532816526</v>
      </c>
      <c r="AU243">
        <f t="shared" si="110"/>
        <v>1.8556601564110986</v>
      </c>
      <c r="AV243">
        <f t="shared" si="111"/>
        <v>0.2690161284938597</v>
      </c>
      <c r="AW243">
        <f t="shared" si="119"/>
        <v>0.2690161284938597</v>
      </c>
      <c r="AY243" s="4">
        <f t="shared" si="91"/>
        <v>123.17146129596048</v>
      </c>
      <c r="AZ243">
        <f t="shared" si="112"/>
        <v>1.5866440279172389</v>
      </c>
    </row>
    <row r="244" spans="1:52" x14ac:dyDescent="0.35">
      <c r="A244" s="2">
        <v>43862</v>
      </c>
      <c r="B244">
        <v>122.44750000000001</v>
      </c>
      <c r="C244">
        <v>4.4952020743065008E-2</v>
      </c>
      <c r="D244">
        <f t="shared" si="120"/>
        <v>5.5042625599364525</v>
      </c>
      <c r="E244">
        <f t="shared" si="100"/>
        <v>1.0923480322709622</v>
      </c>
      <c r="F244">
        <f t="shared" si="92"/>
        <v>2.5764175913461473</v>
      </c>
      <c r="G244">
        <f t="shared" si="113"/>
        <v>2.2046078431833482</v>
      </c>
      <c r="I244">
        <v>123.32850000000001</v>
      </c>
      <c r="J244">
        <v>7.3260274618774615E-2</v>
      </c>
      <c r="K244">
        <f t="shared" si="93"/>
        <v>9.0350797783215455</v>
      </c>
      <c r="L244">
        <f t="shared" si="101"/>
        <v>-0.85264705669547691</v>
      </c>
      <c r="M244">
        <f t="shared" si="94"/>
        <v>0.63142250237970821</v>
      </c>
      <c r="N244">
        <f t="shared" si="114"/>
        <v>0.37497605307763582</v>
      </c>
      <c r="P244">
        <v>111.17019999999999</v>
      </c>
      <c r="Q244">
        <v>0.11025219037087246</v>
      </c>
      <c r="R244">
        <f t="shared" si="95"/>
        <v>12.256758053967964</v>
      </c>
      <c r="S244">
        <f t="shared" si="102"/>
        <v>-0.7503747409845718</v>
      </c>
      <c r="T244">
        <f t="shared" si="103"/>
        <v>0.73369481809061332</v>
      </c>
      <c r="U244">
        <f t="shared" si="115"/>
        <v>0.54136094022262382</v>
      </c>
      <c r="W244">
        <v>115.8871</v>
      </c>
      <c r="X244">
        <v>5.9495095293120297E-2</v>
      </c>
      <c r="Y244">
        <f t="shared" si="96"/>
        <v>6.8947140577433617</v>
      </c>
      <c r="Z244">
        <f t="shared" si="104"/>
        <v>1.0832551210168351</v>
      </c>
      <c r="AA244">
        <f t="shared" si="105"/>
        <v>2.5673246800920202</v>
      </c>
      <c r="AB244">
        <f t="shared" si="116"/>
        <v>0.72672467840699806</v>
      </c>
      <c r="AD244">
        <v>107.8232</v>
      </c>
      <c r="AE244">
        <v>0.12945479001253871</v>
      </c>
      <c r="AF244">
        <f t="shared" si="97"/>
        <v>13.958229714479964</v>
      </c>
      <c r="AG244">
        <f t="shared" si="106"/>
        <v>-2.7557141272399388</v>
      </c>
      <c r="AH244">
        <f t="shared" si="107"/>
        <v>1.2716445681647537</v>
      </c>
      <c r="AI244">
        <f t="shared" si="117"/>
        <v>1.2716445681647537</v>
      </c>
      <c r="AK244">
        <v>110.8974</v>
      </c>
      <c r="AL244">
        <v>7.195777359135698E-2</v>
      </c>
      <c r="AM244">
        <f t="shared" si="98"/>
        <v>7.9799300010701515</v>
      </c>
      <c r="AN244">
        <f t="shared" si="108"/>
        <v>-3.2269211739050285</v>
      </c>
      <c r="AO244">
        <f t="shared" si="109"/>
        <v>1.7428516148298434</v>
      </c>
      <c r="AP244">
        <f t="shared" si="118"/>
        <v>0.1562075869126045</v>
      </c>
      <c r="AR244">
        <v>128.6936</v>
      </c>
      <c r="AS244">
        <v>0.51062785537027189</v>
      </c>
      <c r="AT244">
        <f t="shared" si="99"/>
        <v>65.714536967879624</v>
      </c>
      <c r="AU244">
        <f t="shared" si="110"/>
        <v>-1.6894668813767555</v>
      </c>
      <c r="AV244">
        <f t="shared" si="111"/>
        <v>0.20539732230157037</v>
      </c>
      <c r="AW244">
        <f t="shared" si="119"/>
        <v>0.20539732230157037</v>
      </c>
      <c r="AY244" s="4">
        <f t="shared" si="91"/>
        <v>121.34351113339906</v>
      </c>
      <c r="AZ244">
        <f t="shared" si="112"/>
        <v>-1.4840695590751851</v>
      </c>
    </row>
    <row r="245" spans="1:52" x14ac:dyDescent="0.35">
      <c r="A245" s="2">
        <v>43891</v>
      </c>
      <c r="B245">
        <v>95.941450000000003</v>
      </c>
      <c r="C245">
        <v>4.4952020743065008E-2</v>
      </c>
      <c r="D245">
        <f t="shared" si="120"/>
        <v>4.3127620505197344</v>
      </c>
      <c r="E245">
        <f t="shared" si="100"/>
        <v>-21.646869066334553</v>
      </c>
      <c r="F245">
        <f t="shared" si="92"/>
        <v>0.44576267995674002</v>
      </c>
      <c r="G245">
        <f t="shared" si="113"/>
        <v>2.1306549113894073</v>
      </c>
      <c r="I245">
        <v>93.036940000000001</v>
      </c>
      <c r="J245">
        <v>7.3260274618774615E-2</v>
      </c>
      <c r="K245">
        <f t="shared" si="93"/>
        <v>6.8159117740904565</v>
      </c>
      <c r="L245">
        <f t="shared" si="101"/>
        <v>-24.561686876918152</v>
      </c>
      <c r="M245">
        <f t="shared" si="94"/>
        <v>2.4690551306268596</v>
      </c>
      <c r="N245">
        <f t="shared" si="114"/>
        <v>1.8376326282471513</v>
      </c>
      <c r="P245">
        <v>83.889020000000002</v>
      </c>
      <c r="Q245">
        <v>0.11025219037087246</v>
      </c>
      <c r="R245">
        <f t="shared" si="95"/>
        <v>9.2489482030659271</v>
      </c>
      <c r="S245">
        <f t="shared" si="102"/>
        <v>-24.540011621819513</v>
      </c>
      <c r="T245">
        <f t="shared" si="103"/>
        <v>2.4473798755282203</v>
      </c>
      <c r="U245">
        <f t="shared" si="115"/>
        <v>1.713685057437607</v>
      </c>
      <c r="W245">
        <v>85.257999999999996</v>
      </c>
      <c r="X245">
        <v>5.9495095293120297E-2</v>
      </c>
      <c r="Y245">
        <f t="shared" si="96"/>
        <v>5.0724328345008498</v>
      </c>
      <c r="Z245">
        <f t="shared" si="104"/>
        <v>-26.43012034989227</v>
      </c>
      <c r="AA245">
        <f t="shared" si="105"/>
        <v>4.3374886036009777</v>
      </c>
      <c r="AB245">
        <f t="shared" si="116"/>
        <v>3.065844035436224</v>
      </c>
      <c r="AD245">
        <v>89.016999999999996</v>
      </c>
      <c r="AE245">
        <v>0.12945479001253871</v>
      </c>
      <c r="AF245">
        <f t="shared" si="97"/>
        <v>11.523677042546158</v>
      </c>
      <c r="AG245">
        <f t="shared" si="106"/>
        <v>-17.441700858442346</v>
      </c>
      <c r="AH245">
        <f t="shared" si="107"/>
        <v>4.650930887848947</v>
      </c>
      <c r="AI245">
        <f t="shared" si="117"/>
        <v>4.650930887848947</v>
      </c>
      <c r="AK245">
        <v>87.067049999999995</v>
      </c>
      <c r="AL245">
        <v>7.195777359135698E-2</v>
      </c>
      <c r="AM245">
        <f t="shared" si="98"/>
        <v>6.2651510711673577</v>
      </c>
      <c r="AN245">
        <f t="shared" si="108"/>
        <v>-21.488646262220769</v>
      </c>
      <c r="AO245">
        <f t="shared" si="109"/>
        <v>0.60398548407052388</v>
      </c>
      <c r="AP245">
        <f t="shared" si="118"/>
        <v>2.088055043145709</v>
      </c>
      <c r="AR245">
        <v>100.458</v>
      </c>
      <c r="AS245">
        <v>0.51062785537027189</v>
      </c>
      <c r="AT245">
        <f t="shared" si="99"/>
        <v>51.29665309478677</v>
      </c>
      <c r="AU245">
        <f t="shared" si="110"/>
        <v>-21.940174181155868</v>
      </c>
      <c r="AV245">
        <f t="shared" si="111"/>
        <v>0.15245756513542474</v>
      </c>
      <c r="AW245">
        <f t="shared" si="119"/>
        <v>0.15245756513542474</v>
      </c>
      <c r="AY245" s="4">
        <f t="shared" si="91"/>
        <v>94.535536070677239</v>
      </c>
      <c r="AZ245">
        <f t="shared" si="112"/>
        <v>-22.092631746291293</v>
      </c>
    </row>
    <row r="246" spans="1:52" x14ac:dyDescent="0.35">
      <c r="A246" s="2">
        <v>43922</v>
      </c>
      <c r="B246">
        <v>98.163830000000004</v>
      </c>
      <c r="C246">
        <v>4.4952020743065008E-2</v>
      </c>
      <c r="D246">
        <f t="shared" si="120"/>
        <v>4.4126625223787075</v>
      </c>
      <c r="E246">
        <f t="shared" si="100"/>
        <v>2.3163919244497677</v>
      </c>
      <c r="F246">
        <f t="shared" si="92"/>
        <v>0.97132867903497733</v>
      </c>
      <c r="G246">
        <f t="shared" si="113"/>
        <v>0.52556599907823731</v>
      </c>
      <c r="I246">
        <v>91.887360000000001</v>
      </c>
      <c r="J246">
        <v>7.3260274618774615E-2</v>
      </c>
      <c r="K246">
        <f t="shared" si="93"/>
        <v>6.7316932275942056</v>
      </c>
      <c r="L246">
        <f t="shared" si="101"/>
        <v>-1.2356167346002533</v>
      </c>
      <c r="M246">
        <f t="shared" si="94"/>
        <v>2.5806799800150437</v>
      </c>
      <c r="N246">
        <f t="shared" si="114"/>
        <v>0.11162484938818418</v>
      </c>
      <c r="P246">
        <v>86.979380000000006</v>
      </c>
      <c r="Q246">
        <v>0.11025219037087246</v>
      </c>
      <c r="R246">
        <f t="shared" si="95"/>
        <v>9.5896671621004579</v>
      </c>
      <c r="S246">
        <f t="shared" si="102"/>
        <v>3.6838670901150117</v>
      </c>
      <c r="T246">
        <f t="shared" si="103"/>
        <v>2.3388038447002213</v>
      </c>
      <c r="U246">
        <f t="shared" si="115"/>
        <v>0.10857603082799905</v>
      </c>
      <c r="W246">
        <v>84.48536</v>
      </c>
      <c r="X246">
        <v>5.9495095293120297E-2</v>
      </c>
      <c r="Y246">
        <f t="shared" si="96"/>
        <v>5.0264645440735736</v>
      </c>
      <c r="Z246">
        <f t="shared" si="104"/>
        <v>-0.90623753782635985</v>
      </c>
      <c r="AA246">
        <f t="shared" si="105"/>
        <v>2.2513007832411502</v>
      </c>
      <c r="AB246">
        <f t="shared" si="116"/>
        <v>2.3996301046077968</v>
      </c>
      <c r="AD246">
        <v>91.150700000000001</v>
      </c>
      <c r="AE246">
        <v>0.12945479001253871</v>
      </c>
      <c r="AF246">
        <f t="shared" si="97"/>
        <v>11.799894727995913</v>
      </c>
      <c r="AG246">
        <f t="shared" si="106"/>
        <v>2.3969578844490469</v>
      </c>
      <c r="AH246">
        <f t="shared" si="107"/>
        <v>1.0518946390342565</v>
      </c>
      <c r="AI246">
        <f t="shared" si="117"/>
        <v>1.0518946390342565</v>
      </c>
      <c r="AK246">
        <v>87.033090000000001</v>
      </c>
      <c r="AL246">
        <v>7.195777359135698E-2</v>
      </c>
      <c r="AM246">
        <f t="shared" si="98"/>
        <v>6.2627073851761956</v>
      </c>
      <c r="AN246">
        <f t="shared" si="108"/>
        <v>-3.9004422453725596E-2</v>
      </c>
      <c r="AO246">
        <f t="shared" si="109"/>
        <v>1.384067667868516</v>
      </c>
      <c r="AP246">
        <f t="shared" si="118"/>
        <v>23.47669941415981</v>
      </c>
      <c r="AR246">
        <v>101.80410000000001</v>
      </c>
      <c r="AS246">
        <v>0.51062785537027189</v>
      </c>
      <c r="AT246">
        <f t="shared" si="99"/>
        <v>51.984009250900698</v>
      </c>
      <c r="AU246">
        <f t="shared" si="110"/>
        <v>1.3399629695992399</v>
      </c>
      <c r="AV246">
        <f t="shared" si="111"/>
        <v>5.1002758155505035E-3</v>
      </c>
      <c r="AW246">
        <f t="shared" si="119"/>
        <v>5.1002758155505035E-3</v>
      </c>
      <c r="AY246" s="4">
        <f t="shared" si="91"/>
        <v>95.807098820219764</v>
      </c>
      <c r="AZ246">
        <f t="shared" si="112"/>
        <v>1.3450632454147904</v>
      </c>
    </row>
    <row r="247" spans="1:52" x14ac:dyDescent="0.35">
      <c r="A247" s="2">
        <v>43952</v>
      </c>
      <c r="B247">
        <v>103.8505</v>
      </c>
      <c r="C247">
        <v>4.4952020743065008E-2</v>
      </c>
      <c r="D247">
        <f t="shared" si="120"/>
        <v>4.6682898301776721</v>
      </c>
      <c r="E247">
        <f t="shared" si="100"/>
        <v>5.7930400637383306</v>
      </c>
      <c r="F247">
        <f t="shared" si="92"/>
        <v>1.8354172832427462</v>
      </c>
      <c r="G247">
        <f t="shared" si="113"/>
        <v>0.8640886042077689</v>
      </c>
      <c r="I247">
        <v>93.735500000000002</v>
      </c>
      <c r="J247">
        <v>7.3260274618774615E-2</v>
      </c>
      <c r="K247">
        <f t="shared" si="93"/>
        <v>6.8670884715281479</v>
      </c>
      <c r="L247">
        <f t="shared" si="101"/>
        <v>2.0113103695655221</v>
      </c>
      <c r="M247">
        <f t="shared" si="94"/>
        <v>1.9463124109300622</v>
      </c>
      <c r="N247">
        <f t="shared" si="114"/>
        <v>0.63436756908498149</v>
      </c>
      <c r="P247">
        <v>92.126769999999993</v>
      </c>
      <c r="Q247">
        <v>0.11025219037087246</v>
      </c>
      <c r="R247">
        <f t="shared" si="95"/>
        <v>10.157178184293581</v>
      </c>
      <c r="S247">
        <f t="shared" si="102"/>
        <v>5.9179428503629117</v>
      </c>
      <c r="T247">
        <f t="shared" si="103"/>
        <v>1.9603200698673273</v>
      </c>
      <c r="U247">
        <f t="shared" si="115"/>
        <v>0.37848377483289397</v>
      </c>
      <c r="W247">
        <v>85.814409999999995</v>
      </c>
      <c r="X247">
        <v>5.9495095293120297E-2</v>
      </c>
      <c r="Y247">
        <f t="shared" si="96"/>
        <v>5.105536500472895</v>
      </c>
      <c r="Z247">
        <f t="shared" si="104"/>
        <v>1.5731127854577309</v>
      </c>
      <c r="AA247">
        <f t="shared" si="105"/>
        <v>2.3845099950378534</v>
      </c>
      <c r="AB247">
        <f t="shared" si="116"/>
        <v>1.3326153560035969</v>
      </c>
      <c r="AD247">
        <v>95.400679999999994</v>
      </c>
      <c r="AE247">
        <v>0.12945479001253871</v>
      </c>
      <c r="AF247">
        <f t="shared" si="97"/>
        <v>12.350074996453401</v>
      </c>
      <c r="AG247">
        <f t="shared" si="106"/>
        <v>4.6625862445378807</v>
      </c>
      <c r="AH247">
        <f t="shared" si="107"/>
        <v>0.70496346404229637</v>
      </c>
      <c r="AI247">
        <f t="shared" si="117"/>
        <v>0.70496346404229637</v>
      </c>
      <c r="AK247">
        <v>90.330380000000005</v>
      </c>
      <c r="AL247">
        <v>7.195777359135698E-2</v>
      </c>
      <c r="AM247">
        <f t="shared" si="98"/>
        <v>6.4999730324612415</v>
      </c>
      <c r="AN247">
        <f t="shared" si="108"/>
        <v>3.7885475512819289</v>
      </c>
      <c r="AO247">
        <f t="shared" si="109"/>
        <v>0.16907522921365548</v>
      </c>
      <c r="AP247">
        <f t="shared" si="118"/>
        <v>1.1759880162011349</v>
      </c>
      <c r="AR247">
        <v>105.6555</v>
      </c>
      <c r="AS247">
        <v>0.51062785537027189</v>
      </c>
      <c r="AT247">
        <f t="shared" si="99"/>
        <v>53.950641373073765</v>
      </c>
      <c r="AU247">
        <f t="shared" si="110"/>
        <v>3.7831482229104596</v>
      </c>
      <c r="AV247">
        <f t="shared" si="111"/>
        <v>0.17447455758512476</v>
      </c>
      <c r="AW247">
        <f t="shared" si="119"/>
        <v>0.17447455758512476</v>
      </c>
      <c r="AY247" s="4">
        <f t="shared" si="91"/>
        <v>99.598782388460705</v>
      </c>
      <c r="AZ247">
        <f t="shared" si="112"/>
        <v>3.9576227804955844</v>
      </c>
    </row>
    <row r="248" spans="1:52" x14ac:dyDescent="0.35">
      <c r="A248" s="2">
        <v>43983</v>
      </c>
      <c r="B248">
        <v>107.9628</v>
      </c>
      <c r="C248">
        <v>4.4952020743065008E-2</v>
      </c>
      <c r="D248">
        <f t="shared" si="120"/>
        <v>4.8531460250793792</v>
      </c>
      <c r="E248">
        <f t="shared" si="100"/>
        <v>3.9598268665052228</v>
      </c>
      <c r="F248">
        <f t="shared" si="92"/>
        <v>3.5118977512496929</v>
      </c>
      <c r="G248">
        <f t="shared" si="113"/>
        <v>1.6764804680069467</v>
      </c>
      <c r="I248">
        <v>102.9002</v>
      </c>
      <c r="J248">
        <v>7.3260274618774615E-2</v>
      </c>
      <c r="K248">
        <f t="shared" si="93"/>
        <v>7.5384969103268311</v>
      </c>
      <c r="L248">
        <f t="shared" si="101"/>
        <v>9.7771922057278147</v>
      </c>
      <c r="M248">
        <f t="shared" si="94"/>
        <v>2.305467587972899</v>
      </c>
      <c r="N248">
        <f t="shared" si="114"/>
        <v>0.35915517704283673</v>
      </c>
      <c r="P248">
        <v>101.45569999999999</v>
      </c>
      <c r="Q248">
        <v>0.11025219037087246</v>
      </c>
      <c r="R248">
        <f t="shared" si="95"/>
        <v>11.185713150610123</v>
      </c>
      <c r="S248">
        <f t="shared" si="102"/>
        <v>10.126188077580501</v>
      </c>
      <c r="T248">
        <f t="shared" si="103"/>
        <v>2.6544634598255854</v>
      </c>
      <c r="U248">
        <f t="shared" si="115"/>
        <v>0.69414338995825808</v>
      </c>
      <c r="W248">
        <v>94.641080000000002</v>
      </c>
      <c r="X248">
        <v>5.9495095293120297E-2</v>
      </c>
      <c r="Y248">
        <f t="shared" si="96"/>
        <v>5.6306800732438216</v>
      </c>
      <c r="Z248">
        <f t="shared" si="104"/>
        <v>10.285766691165277</v>
      </c>
      <c r="AA248">
        <f t="shared" si="105"/>
        <v>2.8140420734103611</v>
      </c>
      <c r="AB248">
        <f t="shared" si="116"/>
        <v>2.1090786093680647</v>
      </c>
      <c r="AD248">
        <v>102.2208</v>
      </c>
      <c r="AE248">
        <v>0.12945479001253871</v>
      </c>
      <c r="AF248">
        <f t="shared" si="97"/>
        <v>13.232972198913716</v>
      </c>
      <c r="AG248">
        <f t="shared" si="106"/>
        <v>7.1489217896560042</v>
      </c>
      <c r="AH248">
        <f t="shared" si="107"/>
        <v>0.32280282809891148</v>
      </c>
      <c r="AI248">
        <f t="shared" si="117"/>
        <v>0.32280282809891148</v>
      </c>
      <c r="AK248">
        <v>94.690349999999995</v>
      </c>
      <c r="AL248">
        <v>7.195777359135698E-2</v>
      </c>
      <c r="AM248">
        <f t="shared" si="98"/>
        <v>6.8137067665863489</v>
      </c>
      <c r="AN248">
        <f t="shared" si="108"/>
        <v>4.8266928579288493</v>
      </c>
      <c r="AO248">
        <f t="shared" si="109"/>
        <v>2.6450317598260664</v>
      </c>
      <c r="AP248">
        <f t="shared" si="118"/>
        <v>1.3125910206695179</v>
      </c>
      <c r="AR248">
        <v>113.1662</v>
      </c>
      <c r="AS248">
        <v>0.51062785537027189</v>
      </c>
      <c r="AT248">
        <f t="shared" si="99"/>
        <v>57.785814006403264</v>
      </c>
      <c r="AU248">
        <f t="shared" si="110"/>
        <v>7.1086692126770545</v>
      </c>
      <c r="AV248">
        <f t="shared" si="111"/>
        <v>0.36305540507786116</v>
      </c>
      <c r="AW248">
        <f t="shared" si="119"/>
        <v>0.36305540507786116</v>
      </c>
      <c r="AY248" s="4">
        <f t="shared" si="91"/>
        <v>107.04052913116348</v>
      </c>
      <c r="AZ248">
        <f t="shared" si="112"/>
        <v>7.4717246177549157</v>
      </c>
    </row>
    <row r="249" spans="1:52" x14ac:dyDescent="0.35">
      <c r="A249" s="2">
        <v>44013</v>
      </c>
      <c r="B249">
        <v>111.0523</v>
      </c>
      <c r="C249">
        <v>4.4952020743065008E-2</v>
      </c>
      <c r="D249">
        <f t="shared" si="120"/>
        <v>4.9920252931650779</v>
      </c>
      <c r="E249">
        <f t="shared" si="100"/>
        <v>2.861633822020182</v>
      </c>
      <c r="F249">
        <f t="shared" si="92"/>
        <v>1.6073113621667634</v>
      </c>
      <c r="G249">
        <f t="shared" si="113"/>
        <v>1.9045863890829295</v>
      </c>
      <c r="I249">
        <v>103.7471</v>
      </c>
      <c r="J249">
        <v>7.3260274618774615E-2</v>
      </c>
      <c r="K249">
        <f t="shared" si="93"/>
        <v>7.6005410369014719</v>
      </c>
      <c r="L249">
        <f t="shared" si="101"/>
        <v>0.82303047030034548</v>
      </c>
      <c r="M249">
        <f t="shared" si="94"/>
        <v>0.43129198955307313</v>
      </c>
      <c r="N249">
        <f t="shared" si="114"/>
        <v>1.8741755984198258</v>
      </c>
      <c r="P249">
        <v>104.3706</v>
      </c>
      <c r="Q249">
        <v>0.11025219037087246</v>
      </c>
      <c r="R249">
        <f t="shared" si="95"/>
        <v>11.50708726032218</v>
      </c>
      <c r="S249">
        <f t="shared" si="102"/>
        <v>2.8730766235903982</v>
      </c>
      <c r="T249">
        <f t="shared" si="103"/>
        <v>1.6187541637369796</v>
      </c>
      <c r="U249">
        <f t="shared" si="115"/>
        <v>1.0357092960886058</v>
      </c>
      <c r="W249">
        <v>96.654750000000007</v>
      </c>
      <c r="X249">
        <v>5.9495095293120297E-2</v>
      </c>
      <c r="Y249">
        <f t="shared" si="96"/>
        <v>5.750483561782719</v>
      </c>
      <c r="Z249">
        <f t="shared" si="104"/>
        <v>2.127691273176513</v>
      </c>
      <c r="AA249">
        <f t="shared" si="105"/>
        <v>0.87336881332309435</v>
      </c>
      <c r="AB249">
        <f t="shared" si="116"/>
        <v>0.55056598522418287</v>
      </c>
      <c r="AD249">
        <v>100.6782</v>
      </c>
      <c r="AE249">
        <v>0.12945479001253871</v>
      </c>
      <c r="AF249">
        <f t="shared" si="97"/>
        <v>13.033275239840375</v>
      </c>
      <c r="AG249">
        <f t="shared" si="106"/>
        <v>-1.5090862133734007</v>
      </c>
      <c r="AH249">
        <f t="shared" si="107"/>
        <v>2.7634086732268193</v>
      </c>
      <c r="AI249">
        <f t="shared" si="117"/>
        <v>2.7634086732268193</v>
      </c>
      <c r="AK249">
        <v>93.518659999999997</v>
      </c>
      <c r="AL249">
        <v>7.195777359135698E-2</v>
      </c>
      <c r="AM249">
        <f t="shared" si="98"/>
        <v>6.7293945628470917</v>
      </c>
      <c r="AN249">
        <f t="shared" si="108"/>
        <v>-1.2373911385901493</v>
      </c>
      <c r="AO249">
        <f t="shared" si="109"/>
        <v>2.4917135984435679</v>
      </c>
      <c r="AP249">
        <f t="shared" si="118"/>
        <v>4.9800110193113483</v>
      </c>
      <c r="AR249">
        <v>115.0943</v>
      </c>
      <c r="AS249">
        <v>0.51062785537027189</v>
      </c>
      <c r="AT249">
        <f t="shared" si="99"/>
        <v>58.770355574342688</v>
      </c>
      <c r="AU249">
        <f t="shared" si="110"/>
        <v>1.7037772762538594</v>
      </c>
      <c r="AV249">
        <f t="shared" si="111"/>
        <v>0.44945481640044083</v>
      </c>
      <c r="AW249">
        <f t="shared" si="119"/>
        <v>0.44945481640044083</v>
      </c>
      <c r="AY249" s="4">
        <f t="shared" si="91"/>
        <v>108.3831625292016</v>
      </c>
      <c r="AZ249">
        <f t="shared" si="112"/>
        <v>1.2543224598534186</v>
      </c>
    </row>
    <row r="250" spans="1:52" x14ac:dyDescent="0.35">
      <c r="A250" s="2">
        <v>44044</v>
      </c>
      <c r="B250">
        <v>115.52</v>
      </c>
      <c r="C250">
        <v>4.4952020743065008E-2</v>
      </c>
      <c r="D250">
        <f t="shared" si="120"/>
        <v>5.1928574362388691</v>
      </c>
      <c r="E250">
        <f t="shared" si="100"/>
        <v>4.0230594053432434</v>
      </c>
      <c r="F250">
        <f t="shared" si="92"/>
        <v>1.0070417291315081</v>
      </c>
      <c r="G250">
        <f t="shared" si="113"/>
        <v>0.60026963303525527</v>
      </c>
      <c r="I250">
        <v>103.4332</v>
      </c>
      <c r="J250">
        <v>7.3260274618774615E-2</v>
      </c>
      <c r="K250">
        <f t="shared" si="93"/>
        <v>7.5775446366986383</v>
      </c>
      <c r="L250">
        <f t="shared" si="101"/>
        <v>-0.30256267404101811</v>
      </c>
      <c r="M250">
        <f t="shared" si="94"/>
        <v>3.3185803502527533</v>
      </c>
      <c r="N250">
        <f t="shared" si="114"/>
        <v>2.8872883606996802</v>
      </c>
      <c r="P250">
        <v>105.5042</v>
      </c>
      <c r="Q250">
        <v>0.11025219037087246</v>
      </c>
      <c r="R250">
        <f t="shared" si="95"/>
        <v>11.632069143326602</v>
      </c>
      <c r="S250">
        <f t="shared" si="102"/>
        <v>1.0861296188773517</v>
      </c>
      <c r="T250">
        <f t="shared" si="103"/>
        <v>1.9298880573343835</v>
      </c>
      <c r="U250">
        <f t="shared" si="115"/>
        <v>0.31113389359740395</v>
      </c>
      <c r="W250">
        <v>96.398489999999995</v>
      </c>
      <c r="X250">
        <v>5.9495095293120297E-2</v>
      </c>
      <c r="Y250">
        <f t="shared" si="96"/>
        <v>5.7352373486629036</v>
      </c>
      <c r="Z250">
        <f t="shared" si="104"/>
        <v>-0.26512923575924274</v>
      </c>
      <c r="AA250">
        <f t="shared" si="105"/>
        <v>3.281146911970978</v>
      </c>
      <c r="AB250">
        <f t="shared" si="116"/>
        <v>0.5177382387441587</v>
      </c>
      <c r="AD250">
        <v>102.6739</v>
      </c>
      <c r="AE250">
        <v>0.12945479001253871</v>
      </c>
      <c r="AF250">
        <f t="shared" si="97"/>
        <v>13.291628164268399</v>
      </c>
      <c r="AG250">
        <f t="shared" si="106"/>
        <v>1.9822563375189395</v>
      </c>
      <c r="AH250">
        <f t="shared" si="107"/>
        <v>1.0337613386927957</v>
      </c>
      <c r="AI250">
        <f t="shared" si="117"/>
        <v>1.0337613386927957</v>
      </c>
      <c r="AK250">
        <v>92.020049999999998</v>
      </c>
      <c r="AL250">
        <v>7.195777359135698E-2</v>
      </c>
      <c r="AM250">
        <f t="shared" si="98"/>
        <v>6.6215579237653488</v>
      </c>
      <c r="AN250">
        <f t="shared" si="108"/>
        <v>-1.6024716350726109</v>
      </c>
      <c r="AO250">
        <f t="shared" si="109"/>
        <v>4.6184893112843461</v>
      </c>
      <c r="AP250">
        <f t="shared" si="118"/>
        <v>3.3641668514309275</v>
      </c>
      <c r="AR250">
        <v>120.63800000000001</v>
      </c>
      <c r="AS250">
        <v>0.51062785537027189</v>
      </c>
      <c r="AT250">
        <f t="shared" si="99"/>
        <v>61.601123216158861</v>
      </c>
      <c r="AU250">
        <f t="shared" si="110"/>
        <v>4.8166590352432648</v>
      </c>
      <c r="AV250">
        <f t="shared" si="111"/>
        <v>1.8006413590315296</v>
      </c>
      <c r="AW250">
        <f t="shared" si="119"/>
        <v>1.8006413590315296</v>
      </c>
      <c r="AY250" s="4">
        <f t="shared" si="91"/>
        <v>111.65201786911962</v>
      </c>
      <c r="AZ250">
        <f t="shared" si="112"/>
        <v>3.0160176762117352</v>
      </c>
    </row>
    <row r="251" spans="1:52" x14ac:dyDescent="0.35">
      <c r="A251" s="2">
        <v>44075</v>
      </c>
      <c r="B251">
        <v>113.2146</v>
      </c>
      <c r="C251">
        <v>4.4952020743065008E-2</v>
      </c>
      <c r="D251">
        <f t="shared" si="120"/>
        <v>5.0892250476178074</v>
      </c>
      <c r="E251">
        <f t="shared" si="100"/>
        <v>-1.9956717451523498</v>
      </c>
      <c r="F251">
        <f t="shared" si="92"/>
        <v>1.5997015437556605</v>
      </c>
      <c r="G251">
        <f t="shared" si="113"/>
        <v>0.5926598146241524</v>
      </c>
      <c r="I251">
        <v>102.9413</v>
      </c>
      <c r="J251">
        <v>7.3260274618774615E-2</v>
      </c>
      <c r="K251">
        <f t="shared" si="93"/>
        <v>7.5415079076136635</v>
      </c>
      <c r="L251">
        <f t="shared" si="101"/>
        <v>-0.47557264011942602</v>
      </c>
      <c r="M251">
        <f t="shared" si="94"/>
        <v>7.9602438722736757E-2</v>
      </c>
      <c r="N251">
        <f t="shared" si="114"/>
        <v>3.2389779115300166</v>
      </c>
      <c r="P251">
        <v>105.9361</v>
      </c>
      <c r="Q251">
        <v>0.11025219037087246</v>
      </c>
      <c r="R251">
        <f t="shared" si="95"/>
        <v>11.679687064347782</v>
      </c>
      <c r="S251">
        <f t="shared" si="102"/>
        <v>0.4093675891575943</v>
      </c>
      <c r="T251">
        <f t="shared" si="103"/>
        <v>0.80533779055428356</v>
      </c>
      <c r="U251">
        <f t="shared" si="115"/>
        <v>1.1245502667800999</v>
      </c>
      <c r="W251">
        <v>94.872069999999994</v>
      </c>
      <c r="X251">
        <v>5.9495095293120297E-2</v>
      </c>
      <c r="Y251">
        <f t="shared" si="96"/>
        <v>5.6444228453055789</v>
      </c>
      <c r="Z251">
        <f t="shared" si="104"/>
        <v>-1.5834480394869233</v>
      </c>
      <c r="AA251">
        <f t="shared" si="105"/>
        <v>1.187477838090234</v>
      </c>
      <c r="AB251">
        <f t="shared" si="116"/>
        <v>0.15371649939743826</v>
      </c>
      <c r="AD251">
        <v>105.3336</v>
      </c>
      <c r="AE251">
        <v>0.12945479001253871</v>
      </c>
      <c r="AF251">
        <f t="shared" si="97"/>
        <v>13.635939069264747</v>
      </c>
      <c r="AG251">
        <f t="shared" si="106"/>
        <v>2.5904343752404468</v>
      </c>
      <c r="AH251">
        <f t="shared" si="107"/>
        <v>2.9864045766371361</v>
      </c>
      <c r="AI251">
        <f t="shared" si="117"/>
        <v>2.9864045766371361</v>
      </c>
      <c r="AK251">
        <v>89.965100000000007</v>
      </c>
      <c r="AL251">
        <v>7.195777359135698E-2</v>
      </c>
      <c r="AM251">
        <f t="shared" si="98"/>
        <v>6.4736882969237906</v>
      </c>
      <c r="AN251">
        <f t="shared" si="108"/>
        <v>-2.2331546222806753</v>
      </c>
      <c r="AO251">
        <f t="shared" si="109"/>
        <v>1.837184420883986</v>
      </c>
      <c r="AP251">
        <f t="shared" si="118"/>
        <v>1.1788332553277492</v>
      </c>
      <c r="AR251">
        <v>119.7456</v>
      </c>
      <c r="AS251">
        <v>0.51062785537027189</v>
      </c>
      <c r="AT251">
        <f t="shared" si="99"/>
        <v>61.145438918026429</v>
      </c>
      <c r="AU251">
        <f t="shared" si="110"/>
        <v>-0.73973374890168309</v>
      </c>
      <c r="AV251">
        <f t="shared" si="111"/>
        <v>0.34376354750499383</v>
      </c>
      <c r="AW251">
        <f t="shared" si="119"/>
        <v>0.34376354750499383</v>
      </c>
      <c r="AY251" s="4">
        <f t="shared" si="91"/>
        <v>111.2099091490998</v>
      </c>
      <c r="AZ251">
        <f t="shared" si="112"/>
        <v>-0.39597020139668926</v>
      </c>
    </row>
    <row r="252" spans="1:52" x14ac:dyDescent="0.35">
      <c r="A252" s="2">
        <v>44105</v>
      </c>
      <c r="B252">
        <v>113.27079999999999</v>
      </c>
      <c r="C252">
        <v>4.4952020743065008E-2</v>
      </c>
      <c r="D252">
        <f t="shared" si="120"/>
        <v>5.0917513511835679</v>
      </c>
      <c r="E252">
        <f t="shared" si="100"/>
        <v>4.9640240746318121E-2</v>
      </c>
      <c r="F252">
        <f t="shared" si="92"/>
        <v>0.21868489955327863</v>
      </c>
      <c r="G252">
        <f t="shared" si="113"/>
        <v>1.3810166442023819</v>
      </c>
      <c r="I252">
        <v>101.2923</v>
      </c>
      <c r="J252">
        <v>7.3260274618774615E-2</v>
      </c>
      <c r="K252">
        <f t="shared" si="93"/>
        <v>7.4207017147673033</v>
      </c>
      <c r="L252">
        <f t="shared" si="101"/>
        <v>-1.6018837920251605</v>
      </c>
      <c r="M252">
        <f t="shared" si="94"/>
        <v>1.8702089323247573</v>
      </c>
      <c r="N252">
        <f t="shared" si="114"/>
        <v>1.7906064936020205</v>
      </c>
      <c r="P252">
        <v>103.7749</v>
      </c>
      <c r="Q252">
        <v>0.11025219037087246</v>
      </c>
      <c r="R252">
        <f t="shared" si="95"/>
        <v>11.441410030518252</v>
      </c>
      <c r="S252">
        <f t="shared" si="102"/>
        <v>-2.0400977570441015</v>
      </c>
      <c r="T252">
        <f t="shared" si="103"/>
        <v>2.3084228973436982</v>
      </c>
      <c r="U252">
        <f t="shared" si="115"/>
        <v>1.5030851067894146</v>
      </c>
      <c r="W252">
        <v>93.268960000000007</v>
      </c>
      <c r="X252">
        <v>5.9495095293120297E-2</v>
      </c>
      <c r="Y252">
        <f t="shared" si="96"/>
        <v>5.5490456630902258</v>
      </c>
      <c r="Z252">
        <f t="shared" si="104"/>
        <v>-1.6897596942914705</v>
      </c>
      <c r="AA252">
        <f t="shared" si="105"/>
        <v>1.9580848345910673</v>
      </c>
      <c r="AB252">
        <f t="shared" si="116"/>
        <v>1.0283197420460688</v>
      </c>
      <c r="AD252">
        <v>105.0107</v>
      </c>
      <c r="AE252">
        <v>0.12945479001253871</v>
      </c>
      <c r="AF252">
        <f t="shared" si="97"/>
        <v>13.594138117569699</v>
      </c>
      <c r="AG252">
        <f t="shared" si="106"/>
        <v>-0.30654985683581382</v>
      </c>
      <c r="AH252">
        <f t="shared" si="107"/>
        <v>0.57487499713541057</v>
      </c>
      <c r="AI252">
        <f t="shared" si="117"/>
        <v>0.57487499713541057</v>
      </c>
      <c r="AK252">
        <v>88.728970000000004</v>
      </c>
      <c r="AL252">
        <v>7.195777359135698E-2</v>
      </c>
      <c r="AM252">
        <f t="shared" si="98"/>
        <v>6.3847391342543061</v>
      </c>
      <c r="AN252">
        <f t="shared" si="108"/>
        <v>-1.3740105885504561</v>
      </c>
      <c r="AO252">
        <f t="shared" si="109"/>
        <v>1.6423357288500529</v>
      </c>
      <c r="AP252">
        <f t="shared" si="118"/>
        <v>2.0383059302467421</v>
      </c>
      <c r="AR252">
        <v>121.47110000000001</v>
      </c>
      <c r="AS252">
        <v>0.51062785537027189</v>
      </c>
      <c r="AT252">
        <f t="shared" si="99"/>
        <v>62.026527282467839</v>
      </c>
      <c r="AU252">
        <f t="shared" si="110"/>
        <v>1.4409715263024481</v>
      </c>
      <c r="AV252">
        <f t="shared" si="111"/>
        <v>1.1726463860028513</v>
      </c>
      <c r="AW252">
        <f t="shared" si="119"/>
        <v>1.1726463860028513</v>
      </c>
      <c r="AY252" s="4">
        <f t="shared" si="91"/>
        <v>111.50831329385119</v>
      </c>
      <c r="AZ252">
        <f t="shared" si="112"/>
        <v>0.26832514029959675</v>
      </c>
    </row>
    <row r="253" spans="1:52" x14ac:dyDescent="0.35">
      <c r="A253" s="2">
        <v>44136</v>
      </c>
      <c r="B253">
        <v>116.7689</v>
      </c>
      <c r="C253">
        <v>4.4952020743065008E-2</v>
      </c>
      <c r="D253">
        <f t="shared" si="120"/>
        <v>5.2489980149448838</v>
      </c>
      <c r="E253">
        <f t="shared" si="100"/>
        <v>3.0882628179548455</v>
      </c>
      <c r="F253">
        <f t="shared" si="92"/>
        <v>2.3671083891164901</v>
      </c>
      <c r="G253">
        <f t="shared" si="113"/>
        <v>2.1484234895632115</v>
      </c>
      <c r="I253">
        <v>111.1591</v>
      </c>
      <c r="J253">
        <v>7.3260274618774615E-2</v>
      </c>
      <c r="K253">
        <f t="shared" si="93"/>
        <v>8.1435461923758297</v>
      </c>
      <c r="L253">
        <f t="shared" si="101"/>
        <v>9.7409181151973065</v>
      </c>
      <c r="M253">
        <f t="shared" si="94"/>
        <v>4.2855469081259709</v>
      </c>
      <c r="N253">
        <f t="shared" si="114"/>
        <v>2.4153379758012137</v>
      </c>
      <c r="P253">
        <v>105.50230000000001</v>
      </c>
      <c r="Q253">
        <v>0.11025219037087246</v>
      </c>
      <c r="R253">
        <f t="shared" si="95"/>
        <v>11.631859664164898</v>
      </c>
      <c r="S253">
        <f t="shared" si="102"/>
        <v>1.6645643599752846</v>
      </c>
      <c r="T253">
        <f t="shared" si="103"/>
        <v>3.790806847096051</v>
      </c>
      <c r="U253">
        <f t="shared" si="115"/>
        <v>1.4823839497523528</v>
      </c>
      <c r="W253">
        <v>101.1906</v>
      </c>
      <c r="X253">
        <v>5.9495095293120297E-2</v>
      </c>
      <c r="Y253">
        <f t="shared" si="96"/>
        <v>6.0203443897680193</v>
      </c>
      <c r="Z253">
        <f t="shared" si="104"/>
        <v>8.4933293991913175</v>
      </c>
      <c r="AA253">
        <f t="shared" si="105"/>
        <v>3.0379581921199819</v>
      </c>
      <c r="AB253">
        <f t="shared" si="116"/>
        <v>2.4630831949845713</v>
      </c>
      <c r="AD253">
        <v>110.2328</v>
      </c>
      <c r="AE253">
        <v>0.12945479001253871</v>
      </c>
      <c r="AF253">
        <f t="shared" si="97"/>
        <v>14.270163976494176</v>
      </c>
      <c r="AG253">
        <f t="shared" si="106"/>
        <v>4.972921807015851</v>
      </c>
      <c r="AH253">
        <f t="shared" si="107"/>
        <v>0.48244940005548465</v>
      </c>
      <c r="AI253">
        <f t="shared" si="117"/>
        <v>0.48244940005548465</v>
      </c>
      <c r="AK253">
        <v>94.355230000000006</v>
      </c>
      <c r="AL253">
        <v>7.195777359135698E-2</v>
      </c>
      <c r="AM253">
        <f t="shared" si="98"/>
        <v>6.7895922775004145</v>
      </c>
      <c r="AN253">
        <f t="shared" si="108"/>
        <v>6.3409504246471071</v>
      </c>
      <c r="AO253">
        <f t="shared" si="109"/>
        <v>0.88557921757577152</v>
      </c>
      <c r="AP253">
        <f t="shared" si="118"/>
        <v>0.61725407727617476</v>
      </c>
      <c r="AR253">
        <v>128.24799999999999</v>
      </c>
      <c r="AS253">
        <v>0.51062785537027189</v>
      </c>
      <c r="AT253">
        <f t="shared" si="99"/>
        <v>65.487001195526631</v>
      </c>
      <c r="AU253">
        <f t="shared" si="110"/>
        <v>5.5790225000020399</v>
      </c>
      <c r="AV253">
        <f t="shared" si="111"/>
        <v>0.12365129293070432</v>
      </c>
      <c r="AW253">
        <f t="shared" si="119"/>
        <v>0.12365129293070432</v>
      </c>
      <c r="AY253" s="4">
        <f t="shared" si="91"/>
        <v>117.59150571077485</v>
      </c>
      <c r="AZ253">
        <f t="shared" si="112"/>
        <v>5.4553712070713356</v>
      </c>
    </row>
    <row r="254" spans="1:52" x14ac:dyDescent="0.35">
      <c r="A254" s="2">
        <v>44166</v>
      </c>
      <c r="B254">
        <v>122.2525</v>
      </c>
      <c r="C254">
        <v>4.4952020743065008E-2</v>
      </c>
      <c r="D254">
        <f t="shared" si="120"/>
        <v>5.4954969158915548</v>
      </c>
      <c r="E254">
        <f t="shared" si="100"/>
        <v>4.6961134343134203</v>
      </c>
      <c r="F254">
        <f t="shared" si="92"/>
        <v>7.3924137996828065E-2</v>
      </c>
      <c r="G254">
        <f t="shared" si="113"/>
        <v>2.2931842511196621</v>
      </c>
      <c r="I254">
        <v>115.7445</v>
      </c>
      <c r="J254">
        <v>7.3260274618774615E-2</v>
      </c>
      <c r="K254">
        <f t="shared" si="93"/>
        <v>8.479473855612758</v>
      </c>
      <c r="L254">
        <f t="shared" si="101"/>
        <v>4.1250783786482614</v>
      </c>
      <c r="M254">
        <f t="shared" si="94"/>
        <v>0.64495919366198695</v>
      </c>
      <c r="N254">
        <f t="shared" si="114"/>
        <v>3.640587714463984</v>
      </c>
      <c r="P254">
        <v>110.64</v>
      </c>
      <c r="Q254">
        <v>0.11025219037087246</v>
      </c>
      <c r="R254">
        <f t="shared" si="95"/>
        <v>12.198302342633328</v>
      </c>
      <c r="S254">
        <f t="shared" si="102"/>
        <v>4.8697516547032471</v>
      </c>
      <c r="T254">
        <f t="shared" si="103"/>
        <v>9.9714082392998726E-2</v>
      </c>
      <c r="U254">
        <f t="shared" si="115"/>
        <v>3.6910927647030523</v>
      </c>
      <c r="W254">
        <v>106.22410000000001</v>
      </c>
      <c r="X254">
        <v>5.9495095293120297E-2</v>
      </c>
      <c r="Y254">
        <f t="shared" si="96"/>
        <v>6.3198129519259405</v>
      </c>
      <c r="Z254">
        <f t="shared" si="104"/>
        <v>4.9742762667678742</v>
      </c>
      <c r="AA254">
        <f t="shared" si="105"/>
        <v>0.20423869445762577</v>
      </c>
      <c r="AB254">
        <f t="shared" si="116"/>
        <v>0.27821070559785888</v>
      </c>
      <c r="AD254">
        <v>114.8566</v>
      </c>
      <c r="AE254">
        <v>0.12945479001253871</v>
      </c>
      <c r="AF254">
        <f t="shared" si="97"/>
        <v>14.868737034554153</v>
      </c>
      <c r="AG254">
        <f t="shared" si="106"/>
        <v>4.1945772945983339</v>
      </c>
      <c r="AH254">
        <f t="shared" si="107"/>
        <v>0.57546027771191444</v>
      </c>
      <c r="AI254">
        <f t="shared" si="117"/>
        <v>0.57546027771191444</v>
      </c>
      <c r="AK254">
        <v>98.826639999999998</v>
      </c>
      <c r="AL254">
        <v>7.195777359135698E-2</v>
      </c>
      <c r="AM254">
        <f t="shared" si="98"/>
        <v>7.1113449859145428</v>
      </c>
      <c r="AN254">
        <f t="shared" si="108"/>
        <v>4.7389106041074713</v>
      </c>
      <c r="AO254">
        <f t="shared" si="109"/>
        <v>3.112696820277705E-2</v>
      </c>
      <c r="AP254">
        <f t="shared" si="118"/>
        <v>5.4242442388685586</v>
      </c>
      <c r="AR254">
        <v>134.5941</v>
      </c>
      <c r="AS254">
        <v>0.51062785537027189</v>
      </c>
      <c r="AT254">
        <f t="shared" si="99"/>
        <v>68.727496628491906</v>
      </c>
      <c r="AU254">
        <f t="shared" si="110"/>
        <v>4.9483032873806954</v>
      </c>
      <c r="AV254">
        <f t="shared" si="111"/>
        <v>0.17826571507044697</v>
      </c>
      <c r="AW254">
        <f t="shared" si="119"/>
        <v>0.17826571507044697</v>
      </c>
      <c r="AY254" s="4">
        <f t="shared" si="91"/>
        <v>123.20066471502417</v>
      </c>
      <c r="AZ254">
        <f t="shared" si="112"/>
        <v>4.7700375723102484</v>
      </c>
    </row>
    <row r="255" spans="1:52" x14ac:dyDescent="0.35">
      <c r="A255" s="2">
        <v>44197</v>
      </c>
      <c r="B255">
        <v>124.21810000000001</v>
      </c>
      <c r="C255">
        <v>4.4842533928243368E-2</v>
      </c>
      <c r="D255">
        <f t="shared" si="120"/>
        <v>5.5702543637519275</v>
      </c>
      <c r="E255">
        <f t="shared" si="100"/>
        <v>1.6078198809840405</v>
      </c>
      <c r="F255">
        <f t="shared" si="92"/>
        <v>1.2578865095324021</v>
      </c>
      <c r="G255">
        <f t="shared" si="113"/>
        <v>1.183962371535574</v>
      </c>
      <c r="I255">
        <v>116.961</v>
      </c>
      <c r="J255">
        <v>7.3878864969944419E-2</v>
      </c>
      <c r="K255">
        <f t="shared" si="93"/>
        <v>8.6409459257496692</v>
      </c>
      <c r="L255">
        <f t="shared" si="101"/>
        <v>1.0510218628098977</v>
      </c>
      <c r="M255">
        <f t="shared" si="94"/>
        <v>1.8146845277065449</v>
      </c>
      <c r="N255">
        <f t="shared" si="114"/>
        <v>1.1697253340445579</v>
      </c>
      <c r="P255">
        <v>114.4572</v>
      </c>
      <c r="Q255">
        <v>0.10776580900929604</v>
      </c>
      <c r="R255">
        <f t="shared" si="95"/>
        <v>12.334572754938799</v>
      </c>
      <c r="S255">
        <f t="shared" si="102"/>
        <v>3.4501084598698384</v>
      </c>
      <c r="T255">
        <f t="shared" si="103"/>
        <v>0.58440206935339578</v>
      </c>
      <c r="U255">
        <f t="shared" si="115"/>
        <v>0.48468798696039705</v>
      </c>
      <c r="W255">
        <v>107.783</v>
      </c>
      <c r="X255">
        <v>6.1056393881774085E-2</v>
      </c>
      <c r="Y255">
        <f t="shared" si="96"/>
        <v>6.5808413017592562</v>
      </c>
      <c r="Z255">
        <f t="shared" si="104"/>
        <v>1.4675577387805561</v>
      </c>
      <c r="AA255">
        <f t="shared" si="105"/>
        <v>1.3981486517358865</v>
      </c>
      <c r="AB255">
        <f t="shared" si="116"/>
        <v>0.8226883740239721</v>
      </c>
      <c r="AD255">
        <v>118.6747</v>
      </c>
      <c r="AE255">
        <v>0.12579390837866333</v>
      </c>
      <c r="AF255">
        <f t="shared" si="97"/>
        <v>14.928554338665357</v>
      </c>
      <c r="AG255">
        <f t="shared" si="106"/>
        <v>3.3242321294553401</v>
      </c>
      <c r="AH255">
        <f t="shared" si="107"/>
        <v>0.45852573893889748</v>
      </c>
      <c r="AI255">
        <f t="shared" si="117"/>
        <v>0.45852573893889748</v>
      </c>
      <c r="AK255">
        <v>101.40089999999999</v>
      </c>
      <c r="AL255">
        <v>7.4092344223107481E-2</v>
      </c>
      <c r="AM255">
        <f t="shared" si="98"/>
        <v>7.5130303873328987</v>
      </c>
      <c r="AN255">
        <f t="shared" si="108"/>
        <v>2.6048239624457459</v>
      </c>
      <c r="AO255">
        <f t="shared" si="109"/>
        <v>0.26088242807069673</v>
      </c>
      <c r="AP255">
        <f t="shared" si="118"/>
        <v>4.5091551442395517</v>
      </c>
      <c r="AR255">
        <v>138.8357</v>
      </c>
      <c r="AS255">
        <v>0.51257014560897129</v>
      </c>
      <c r="AT255">
        <f t="shared" si="99"/>
        <v>71.163034964723451</v>
      </c>
      <c r="AU255">
        <f t="shared" si="110"/>
        <v>3.1514011386829077</v>
      </c>
      <c r="AV255">
        <f t="shared" si="111"/>
        <v>0.28569474816646512</v>
      </c>
      <c r="AW255">
        <f t="shared" si="119"/>
        <v>0.28569474816646512</v>
      </c>
      <c r="AY255" s="4">
        <f t="shared" si="91"/>
        <v>126.73123403692136</v>
      </c>
      <c r="AZ255">
        <f t="shared" si="112"/>
        <v>2.8657063905164426</v>
      </c>
    </row>
    <row r="256" spans="1:52" x14ac:dyDescent="0.35">
      <c r="A256" s="2">
        <v>44228</v>
      </c>
      <c r="B256">
        <v>127.34829999999999</v>
      </c>
      <c r="C256">
        <v>4.4842533928243368E-2</v>
      </c>
      <c r="D256">
        <f t="shared" si="120"/>
        <v>5.7106204634541147</v>
      </c>
      <c r="E256">
        <f t="shared" si="100"/>
        <v>2.5199226199724478</v>
      </c>
      <c r="F256">
        <f t="shared" si="92"/>
        <v>0.17868079662366476</v>
      </c>
      <c r="G256">
        <f t="shared" si="113"/>
        <v>1.0792057129087373</v>
      </c>
      <c r="I256">
        <v>119.2072</v>
      </c>
      <c r="J256">
        <v>7.3878864969944419E-2</v>
      </c>
      <c r="K256">
        <f t="shared" si="93"/>
        <v>8.8068926322451588</v>
      </c>
      <c r="L256">
        <f t="shared" si="101"/>
        <v>1.9204692162344772</v>
      </c>
      <c r="M256">
        <f t="shared" si="94"/>
        <v>0.42077260711430586</v>
      </c>
      <c r="N256">
        <f t="shared" si="114"/>
        <v>1.393911920592239</v>
      </c>
      <c r="P256">
        <v>116.173</v>
      </c>
      <c r="Q256">
        <v>0.10776580900929604</v>
      </c>
      <c r="R256">
        <f t="shared" si="95"/>
        <v>12.519477330036949</v>
      </c>
      <c r="S256">
        <f t="shared" si="102"/>
        <v>1.4990756370066638</v>
      </c>
      <c r="T256">
        <f t="shared" si="103"/>
        <v>0.84216618634211926</v>
      </c>
      <c r="U256">
        <f t="shared" si="115"/>
        <v>0.25776411698872348</v>
      </c>
      <c r="W256">
        <v>111.1628</v>
      </c>
      <c r="X256">
        <v>6.1056393881774085E-2</v>
      </c>
      <c r="Y256">
        <f t="shared" si="96"/>
        <v>6.7871997018008763</v>
      </c>
      <c r="Z256">
        <f t="shared" si="104"/>
        <v>3.1357449690581962</v>
      </c>
      <c r="AA256">
        <f t="shared" si="105"/>
        <v>0.79450314570941316</v>
      </c>
      <c r="AB256">
        <f t="shared" si="116"/>
        <v>0.33597740677051569</v>
      </c>
      <c r="AD256">
        <v>123.35080000000001</v>
      </c>
      <c r="AE256">
        <v>0.12579390837866333</v>
      </c>
      <c r="AF256">
        <f t="shared" si="97"/>
        <v>15.516779233634827</v>
      </c>
      <c r="AG256">
        <f t="shared" si="106"/>
        <v>3.9402669650734357</v>
      </c>
      <c r="AH256">
        <f t="shared" si="107"/>
        <v>1.5990251417246526</v>
      </c>
      <c r="AI256">
        <f t="shared" si="117"/>
        <v>1.5990251417246526</v>
      </c>
      <c r="AK256">
        <v>99.829859999999996</v>
      </c>
      <c r="AL256">
        <v>7.4092344223107481E-2</v>
      </c>
      <c r="AM256">
        <f t="shared" si="98"/>
        <v>7.3966283508646287</v>
      </c>
      <c r="AN256">
        <f t="shared" si="108"/>
        <v>-1.5493353609287497</v>
      </c>
      <c r="AO256">
        <f t="shared" si="109"/>
        <v>3.8905771842775327</v>
      </c>
      <c r="AP256">
        <f t="shared" si="118"/>
        <v>1.0248707937610901</v>
      </c>
      <c r="AR256">
        <v>142.34289999999999</v>
      </c>
      <c r="AS256">
        <v>0.51257014560897129</v>
      </c>
      <c r="AT256">
        <f t="shared" si="99"/>
        <v>72.960720979403234</v>
      </c>
      <c r="AU256">
        <f t="shared" si="110"/>
        <v>2.5261514149458542</v>
      </c>
      <c r="AV256">
        <f t="shared" si="111"/>
        <v>0.1849095915970711</v>
      </c>
      <c r="AW256">
        <f t="shared" si="119"/>
        <v>0.1849095915970711</v>
      </c>
      <c r="AY256" s="4">
        <f t="shared" si="91"/>
        <v>129.69831869143979</v>
      </c>
      <c r="AZ256">
        <f t="shared" si="112"/>
        <v>2.3412418233487831</v>
      </c>
    </row>
    <row r="257" spans="1:52" x14ac:dyDescent="0.35">
      <c r="A257" s="2">
        <v>44256</v>
      </c>
      <c r="B257">
        <v>130.12049999999999</v>
      </c>
      <c r="C257">
        <v>4.4842533928243368E-2</v>
      </c>
      <c r="D257">
        <f t="shared" si="120"/>
        <v>5.8349329360099906</v>
      </c>
      <c r="E257">
        <f t="shared" si="100"/>
        <v>2.1768645517843632</v>
      </c>
      <c r="F257">
        <f t="shared" si="92"/>
        <v>5.2151125792931907E-3</v>
      </c>
      <c r="G257">
        <f t="shared" si="113"/>
        <v>0.17346568404437157</v>
      </c>
      <c r="I257">
        <v>124.08969999999999</v>
      </c>
      <c r="J257">
        <v>7.3878864969944419E-2</v>
      </c>
      <c r="K257">
        <f t="shared" si="93"/>
        <v>9.1676061904609121</v>
      </c>
      <c r="L257">
        <f t="shared" si="101"/>
        <v>4.0958096490815832</v>
      </c>
      <c r="M257">
        <f t="shared" si="94"/>
        <v>1.9137299847179268</v>
      </c>
      <c r="N257">
        <f t="shared" si="114"/>
        <v>1.4929573776036209</v>
      </c>
      <c r="P257">
        <v>119.032</v>
      </c>
      <c r="Q257">
        <v>0.10776580900929604</v>
      </c>
      <c r="R257">
        <f t="shared" si="95"/>
        <v>12.827579777994526</v>
      </c>
      <c r="S257">
        <f t="shared" si="102"/>
        <v>2.4609849104352932</v>
      </c>
      <c r="T257">
        <f t="shared" si="103"/>
        <v>0.2789052460716368</v>
      </c>
      <c r="U257">
        <f t="shared" si="115"/>
        <v>0.56326094027048246</v>
      </c>
      <c r="W257">
        <v>115.5682</v>
      </c>
      <c r="X257">
        <v>6.1056393881774085E-2</v>
      </c>
      <c r="Y257">
        <f t="shared" si="96"/>
        <v>7.0561775394076438</v>
      </c>
      <c r="Z257">
        <f t="shared" si="104"/>
        <v>3.9630164047685046</v>
      </c>
      <c r="AA257">
        <f t="shared" si="105"/>
        <v>1.7809367404048482</v>
      </c>
      <c r="AB257">
        <f t="shared" si="116"/>
        <v>0.18191159868019557</v>
      </c>
      <c r="AD257">
        <v>125.56059999999999</v>
      </c>
      <c r="AE257">
        <v>0.12579390837866333</v>
      </c>
      <c r="AF257">
        <f t="shared" si="97"/>
        <v>15.794758612369995</v>
      </c>
      <c r="AG257">
        <f t="shared" si="106"/>
        <v>1.791476017990945</v>
      </c>
      <c r="AH257">
        <f t="shared" si="107"/>
        <v>0.39060364637271139</v>
      </c>
      <c r="AI257">
        <f t="shared" si="117"/>
        <v>0.39060364637271139</v>
      </c>
      <c r="AK257">
        <v>101.8014</v>
      </c>
      <c r="AL257">
        <v>7.4092344223107481E-2</v>
      </c>
      <c r="AM257">
        <f t="shared" si="98"/>
        <v>7.5427043711942536</v>
      </c>
      <c r="AN257">
        <f t="shared" si="108"/>
        <v>1.9749000950216811</v>
      </c>
      <c r="AO257">
        <f t="shared" si="109"/>
        <v>0.20717956934197534</v>
      </c>
      <c r="AP257">
        <f t="shared" si="118"/>
        <v>2.1340622540068077</v>
      </c>
      <c r="AR257">
        <v>144.9649</v>
      </c>
      <c r="AS257">
        <v>0.51257014560897129</v>
      </c>
      <c r="AT257">
        <f t="shared" si="99"/>
        <v>74.304679901189957</v>
      </c>
      <c r="AU257">
        <f t="shared" si="110"/>
        <v>1.8420307581200168</v>
      </c>
      <c r="AV257">
        <f t="shared" si="111"/>
        <v>0.34004890624363959</v>
      </c>
      <c r="AW257">
        <f t="shared" si="119"/>
        <v>0.34004890624363959</v>
      </c>
      <c r="AY257" s="4">
        <f t="shared" si="91"/>
        <v>132.52843932862726</v>
      </c>
      <c r="AZ257">
        <f t="shared" si="112"/>
        <v>2.1820796643636564</v>
      </c>
    </row>
    <row r="258" spans="1:52" x14ac:dyDescent="0.35">
      <c r="A258" s="2">
        <v>44287</v>
      </c>
      <c r="B258">
        <v>133.62610000000001</v>
      </c>
      <c r="C258">
        <v>4.4842533928243368E-2</v>
      </c>
      <c r="D258">
        <f t="shared" si="120"/>
        <v>5.9921329229488416</v>
      </c>
      <c r="E258">
        <f t="shared" si="100"/>
        <v>2.6941181443354445</v>
      </c>
      <c r="F258">
        <f t="shared" si="92"/>
        <v>0.4440268265794467</v>
      </c>
      <c r="G258">
        <f t="shared" si="113"/>
        <v>0.43881171400015351</v>
      </c>
      <c r="I258">
        <v>129.03200000000001</v>
      </c>
      <c r="J258">
        <v>7.3878864969944419E-2</v>
      </c>
      <c r="K258">
        <f t="shared" si="93"/>
        <v>9.5327377048018693</v>
      </c>
      <c r="L258">
        <f t="shared" si="101"/>
        <v>3.9828446680103324</v>
      </c>
      <c r="M258">
        <f t="shared" si="94"/>
        <v>0.84469969709544124</v>
      </c>
      <c r="N258">
        <f t="shared" si="114"/>
        <v>1.0690302876224855</v>
      </c>
      <c r="P258">
        <v>124.11</v>
      </c>
      <c r="Q258">
        <v>0.10776580900929604</v>
      </c>
      <c r="R258">
        <f t="shared" si="95"/>
        <v>13.374814556143731</v>
      </c>
      <c r="S258">
        <f t="shared" si="102"/>
        <v>4.2660797096579106</v>
      </c>
      <c r="T258">
        <f t="shared" si="103"/>
        <v>1.1279347387430194</v>
      </c>
      <c r="U258">
        <f t="shared" si="115"/>
        <v>0.84902949267138261</v>
      </c>
      <c r="W258">
        <v>119.0042</v>
      </c>
      <c r="X258">
        <v>6.1056393881774085E-2</v>
      </c>
      <c r="Y258">
        <f t="shared" si="96"/>
        <v>7.2659673087854193</v>
      </c>
      <c r="Z258">
        <f t="shared" si="104"/>
        <v>2.9731362087494606</v>
      </c>
      <c r="AA258">
        <f t="shared" si="105"/>
        <v>0.16500876216543059</v>
      </c>
      <c r="AB258">
        <f t="shared" si="116"/>
        <v>0.2255948842072808</v>
      </c>
      <c r="AD258">
        <v>125.05</v>
      </c>
      <c r="AE258">
        <v>0.12579390837866333</v>
      </c>
      <c r="AF258">
        <f t="shared" si="97"/>
        <v>15.73052824275185</v>
      </c>
      <c r="AG258">
        <f t="shared" si="106"/>
        <v>-0.40665622814799463</v>
      </c>
      <c r="AH258">
        <f t="shared" si="107"/>
        <v>3.5448011990628858</v>
      </c>
      <c r="AI258">
        <f t="shared" si="117"/>
        <v>3.5448011990628858</v>
      </c>
      <c r="AK258">
        <v>104.7217</v>
      </c>
      <c r="AL258">
        <v>7.4092344223107481E-2</v>
      </c>
      <c r="AM258">
        <f t="shared" si="98"/>
        <v>7.7590762440289947</v>
      </c>
      <c r="AN258">
        <f t="shared" si="108"/>
        <v>2.8686245965183099</v>
      </c>
      <c r="AO258">
        <f t="shared" si="109"/>
        <v>0.26952037439658127</v>
      </c>
      <c r="AP258">
        <f t="shared" si="118"/>
        <v>1.9125592899670751</v>
      </c>
      <c r="AR258">
        <v>150.286</v>
      </c>
      <c r="AS258">
        <v>0.51257014560897129</v>
      </c>
      <c r="AT258">
        <f t="shared" si="99"/>
        <v>77.032116902989856</v>
      </c>
      <c r="AU258">
        <f t="shared" si="110"/>
        <v>3.6706126793451421</v>
      </c>
      <c r="AV258">
        <f t="shared" si="111"/>
        <v>0.53246770843025093</v>
      </c>
      <c r="AW258">
        <f t="shared" si="119"/>
        <v>0.53246770843025093</v>
      </c>
      <c r="AY258" s="4">
        <f t="shared" si="91"/>
        <v>136.68737388245057</v>
      </c>
      <c r="AZ258">
        <f t="shared" si="112"/>
        <v>3.1381449709148912</v>
      </c>
    </row>
    <row r="259" spans="1:52" x14ac:dyDescent="0.35">
      <c r="A259" s="2">
        <v>44317</v>
      </c>
      <c r="B259">
        <v>135.6217</v>
      </c>
      <c r="C259">
        <v>4.4842533928243368E-2</v>
      </c>
      <c r="D259">
        <f t="shared" si="120"/>
        <v>6.0816206836560438</v>
      </c>
      <c r="E259">
        <f t="shared" si="100"/>
        <v>1.4934208212317834</v>
      </c>
      <c r="F259">
        <f t="shared" si="92"/>
        <v>0.23451466069981386</v>
      </c>
      <c r="G259">
        <f t="shared" si="113"/>
        <v>0.20951216587963284</v>
      </c>
      <c r="I259">
        <v>131.5994</v>
      </c>
      <c r="J259">
        <v>7.3878864969944419E-2</v>
      </c>
      <c r="K259">
        <f t="shared" si="93"/>
        <v>9.7224143027257046</v>
      </c>
      <c r="L259">
        <f t="shared" si="101"/>
        <v>1.9897389794779619</v>
      </c>
      <c r="M259">
        <f t="shared" si="94"/>
        <v>0.73083281894599228</v>
      </c>
      <c r="N259">
        <f t="shared" si="114"/>
        <v>0.11386687814944896</v>
      </c>
      <c r="P259">
        <v>122.9012</v>
      </c>
      <c r="Q259">
        <v>0.10776580900929604</v>
      </c>
      <c r="R259">
        <f t="shared" si="95"/>
        <v>13.244547246213294</v>
      </c>
      <c r="S259">
        <f t="shared" si="102"/>
        <v>-0.97397469986302276</v>
      </c>
      <c r="T259">
        <f t="shared" si="103"/>
        <v>2.2328808603949923</v>
      </c>
      <c r="U259">
        <f t="shared" si="115"/>
        <v>1.1049461216519729</v>
      </c>
      <c r="W259">
        <v>119.9991</v>
      </c>
      <c r="X259">
        <v>6.1056393881774085E-2</v>
      </c>
      <c r="Y259">
        <f t="shared" si="96"/>
        <v>7.3267123150583968</v>
      </c>
      <c r="Z259">
        <f t="shared" si="104"/>
        <v>0.83602091354759711</v>
      </c>
      <c r="AA259">
        <f t="shared" si="105"/>
        <v>0.42288524698437246</v>
      </c>
      <c r="AB259">
        <f t="shared" si="116"/>
        <v>3.1219159520785134</v>
      </c>
      <c r="AD259">
        <v>122.9105</v>
      </c>
      <c r="AE259">
        <v>0.12579390837866333</v>
      </c>
      <c r="AF259">
        <f t="shared" si="97"/>
        <v>15.4613921757757</v>
      </c>
      <c r="AG259">
        <f t="shared" si="106"/>
        <v>-1.7109156337465015</v>
      </c>
      <c r="AH259">
        <f t="shared" si="107"/>
        <v>2.969821794278471</v>
      </c>
      <c r="AI259">
        <f t="shared" si="117"/>
        <v>2.969821794278471</v>
      </c>
      <c r="AK259">
        <v>106.4692</v>
      </c>
      <c r="AL259">
        <v>7.4092344223107481E-2</v>
      </c>
      <c r="AM259">
        <f t="shared" si="98"/>
        <v>7.8885526155588748</v>
      </c>
      <c r="AN259">
        <f t="shared" si="108"/>
        <v>1.6687085866635032</v>
      </c>
      <c r="AO259">
        <f t="shared" si="109"/>
        <v>0.40980242613153361</v>
      </c>
      <c r="AP259">
        <f t="shared" si="118"/>
        <v>2.7283425447833576</v>
      </c>
      <c r="AR259">
        <v>153.50659999999999</v>
      </c>
      <c r="AS259">
        <v>0.51257014560897129</v>
      </c>
      <c r="AT259">
        <f t="shared" si="99"/>
        <v>78.682900313938106</v>
      </c>
      <c r="AU259">
        <f t="shared" si="110"/>
        <v>2.1429807167666848</v>
      </c>
      <c r="AV259">
        <f t="shared" si="111"/>
        <v>0.8840745562347152</v>
      </c>
      <c r="AW259">
        <f t="shared" si="119"/>
        <v>0.8840745562347152</v>
      </c>
      <c r="AY259" s="4">
        <f t="shared" ref="AY259:AY302" si="121">AT259+AM259+AF259+Y259+R259+K259+D259</f>
        <v>138.40813965292611</v>
      </c>
      <c r="AZ259">
        <f t="shared" si="112"/>
        <v>1.2589061605319696</v>
      </c>
    </row>
    <row r="260" spans="1:52" x14ac:dyDescent="0.35">
      <c r="A260" s="2">
        <v>44348</v>
      </c>
      <c r="B260">
        <v>140.24639999999999</v>
      </c>
      <c r="C260">
        <v>4.4842533928243368E-2</v>
      </c>
      <c r="D260">
        <f t="shared" si="120"/>
        <v>6.2890039503139903</v>
      </c>
      <c r="E260">
        <f t="shared" si="100"/>
        <v>3.4100000221203519</v>
      </c>
      <c r="F260">
        <f t="shared" ref="F260:F302" si="122">ABS(E260-$AZ260)</f>
        <v>1.6525266349957102</v>
      </c>
      <c r="G260">
        <f t="shared" si="113"/>
        <v>1.4180119742958963</v>
      </c>
      <c r="I260">
        <v>135.7465</v>
      </c>
      <c r="J260">
        <v>7.3878864969944419E-2</v>
      </c>
      <c r="K260">
        <f t="shared" ref="K260:K302" si="123">I260*J260</f>
        <v>10.028797343642561</v>
      </c>
      <c r="L260">
        <f t="shared" si="101"/>
        <v>3.1513061609703241</v>
      </c>
      <c r="M260">
        <f t="shared" ref="M260:M302" si="124">ABS(L260-$AZ260)</f>
        <v>1.3938327738456824</v>
      </c>
      <c r="N260">
        <f t="shared" si="114"/>
        <v>0.6629999548996901</v>
      </c>
      <c r="P260">
        <v>125.77760000000001</v>
      </c>
      <c r="Q260">
        <v>0.10776580900929604</v>
      </c>
      <c r="R260">
        <f t="shared" ref="R260:R302" si="125">P260*Q260</f>
        <v>13.554524819247634</v>
      </c>
      <c r="S260">
        <f t="shared" si="102"/>
        <v>2.3404165297002733</v>
      </c>
      <c r="T260">
        <f t="shared" si="103"/>
        <v>0.58294314257563151</v>
      </c>
      <c r="U260">
        <f t="shared" si="115"/>
        <v>1.6499377178193608</v>
      </c>
      <c r="W260">
        <v>124.3777</v>
      </c>
      <c r="X260">
        <v>6.1056393881774085E-2</v>
      </c>
      <c r="Y260">
        <f t="shared" ref="Y260:Y302" si="126">W260*X260</f>
        <v>7.5940538413091332</v>
      </c>
      <c r="Z260">
        <f t="shared" si="104"/>
        <v>3.6488606997885809</v>
      </c>
      <c r="AA260">
        <f t="shared" si="105"/>
        <v>1.8913873126639391</v>
      </c>
      <c r="AB260">
        <f t="shared" si="116"/>
        <v>1.0784344816145319</v>
      </c>
      <c r="AD260">
        <v>125.9228</v>
      </c>
      <c r="AE260">
        <v>0.12579390837866333</v>
      </c>
      <c r="AF260">
        <f t="shared" ref="AF260:AF302" si="127">AD260*AE260</f>
        <v>15.840321165984747</v>
      </c>
      <c r="AG260">
        <f t="shared" si="106"/>
        <v>2.4508077015389151</v>
      </c>
      <c r="AH260">
        <f t="shared" si="107"/>
        <v>0.6933343144142734</v>
      </c>
      <c r="AI260">
        <f t="shared" si="117"/>
        <v>0.6933343144142734</v>
      </c>
      <c r="AK260">
        <v>107.62130000000001</v>
      </c>
      <c r="AL260">
        <v>7.4092344223107481E-2</v>
      </c>
      <c r="AM260">
        <f t="shared" ref="AM260:AM302" si="128">AK260*AL260</f>
        <v>7.9739144053383173</v>
      </c>
      <c r="AN260">
        <f t="shared" si="108"/>
        <v>1.0820969820380055</v>
      </c>
      <c r="AO260">
        <f t="shared" si="109"/>
        <v>0.67537640508663621</v>
      </c>
      <c r="AP260">
        <f t="shared" si="118"/>
        <v>0.58352975544533336</v>
      </c>
      <c r="AR260">
        <v>155.21780000000001</v>
      </c>
      <c r="AS260">
        <v>0.51257014560897129</v>
      </c>
      <c r="AT260">
        <f t="shared" ref="AT260:AT302" si="129">AR260*AS260</f>
        <v>79.560010347104196</v>
      </c>
      <c r="AU260">
        <f t="shared" si="110"/>
        <v>1.1147403434119463</v>
      </c>
      <c r="AV260">
        <f t="shared" si="111"/>
        <v>0.64273304371269546</v>
      </c>
      <c r="AW260">
        <f t="shared" si="119"/>
        <v>0.64273304371269546</v>
      </c>
      <c r="AY260" s="4">
        <f t="shared" si="121"/>
        <v>140.84062587294059</v>
      </c>
      <c r="AZ260">
        <f t="shared" si="112"/>
        <v>1.7574733871246417</v>
      </c>
    </row>
    <row r="261" spans="1:52" x14ac:dyDescent="0.35">
      <c r="A261" s="2">
        <v>44378</v>
      </c>
      <c r="B261">
        <v>140.6317</v>
      </c>
      <c r="C261">
        <v>4.4842533928243368E-2</v>
      </c>
      <c r="D261">
        <f t="shared" si="120"/>
        <v>6.306281778636543</v>
      </c>
      <c r="E261">
        <f t="shared" ref="E261:E302" si="130">((B261/B260)-1)*100</f>
        <v>0.27473075957742399</v>
      </c>
      <c r="F261">
        <f t="shared" si="122"/>
        <v>0.79110027866410304</v>
      </c>
      <c r="G261">
        <f t="shared" si="113"/>
        <v>0.86142635633160713</v>
      </c>
      <c r="I261">
        <v>134.61089999999999</v>
      </c>
      <c r="J261">
        <v>7.3878864969944419E-2</v>
      </c>
      <c r="K261">
        <f t="shared" si="123"/>
        <v>9.9449005045826908</v>
      </c>
      <c r="L261">
        <f t="shared" ref="L261:L302" si="131">((I261/I260)-1)*100</f>
        <v>-0.83655932197147509</v>
      </c>
      <c r="M261">
        <f t="shared" si="124"/>
        <v>0.32018980288479604</v>
      </c>
      <c r="N261">
        <f t="shared" si="114"/>
        <v>1.0736429709608863</v>
      </c>
      <c r="P261">
        <v>125.70440000000001</v>
      </c>
      <c r="Q261">
        <v>0.10776580900929604</v>
      </c>
      <c r="R261">
        <f t="shared" si="125"/>
        <v>13.546636362028154</v>
      </c>
      <c r="S261">
        <f t="shared" ref="S261:S302" si="132">((P261/P260)-1)*100</f>
        <v>-5.8197962117256807E-2</v>
      </c>
      <c r="T261">
        <f t="shared" ref="T261:T302" si="133">ABS(S261-$AZ261)</f>
        <v>0.45817155696942224</v>
      </c>
      <c r="U261">
        <f t="shared" si="115"/>
        <v>0.12477158560620927</v>
      </c>
      <c r="W261">
        <v>121.43210000000001</v>
      </c>
      <c r="X261">
        <v>6.1056393881774085E-2</v>
      </c>
      <c r="Y261">
        <f t="shared" si="126"/>
        <v>7.4142061274909787</v>
      </c>
      <c r="Z261">
        <f t="shared" ref="Z261:Z302" si="134">((W261/W260)-1)*100</f>
        <v>-2.36827019634549</v>
      </c>
      <c r="AA261">
        <f t="shared" ref="AA261:AA302" si="135">ABS(Z261-$AZ261)</f>
        <v>1.8519006772588109</v>
      </c>
      <c r="AB261">
        <f t="shared" si="116"/>
        <v>1.1585663628445375</v>
      </c>
      <c r="AD261">
        <v>124.3719</v>
      </c>
      <c r="AE261">
        <v>0.12579390837866333</v>
      </c>
      <c r="AF261">
        <f t="shared" si="127"/>
        <v>15.645227393480278</v>
      </c>
      <c r="AG261">
        <f t="shared" ref="AG261:AG302" si="136">((AD261/AD260)-1)*100</f>
        <v>-1.2316276321682751</v>
      </c>
      <c r="AH261">
        <f t="shared" ref="AH261:AH302" si="137">ABS(AG261-$AZ261)</f>
        <v>0.71525811308159604</v>
      </c>
      <c r="AI261">
        <f t="shared" si="117"/>
        <v>0.71525811308159604</v>
      </c>
      <c r="AK261">
        <v>106.86660000000001</v>
      </c>
      <c r="AL261">
        <v>7.4092344223107481E-2</v>
      </c>
      <c r="AM261">
        <f t="shared" si="128"/>
        <v>7.9179969131531385</v>
      </c>
      <c r="AN261">
        <f t="shared" ref="AN261:AN302" si="138">((AK261/AK260)-1)*100</f>
        <v>-0.70125523479088736</v>
      </c>
      <c r="AO261">
        <f t="shared" ref="AO261:AO302" si="139">ABS(AN261-$AZ261)</f>
        <v>0.18488571570420831</v>
      </c>
      <c r="AP261">
        <f t="shared" si="118"/>
        <v>1.5725876714204334</v>
      </c>
      <c r="AR261">
        <v>154.78489999999999</v>
      </c>
      <c r="AS261">
        <v>0.51257014560897129</v>
      </c>
      <c r="AT261">
        <f t="shared" si="129"/>
        <v>79.338118731070054</v>
      </c>
      <c r="AU261">
        <f t="shared" ref="AU261:AU302" si="140">((AR261/AR260)-1)*100</f>
        <v>-0.27889842530948172</v>
      </c>
      <c r="AV261">
        <f t="shared" ref="AV261:AV302" si="141">ABS(AU261-$AZ261)</f>
        <v>0.23747109377719733</v>
      </c>
      <c r="AW261">
        <f t="shared" si="119"/>
        <v>0.23747109377719733</v>
      </c>
      <c r="AY261" s="4">
        <f t="shared" si="121"/>
        <v>140.11336781044182</v>
      </c>
      <c r="AZ261">
        <f t="shared" ref="AZ261:AZ302" si="142">((AY261/AY260)-1)*100</f>
        <v>-0.51636951908667905</v>
      </c>
    </row>
    <row r="262" spans="1:52" x14ac:dyDescent="0.35">
      <c r="A262" s="2">
        <v>44409</v>
      </c>
      <c r="B262">
        <v>142.6497</v>
      </c>
      <c r="C262">
        <v>4.4842533928243368E-2</v>
      </c>
      <c r="D262">
        <f t="shared" si="120"/>
        <v>6.3967740121037382</v>
      </c>
      <c r="E262">
        <f t="shared" si="130"/>
        <v>1.4349538546430063</v>
      </c>
      <c r="F262">
        <f t="shared" si="122"/>
        <v>0.10702937436233295</v>
      </c>
      <c r="G262">
        <f t="shared" ref="G262:G302" si="143">ABS(F262-F261)</f>
        <v>0.68407090430177009</v>
      </c>
      <c r="I262">
        <v>139.05170000000001</v>
      </c>
      <c r="J262">
        <v>7.3878864969944419E-2</v>
      </c>
      <c r="K262">
        <f t="shared" si="123"/>
        <v>10.272981768141221</v>
      </c>
      <c r="L262">
        <f t="shared" si="131"/>
        <v>3.2989899034922221</v>
      </c>
      <c r="M262">
        <f t="shared" si="124"/>
        <v>1.9710654232115488</v>
      </c>
      <c r="N262">
        <f t="shared" ref="N262:N302" si="144">ABS(M262-M261)</f>
        <v>1.6508756203267527</v>
      </c>
      <c r="P262">
        <v>127.71510000000001</v>
      </c>
      <c r="Q262">
        <v>0.10776580900929604</v>
      </c>
      <c r="R262">
        <f t="shared" si="125"/>
        <v>13.763321074203146</v>
      </c>
      <c r="S262">
        <f t="shared" si="132"/>
        <v>1.5995462370450131</v>
      </c>
      <c r="T262">
        <f t="shared" si="133"/>
        <v>0.27162175676433975</v>
      </c>
      <c r="U262">
        <f t="shared" ref="U262:U302" si="145">ABS(T262-T261)</f>
        <v>0.18654980020508249</v>
      </c>
      <c r="W262">
        <v>124.29689999999999</v>
      </c>
      <c r="X262">
        <v>6.1056393881774085E-2</v>
      </c>
      <c r="Y262">
        <f t="shared" si="126"/>
        <v>7.5891204846834848</v>
      </c>
      <c r="Z262">
        <f t="shared" si="134"/>
        <v>2.3591785038717061</v>
      </c>
      <c r="AA262">
        <f t="shared" si="135"/>
        <v>1.0312540235910328</v>
      </c>
      <c r="AB262">
        <f t="shared" ref="AB262:AB302" si="146">ABS(AA262-AH261)</f>
        <v>0.31599591050943676</v>
      </c>
      <c r="AD262">
        <v>124.4789</v>
      </c>
      <c r="AE262">
        <v>0.12579390837866333</v>
      </c>
      <c r="AF262">
        <f t="shared" si="127"/>
        <v>15.658687341676794</v>
      </c>
      <c r="AG262">
        <f t="shared" si="136"/>
        <v>8.6032295076288179E-2</v>
      </c>
      <c r="AH262">
        <f t="shared" si="137"/>
        <v>1.2418921852043852</v>
      </c>
      <c r="AI262">
        <f t="shared" ref="AI262:AI302" si="147">ABS(AH262-AQ261)</f>
        <v>1.2418921852043852</v>
      </c>
      <c r="AK262">
        <v>108.2514</v>
      </c>
      <c r="AL262">
        <v>7.4092344223107481E-2</v>
      </c>
      <c r="AM262">
        <f t="shared" si="128"/>
        <v>8.020599991433297</v>
      </c>
      <c r="AN262">
        <f t="shared" si="138"/>
        <v>1.2958211452408941</v>
      </c>
      <c r="AO262">
        <f t="shared" si="139"/>
        <v>3.2103335039779246E-2</v>
      </c>
      <c r="AP262">
        <f t="shared" ref="AP262:AP302" si="148">ABS(AO262-AZ261)</f>
        <v>0.5484728541264583</v>
      </c>
      <c r="AR262">
        <v>156.6078</v>
      </c>
      <c r="AS262">
        <v>0.51257014560897129</v>
      </c>
      <c r="AT262">
        <f t="shared" si="129"/>
        <v>80.272482849500648</v>
      </c>
      <c r="AU262">
        <f t="shared" si="140"/>
        <v>1.177698858221965</v>
      </c>
      <c r="AV262">
        <f t="shared" si="141"/>
        <v>0.15022562205870837</v>
      </c>
      <c r="AW262">
        <f t="shared" ref="AW262:AW302" si="149">ABS(AV262-BG261)</f>
        <v>0.15022562205870837</v>
      </c>
      <c r="AY262" s="4">
        <f t="shared" si="121"/>
        <v>141.97396752174237</v>
      </c>
      <c r="AZ262">
        <f t="shared" si="142"/>
        <v>1.3279244802806733</v>
      </c>
    </row>
    <row r="263" spans="1:52" x14ac:dyDescent="0.35">
      <c r="A263" s="2">
        <v>44440</v>
      </c>
      <c r="B263">
        <v>143.1405</v>
      </c>
      <c r="C263">
        <v>4.4842533928243368E-2</v>
      </c>
      <c r="D263">
        <f t="shared" si="120"/>
        <v>6.4187827277557199</v>
      </c>
      <c r="E263">
        <f t="shared" si="130"/>
        <v>0.34405960895818044</v>
      </c>
      <c r="F263">
        <f t="shared" si="122"/>
        <v>0.40991666634075941</v>
      </c>
      <c r="G263">
        <f t="shared" si="143"/>
        <v>0.30288729197842645</v>
      </c>
      <c r="I263">
        <v>137.2517</v>
      </c>
      <c r="J263">
        <v>7.3878864969944419E-2</v>
      </c>
      <c r="K263">
        <f t="shared" si="123"/>
        <v>10.13999981119532</v>
      </c>
      <c r="L263">
        <f t="shared" si="131"/>
        <v>-1.2944825557688389</v>
      </c>
      <c r="M263">
        <f t="shared" si="124"/>
        <v>1.2286254983862599</v>
      </c>
      <c r="N263">
        <f t="shared" si="144"/>
        <v>0.74243992482528887</v>
      </c>
      <c r="P263">
        <v>125.9049</v>
      </c>
      <c r="Q263">
        <v>0.10776580900929604</v>
      </c>
      <c r="R263">
        <f t="shared" si="125"/>
        <v>13.568243406734517</v>
      </c>
      <c r="S263">
        <f t="shared" si="132"/>
        <v>-1.4173735133903631</v>
      </c>
      <c r="T263">
        <f t="shared" si="133"/>
        <v>1.3515164560077841</v>
      </c>
      <c r="U263">
        <f t="shared" si="145"/>
        <v>1.0798946992434444</v>
      </c>
      <c r="W263">
        <v>123.9819</v>
      </c>
      <c r="X263">
        <v>6.1056393881774085E-2</v>
      </c>
      <c r="Y263">
        <f t="shared" si="126"/>
        <v>7.5698877206107262</v>
      </c>
      <c r="Z263">
        <f t="shared" si="134"/>
        <v>-0.25342546756998985</v>
      </c>
      <c r="AA263">
        <f t="shared" si="135"/>
        <v>0.18756841018741088</v>
      </c>
      <c r="AB263">
        <f t="shared" si="146"/>
        <v>1.0543237750169743</v>
      </c>
      <c r="AD263">
        <v>133.0395</v>
      </c>
      <c r="AE263">
        <v>0.12579390837866333</v>
      </c>
      <c r="AF263">
        <f t="shared" si="127"/>
        <v>16.735558673743181</v>
      </c>
      <c r="AG263">
        <f t="shared" si="136"/>
        <v>6.877149460671661</v>
      </c>
      <c r="AH263">
        <f t="shared" si="137"/>
        <v>6.94300651805424</v>
      </c>
      <c r="AI263">
        <f t="shared" si="147"/>
        <v>6.94300651805424</v>
      </c>
      <c r="AK263">
        <v>107.13120000000001</v>
      </c>
      <c r="AL263">
        <v>7.4092344223107481E-2</v>
      </c>
      <c r="AM263">
        <f t="shared" si="128"/>
        <v>7.9376017474345728</v>
      </c>
      <c r="AN263">
        <f t="shared" si="138"/>
        <v>-1.0348134065702563</v>
      </c>
      <c r="AO263">
        <f t="shared" si="139"/>
        <v>0.96895634918767737</v>
      </c>
      <c r="AP263">
        <f t="shared" si="148"/>
        <v>0.35896813109299597</v>
      </c>
      <c r="AR263">
        <v>155.12100000000001</v>
      </c>
      <c r="AS263">
        <v>0.51257014560897129</v>
      </c>
      <c r="AT263">
        <f t="shared" si="129"/>
        <v>79.510393557009237</v>
      </c>
      <c r="AU263">
        <f t="shared" si="140"/>
        <v>-0.94937800032948161</v>
      </c>
      <c r="AV263">
        <f t="shared" si="141"/>
        <v>0.88352094294690264</v>
      </c>
      <c r="AW263">
        <f t="shared" si="149"/>
        <v>0.88352094294690264</v>
      </c>
      <c r="AY263" s="4">
        <f t="shared" si="121"/>
        <v>141.88046764448325</v>
      </c>
      <c r="AZ263">
        <f t="shared" si="142"/>
        <v>-6.5857057382578965E-2</v>
      </c>
    </row>
    <row r="264" spans="1:52" x14ac:dyDescent="0.35">
      <c r="A264" s="2">
        <v>44470</v>
      </c>
      <c r="B264">
        <v>144.7816</v>
      </c>
      <c r="C264">
        <v>4.4842533928243368E-2</v>
      </c>
      <c r="D264">
        <f t="shared" si="120"/>
        <v>6.4923738101853603</v>
      </c>
      <c r="E264">
        <f t="shared" si="130"/>
        <v>1.1464959253320917</v>
      </c>
      <c r="F264">
        <f t="shared" si="122"/>
        <v>0.9032655290856173</v>
      </c>
      <c r="G264">
        <f t="shared" si="143"/>
        <v>0.4933488627448579</v>
      </c>
      <c r="I264">
        <v>137.38550000000001</v>
      </c>
      <c r="J264">
        <v>7.3878864969944419E-2</v>
      </c>
      <c r="K264">
        <f t="shared" si="123"/>
        <v>10.1498848033283</v>
      </c>
      <c r="L264">
        <f t="shared" si="131"/>
        <v>9.7485131331720432E-2</v>
      </c>
      <c r="M264">
        <f t="shared" si="124"/>
        <v>0.14574526491475392</v>
      </c>
      <c r="N264">
        <f t="shared" si="144"/>
        <v>1.082880233471506</v>
      </c>
      <c r="P264">
        <v>123.8729</v>
      </c>
      <c r="Q264">
        <v>0.10776580900929604</v>
      </c>
      <c r="R264">
        <f t="shared" si="125"/>
        <v>13.349263282827627</v>
      </c>
      <c r="S264">
        <f t="shared" si="132"/>
        <v>-1.6139165354168039</v>
      </c>
      <c r="T264">
        <f t="shared" si="133"/>
        <v>1.8571469316632783</v>
      </c>
      <c r="U264">
        <f t="shared" si="145"/>
        <v>0.50563047565549413</v>
      </c>
      <c r="W264">
        <v>125.1156</v>
      </c>
      <c r="X264">
        <v>6.1056393881774085E-2</v>
      </c>
      <c r="Y264">
        <f t="shared" si="126"/>
        <v>7.6391073543544934</v>
      </c>
      <c r="Z264">
        <f t="shared" si="134"/>
        <v>0.91440766757082681</v>
      </c>
      <c r="AA264">
        <f t="shared" si="135"/>
        <v>0.67117727132435245</v>
      </c>
      <c r="AB264">
        <f t="shared" si="146"/>
        <v>6.2718292467298875</v>
      </c>
      <c r="AD264">
        <v>128.3724</v>
      </c>
      <c r="AE264">
        <v>0.12579390837866333</v>
      </c>
      <c r="AF264">
        <f t="shared" si="127"/>
        <v>16.148465923949122</v>
      </c>
      <c r="AG264">
        <f t="shared" si="136"/>
        <v>-3.5080558781414584</v>
      </c>
      <c r="AH264">
        <f t="shared" si="137"/>
        <v>3.7512862743879327</v>
      </c>
      <c r="AI264">
        <f t="shared" si="147"/>
        <v>3.7512862743879327</v>
      </c>
      <c r="AK264">
        <v>108.6177</v>
      </c>
      <c r="AL264">
        <v>7.4092344223107481E-2</v>
      </c>
      <c r="AM264">
        <f t="shared" si="128"/>
        <v>8.0477400171222211</v>
      </c>
      <c r="AN264">
        <f t="shared" si="138"/>
        <v>1.3875509655450369</v>
      </c>
      <c r="AO264">
        <f t="shared" si="139"/>
        <v>1.1443205692985625</v>
      </c>
      <c r="AP264">
        <f t="shared" si="148"/>
        <v>1.2101776266811415</v>
      </c>
      <c r="AR264">
        <v>156.85409999999999</v>
      </c>
      <c r="AS264">
        <v>0.51257014560897129</v>
      </c>
      <c r="AT264">
        <f t="shared" si="129"/>
        <v>80.398728876364132</v>
      </c>
      <c r="AU264">
        <f t="shared" si="140"/>
        <v>1.1172568511033099</v>
      </c>
      <c r="AV264">
        <f t="shared" si="141"/>
        <v>0.8740264548568355</v>
      </c>
      <c r="AW264">
        <f t="shared" si="149"/>
        <v>0.8740264548568355</v>
      </c>
      <c r="AY264" s="4">
        <f t="shared" si="121"/>
        <v>142.22556406813126</v>
      </c>
      <c r="AZ264">
        <f t="shared" si="142"/>
        <v>0.24323039624647436</v>
      </c>
    </row>
    <row r="265" spans="1:52" x14ac:dyDescent="0.35">
      <c r="A265" s="2">
        <v>44501</v>
      </c>
      <c r="B265">
        <v>149.51519999999999</v>
      </c>
      <c r="C265">
        <v>4.4842533928243368E-2</v>
      </c>
      <c r="D265">
        <f t="shared" si="120"/>
        <v>6.7046404287880925</v>
      </c>
      <c r="E265">
        <f t="shared" si="130"/>
        <v>3.2694762317863502</v>
      </c>
      <c r="F265">
        <f t="shared" si="122"/>
        <v>0.71898770610083762</v>
      </c>
      <c r="G265">
        <f t="shared" si="143"/>
        <v>0.18427782298477968</v>
      </c>
      <c r="I265">
        <v>144.1086</v>
      </c>
      <c r="J265">
        <v>7.3878864969944419E-2</v>
      </c>
      <c r="K265">
        <f t="shared" si="123"/>
        <v>10.646579800407732</v>
      </c>
      <c r="L265">
        <f t="shared" si="131"/>
        <v>4.8936023088317127</v>
      </c>
      <c r="M265">
        <f t="shared" si="124"/>
        <v>2.3431137831462001</v>
      </c>
      <c r="N265">
        <f t="shared" si="144"/>
        <v>2.1973685182314462</v>
      </c>
      <c r="P265">
        <v>127.6534</v>
      </c>
      <c r="Q265">
        <v>0.10776580900929604</v>
      </c>
      <c r="R265">
        <f t="shared" si="125"/>
        <v>13.756671923787271</v>
      </c>
      <c r="S265">
        <f t="shared" si="132"/>
        <v>3.0519185390831982</v>
      </c>
      <c r="T265">
        <f t="shared" si="133"/>
        <v>0.50143001339768567</v>
      </c>
      <c r="U265">
        <f t="shared" si="145"/>
        <v>1.3557169182655926</v>
      </c>
      <c r="W265">
        <v>134.0943</v>
      </c>
      <c r="X265">
        <v>6.1056393881774085E-2</v>
      </c>
      <c r="Y265">
        <f t="shared" si="126"/>
        <v>8.1873143981007797</v>
      </c>
      <c r="Z265">
        <f t="shared" si="134"/>
        <v>7.1763233361787027</v>
      </c>
      <c r="AA265">
        <f t="shared" si="135"/>
        <v>4.6258348104931901</v>
      </c>
      <c r="AB265">
        <f t="shared" si="146"/>
        <v>0.8745485361052574</v>
      </c>
      <c r="AD265">
        <v>130.4829</v>
      </c>
      <c r="AE265">
        <v>0.12579390837866333</v>
      </c>
      <c r="AF265">
        <f t="shared" si="127"/>
        <v>16.413953967582291</v>
      </c>
      <c r="AG265">
        <f t="shared" si="136"/>
        <v>1.6440449816315761</v>
      </c>
      <c r="AH265">
        <f t="shared" si="137"/>
        <v>0.90644354405393646</v>
      </c>
      <c r="AI265">
        <f t="shared" si="147"/>
        <v>0.90644354405393646</v>
      </c>
      <c r="AK265">
        <v>110.1591</v>
      </c>
      <c r="AL265">
        <v>7.4092344223107481E-2</v>
      </c>
      <c r="AM265">
        <f t="shared" si="128"/>
        <v>8.1619459565077186</v>
      </c>
      <c r="AN265">
        <f t="shared" si="138"/>
        <v>1.4191057258623463</v>
      </c>
      <c r="AO265">
        <f t="shared" si="139"/>
        <v>1.1313827998231663</v>
      </c>
      <c r="AP265">
        <f t="shared" si="148"/>
        <v>0.8881524035766919</v>
      </c>
      <c r="AR265">
        <v>159.94280000000001</v>
      </c>
      <c r="AS265">
        <v>0.51257014560897129</v>
      </c>
      <c r="AT265">
        <f t="shared" si="129"/>
        <v>81.98190428510658</v>
      </c>
      <c r="AU265">
        <f t="shared" si="140"/>
        <v>1.9691547750425586</v>
      </c>
      <c r="AV265">
        <f t="shared" si="141"/>
        <v>0.58133375064295389</v>
      </c>
      <c r="AW265">
        <f t="shared" si="149"/>
        <v>0.58133375064295389</v>
      </c>
      <c r="AY265" s="4">
        <f t="shared" si="121"/>
        <v>145.85301076028045</v>
      </c>
      <c r="AZ265">
        <f t="shared" si="142"/>
        <v>2.5504885256855125</v>
      </c>
    </row>
    <row r="266" spans="1:52" x14ac:dyDescent="0.35">
      <c r="A266" s="2">
        <v>44531</v>
      </c>
      <c r="B266">
        <v>146.06639999999999</v>
      </c>
      <c r="C266">
        <v>4.4842533928243368E-2</v>
      </c>
      <c r="D266">
        <f t="shared" si="120"/>
        <v>6.5499874977763666</v>
      </c>
      <c r="E266">
        <f t="shared" si="130"/>
        <v>-2.3066551093133048</v>
      </c>
      <c r="F266">
        <f t="shared" si="122"/>
        <v>0.7525940892529448</v>
      </c>
      <c r="G266">
        <f t="shared" si="143"/>
        <v>3.3606383152107178E-2</v>
      </c>
      <c r="I266">
        <v>143.102</v>
      </c>
      <c r="J266">
        <v>7.3878864969944419E-2</v>
      </c>
      <c r="K266">
        <f t="shared" si="123"/>
        <v>10.572213334928987</v>
      </c>
      <c r="L266">
        <f t="shared" si="131"/>
        <v>-0.69850099161326007</v>
      </c>
      <c r="M266">
        <f t="shared" si="124"/>
        <v>0.85556002844709989</v>
      </c>
      <c r="N266">
        <f t="shared" si="144"/>
        <v>1.4875537546991002</v>
      </c>
      <c r="P266">
        <v>124.2719</v>
      </c>
      <c r="Q266">
        <v>0.10776580900929604</v>
      </c>
      <c r="R266">
        <f t="shared" si="125"/>
        <v>13.392261840622337</v>
      </c>
      <c r="S266">
        <f t="shared" si="132"/>
        <v>-2.6489697885054397</v>
      </c>
      <c r="T266">
        <f t="shared" si="133"/>
        <v>1.0949087684450798</v>
      </c>
      <c r="U266">
        <f t="shared" si="145"/>
        <v>0.59347875504739411</v>
      </c>
      <c r="W266">
        <v>134.3038</v>
      </c>
      <c r="X266">
        <v>6.1056393881774085E-2</v>
      </c>
      <c r="Y266">
        <f t="shared" si="126"/>
        <v>8.2001057126190098</v>
      </c>
      <c r="Z266">
        <f t="shared" si="134"/>
        <v>0.1562333372857605</v>
      </c>
      <c r="AA266">
        <f t="shared" si="135"/>
        <v>1.7102943573461205</v>
      </c>
      <c r="AB266">
        <f t="shared" si="146"/>
        <v>0.803850813292184</v>
      </c>
      <c r="AD266">
        <v>127.48350000000001</v>
      </c>
      <c r="AE266">
        <v>0.12579390837866333</v>
      </c>
      <c r="AF266">
        <f t="shared" si="127"/>
        <v>16.036647718791329</v>
      </c>
      <c r="AG266">
        <f t="shared" si="136"/>
        <v>-2.2986920125165788</v>
      </c>
      <c r="AH266">
        <f t="shared" si="137"/>
        <v>0.74463099245621889</v>
      </c>
      <c r="AI266">
        <f t="shared" si="147"/>
        <v>0.74463099245621889</v>
      </c>
      <c r="AK266">
        <v>110.5146</v>
      </c>
      <c r="AL266">
        <v>7.4092344223107481E-2</v>
      </c>
      <c r="AM266">
        <f t="shared" si="128"/>
        <v>8.1882857848790334</v>
      </c>
      <c r="AN266">
        <f t="shared" si="138"/>
        <v>0.32271505486156649</v>
      </c>
      <c r="AO266">
        <f t="shared" si="139"/>
        <v>1.8767760749219264</v>
      </c>
      <c r="AP266">
        <f t="shared" si="148"/>
        <v>0.6737124507635861</v>
      </c>
      <c r="AR266">
        <v>157.3382</v>
      </c>
      <c r="AS266">
        <v>0.51257014560897129</v>
      </c>
      <c r="AT266">
        <f t="shared" si="129"/>
        <v>80.646864083853444</v>
      </c>
      <c r="AU266">
        <f t="shared" si="140"/>
        <v>-1.6284571734395126</v>
      </c>
      <c r="AV266">
        <f t="shared" si="141"/>
        <v>7.4396153379152619E-2</v>
      </c>
      <c r="AW266">
        <f t="shared" si="149"/>
        <v>7.4396153379152619E-2</v>
      </c>
      <c r="AY266" s="4">
        <f t="shared" si="121"/>
        <v>143.58636597347049</v>
      </c>
      <c r="AZ266">
        <f t="shared" si="142"/>
        <v>-1.55406102006036</v>
      </c>
    </row>
    <row r="267" spans="1:52" x14ac:dyDescent="0.35">
      <c r="A267" s="2">
        <v>44562</v>
      </c>
      <c r="B267">
        <v>146.7475</v>
      </c>
      <c r="C267">
        <v>4.5549276239784241E-2</v>
      </c>
      <c r="D267">
        <f t="shared" si="120"/>
        <v>6.6842424149977377</v>
      </c>
      <c r="E267">
        <f t="shared" si="130"/>
        <v>0.46629478100372879</v>
      </c>
      <c r="F267">
        <f t="shared" si="122"/>
        <v>0.12185303587559648</v>
      </c>
      <c r="G267">
        <f t="shared" si="143"/>
        <v>0.63074105337734832</v>
      </c>
      <c r="I267">
        <v>145.4614</v>
      </c>
      <c r="J267">
        <v>7.4056505803590564E-2</v>
      </c>
      <c r="K267">
        <f t="shared" si="123"/>
        <v>10.772363013298408</v>
      </c>
      <c r="L267">
        <f t="shared" si="131"/>
        <v>1.6487540355829999</v>
      </c>
      <c r="M267">
        <f t="shared" si="124"/>
        <v>1.0606062187036747</v>
      </c>
      <c r="N267">
        <f t="shared" si="144"/>
        <v>0.20504619025657478</v>
      </c>
      <c r="P267">
        <v>125.1337</v>
      </c>
      <c r="Q267">
        <v>0.1073411216118615</v>
      </c>
      <c r="R267">
        <f t="shared" si="125"/>
        <v>13.431991709442194</v>
      </c>
      <c r="S267">
        <f t="shared" si="132"/>
        <v>0.69347937868495801</v>
      </c>
      <c r="T267">
        <f t="shared" si="133"/>
        <v>0.10533156180563275</v>
      </c>
      <c r="U267">
        <f t="shared" si="145"/>
        <v>0.98957720663944704</v>
      </c>
      <c r="W267">
        <v>136.20779999999999</v>
      </c>
      <c r="X267">
        <v>6.1961736035593282E-2</v>
      </c>
      <c r="Y267">
        <f t="shared" si="126"/>
        <v>8.4396717495888822</v>
      </c>
      <c r="Z267">
        <f t="shared" si="134"/>
        <v>1.41768140588725</v>
      </c>
      <c r="AA267">
        <f t="shared" si="135"/>
        <v>0.82953358900792473</v>
      </c>
      <c r="AB267">
        <f t="shared" si="146"/>
        <v>8.4902596551705845E-2</v>
      </c>
      <c r="AD267">
        <v>126.2342</v>
      </c>
      <c r="AE267">
        <v>0.12425022446018935</v>
      </c>
      <c r="AF267">
        <f t="shared" si="127"/>
        <v>15.684627684552435</v>
      </c>
      <c r="AG267">
        <f t="shared" si="136"/>
        <v>-0.97996995689638711</v>
      </c>
      <c r="AH267">
        <f t="shared" si="137"/>
        <v>1.5681177737757124</v>
      </c>
      <c r="AI267">
        <f t="shared" si="147"/>
        <v>1.5681177737757124</v>
      </c>
      <c r="AK267">
        <v>113.6568</v>
      </c>
      <c r="AL267">
        <v>7.5641885802524234E-2</v>
      </c>
      <c r="AM267">
        <f t="shared" si="128"/>
        <v>8.5972146862803367</v>
      </c>
      <c r="AN267">
        <f t="shared" si="138"/>
        <v>2.8432442410324166</v>
      </c>
      <c r="AO267">
        <f t="shared" si="139"/>
        <v>2.2550964241530913</v>
      </c>
      <c r="AP267">
        <f t="shared" si="148"/>
        <v>3.8091574442134513</v>
      </c>
      <c r="AR267">
        <v>158.1003</v>
      </c>
      <c r="AS267">
        <v>0.51119925004645683</v>
      </c>
      <c r="AT267">
        <f t="shared" si="129"/>
        <v>80.820754792119843</v>
      </c>
      <c r="AU267">
        <f t="shared" si="140"/>
        <v>0.48437061057009512</v>
      </c>
      <c r="AV267">
        <f t="shared" si="141"/>
        <v>0.10377720630923015</v>
      </c>
      <c r="AW267">
        <f t="shared" si="149"/>
        <v>0.10377720630923015</v>
      </c>
      <c r="AY267" s="4">
        <f t="shared" si="121"/>
        <v>144.43086605027983</v>
      </c>
      <c r="AZ267">
        <f t="shared" si="142"/>
        <v>0.58814781687932527</v>
      </c>
    </row>
    <row r="268" spans="1:52" x14ac:dyDescent="0.35">
      <c r="A268" s="2">
        <v>44593</v>
      </c>
      <c r="B268">
        <v>147.99520000000001</v>
      </c>
      <c r="C268">
        <v>4.5549276239784241E-2</v>
      </c>
      <c r="D268">
        <f t="shared" si="120"/>
        <v>6.7410742469621168</v>
      </c>
      <c r="E268">
        <f t="shared" si="130"/>
        <v>0.85023594950510706</v>
      </c>
      <c r="F268">
        <f t="shared" si="122"/>
        <v>2.8345833898140382</v>
      </c>
      <c r="G268">
        <f t="shared" si="143"/>
        <v>2.7127303539384418</v>
      </c>
      <c r="I268">
        <v>141.0797</v>
      </c>
      <c r="J268">
        <v>7.4056505803590564E-2</v>
      </c>
      <c r="K268">
        <f t="shared" si="123"/>
        <v>10.447869621818816</v>
      </c>
      <c r="L268">
        <f t="shared" si="131"/>
        <v>-3.0122767964559594</v>
      </c>
      <c r="M268">
        <f t="shared" si="124"/>
        <v>1.0279293561470282</v>
      </c>
      <c r="N268">
        <f t="shared" si="144"/>
        <v>3.267686255664648E-2</v>
      </c>
      <c r="P268">
        <v>119.8321</v>
      </c>
      <c r="Q268">
        <v>0.1073411216118615</v>
      </c>
      <c r="R268">
        <f t="shared" si="125"/>
        <v>12.862912019104748</v>
      </c>
      <c r="S268">
        <f t="shared" si="132"/>
        <v>-4.2367483739392364</v>
      </c>
      <c r="T268">
        <f t="shared" si="133"/>
        <v>2.2524009336303052</v>
      </c>
      <c r="U268">
        <f t="shared" si="145"/>
        <v>2.1470693718246725</v>
      </c>
      <c r="W268">
        <v>131.2328</v>
      </c>
      <c r="X268">
        <v>6.1961736035593282E-2</v>
      </c>
      <c r="Y268">
        <f t="shared" si="126"/>
        <v>8.1314121128118053</v>
      </c>
      <c r="Z268">
        <f t="shared" si="134"/>
        <v>-3.6525074188115458</v>
      </c>
      <c r="AA268">
        <f t="shared" si="135"/>
        <v>1.6681599785026147</v>
      </c>
      <c r="AB268">
        <f t="shared" si="146"/>
        <v>0.10004220472690228</v>
      </c>
      <c r="AD268">
        <v>123.64409999999999</v>
      </c>
      <c r="AE268">
        <v>0.12425022446018935</v>
      </c>
      <c r="AF268">
        <f t="shared" si="127"/>
        <v>15.362807178178098</v>
      </c>
      <c r="AG268">
        <f t="shared" si="136"/>
        <v>-2.0518211388039109</v>
      </c>
      <c r="AH268">
        <f t="shared" si="137"/>
        <v>6.747369849497975E-2</v>
      </c>
      <c r="AI268">
        <f t="shared" si="147"/>
        <v>6.747369849497975E-2</v>
      </c>
      <c r="AK268">
        <v>114.2632</v>
      </c>
      <c r="AL268">
        <v>7.5641885802524234E-2</v>
      </c>
      <c r="AM268">
        <f t="shared" si="128"/>
        <v>8.6430839258309859</v>
      </c>
      <c r="AN268">
        <f t="shared" si="138"/>
        <v>0.53353604887695916</v>
      </c>
      <c r="AO268">
        <f t="shared" si="139"/>
        <v>2.5178834891858903</v>
      </c>
      <c r="AP268">
        <f t="shared" si="148"/>
        <v>1.9297356723065651</v>
      </c>
      <c r="AR268">
        <v>155.27350000000001</v>
      </c>
      <c r="AS268">
        <v>0.51119925004645683</v>
      </c>
      <c r="AT268">
        <f t="shared" si="129"/>
        <v>79.375696752088515</v>
      </c>
      <c r="AU268">
        <f t="shared" si="140"/>
        <v>-1.787978896940734</v>
      </c>
      <c r="AV268">
        <f t="shared" si="141"/>
        <v>0.1963685433681972</v>
      </c>
      <c r="AW268">
        <f t="shared" si="149"/>
        <v>0.1963685433681972</v>
      </c>
      <c r="AY268" s="4">
        <f t="shared" si="121"/>
        <v>141.56485585679508</v>
      </c>
      <c r="AZ268">
        <f t="shared" si="142"/>
        <v>-1.9843474403089312</v>
      </c>
    </row>
    <row r="269" spans="1:52" x14ac:dyDescent="0.35">
      <c r="A269" s="2">
        <v>44621</v>
      </c>
      <c r="B269">
        <v>150.8203</v>
      </c>
      <c r="C269">
        <v>4.5549276239784241E-2</v>
      </c>
      <c r="D269">
        <f t="shared" si="120"/>
        <v>6.869755507267131</v>
      </c>
      <c r="E269">
        <f t="shared" si="130"/>
        <v>1.9089132620517368</v>
      </c>
      <c r="F269">
        <f t="shared" si="122"/>
        <v>4.6718083669867188</v>
      </c>
      <c r="G269">
        <f t="shared" si="143"/>
        <v>1.8372249771726805</v>
      </c>
      <c r="I269">
        <v>131.83519999999999</v>
      </c>
      <c r="J269">
        <v>7.4056505803590564E-2</v>
      </c>
      <c r="K269">
        <f t="shared" si="123"/>
        <v>9.7632542539175216</v>
      </c>
      <c r="L269">
        <f t="shared" si="131"/>
        <v>-6.5526790884868795</v>
      </c>
      <c r="M269">
        <f t="shared" si="124"/>
        <v>3.7897839835518981</v>
      </c>
      <c r="N269">
        <f t="shared" si="144"/>
        <v>2.7618546274048699</v>
      </c>
      <c r="P269">
        <v>110.28919999999999</v>
      </c>
      <c r="Q269">
        <v>0.1073411216118615</v>
      </c>
      <c r="R269">
        <f t="shared" si="125"/>
        <v>11.838566429674914</v>
      </c>
      <c r="S269">
        <f t="shared" si="132"/>
        <v>-7.9635590129856766</v>
      </c>
      <c r="T269">
        <f t="shared" si="133"/>
        <v>5.2006639080506947</v>
      </c>
      <c r="U269">
        <f t="shared" si="145"/>
        <v>2.9482629744203894</v>
      </c>
      <c r="W269">
        <v>120.8968</v>
      </c>
      <c r="X269">
        <v>6.1961736035593282E-2</v>
      </c>
      <c r="Y269">
        <f t="shared" si="126"/>
        <v>7.490975609147914</v>
      </c>
      <c r="Z269">
        <f t="shared" si="134"/>
        <v>-7.8760797605476718</v>
      </c>
      <c r="AA269">
        <f t="shared" si="135"/>
        <v>5.1131846556126899</v>
      </c>
      <c r="AB269">
        <f t="shared" si="146"/>
        <v>5.0457109571177101</v>
      </c>
      <c r="AD269">
        <v>121.6103</v>
      </c>
      <c r="AE269">
        <v>0.12425022446018935</v>
      </c>
      <c r="AF269">
        <f t="shared" si="127"/>
        <v>15.110107071670965</v>
      </c>
      <c r="AG269">
        <f t="shared" si="136"/>
        <v>-1.6448823680224156</v>
      </c>
      <c r="AH269">
        <f t="shared" si="137"/>
        <v>1.1180127369125659</v>
      </c>
      <c r="AI269">
        <f t="shared" si="147"/>
        <v>1.1180127369125659</v>
      </c>
      <c r="AK269">
        <v>110.9183</v>
      </c>
      <c r="AL269">
        <v>7.5641885802524234E-2</v>
      </c>
      <c r="AM269">
        <f t="shared" si="128"/>
        <v>8.3900693820101235</v>
      </c>
      <c r="AN269">
        <f t="shared" si="138"/>
        <v>-2.9273641907455739</v>
      </c>
      <c r="AO269">
        <f t="shared" si="139"/>
        <v>0.16446908581059239</v>
      </c>
      <c r="AP269">
        <f t="shared" si="148"/>
        <v>2.1488165261195236</v>
      </c>
      <c r="AR269">
        <v>152.95570000000001</v>
      </c>
      <c r="AS269">
        <v>0.51119925004645683</v>
      </c>
      <c r="AT269">
        <f t="shared" si="129"/>
        <v>78.190839130330843</v>
      </c>
      <c r="AU269">
        <f t="shared" si="140"/>
        <v>-1.4927209085903281</v>
      </c>
      <c r="AV269">
        <f t="shared" si="141"/>
        <v>1.2701741963446533</v>
      </c>
      <c r="AW269">
        <f t="shared" si="149"/>
        <v>1.2701741963446533</v>
      </c>
      <c r="AY269" s="4">
        <f t="shared" si="121"/>
        <v>137.65356738401942</v>
      </c>
      <c r="AZ269">
        <f t="shared" si="142"/>
        <v>-2.7628951049349815</v>
      </c>
    </row>
    <row r="270" spans="1:52" x14ac:dyDescent="0.35">
      <c r="A270" s="2">
        <v>44652</v>
      </c>
      <c r="B270">
        <v>150.63220000000001</v>
      </c>
      <c r="C270">
        <v>4.5549276239784241E-2</v>
      </c>
      <c r="D270">
        <f t="shared" si="120"/>
        <v>6.861187688406428</v>
      </c>
      <c r="E270">
        <f t="shared" si="130"/>
        <v>-0.12471795905457661</v>
      </c>
      <c r="F270">
        <f t="shared" si="122"/>
        <v>0.91939175547861574</v>
      </c>
      <c r="G270">
        <f t="shared" si="143"/>
        <v>3.752416611508103</v>
      </c>
      <c r="I270">
        <v>134.17570000000001</v>
      </c>
      <c r="J270">
        <v>7.4056505803590564E-2</v>
      </c>
      <c r="K270">
        <f t="shared" si="123"/>
        <v>9.9365835057508267</v>
      </c>
      <c r="L270">
        <f t="shared" si="131"/>
        <v>1.7753225238783088</v>
      </c>
      <c r="M270">
        <f t="shared" si="124"/>
        <v>0.98064872745426968</v>
      </c>
      <c r="N270">
        <f t="shared" si="144"/>
        <v>2.8091352560976284</v>
      </c>
      <c r="P270">
        <v>110.35469999999999</v>
      </c>
      <c r="Q270">
        <v>0.1073411216118615</v>
      </c>
      <c r="R270">
        <f t="shared" si="125"/>
        <v>11.845597273140491</v>
      </c>
      <c r="S270">
        <f t="shared" si="132"/>
        <v>5.938931463824737E-2</v>
      </c>
      <c r="T270">
        <f t="shared" si="133"/>
        <v>0.73528448178579175</v>
      </c>
      <c r="U270">
        <f t="shared" si="145"/>
        <v>4.4653794262649029</v>
      </c>
      <c r="W270">
        <v>123.93989999999999</v>
      </c>
      <c r="X270">
        <v>6.1961736035593282E-2</v>
      </c>
      <c r="Y270">
        <f t="shared" si="126"/>
        <v>7.6795313680778277</v>
      </c>
      <c r="Z270">
        <f t="shared" si="134"/>
        <v>2.5171054982431329</v>
      </c>
      <c r="AA270">
        <f t="shared" si="135"/>
        <v>1.7224317018190938</v>
      </c>
      <c r="AB270">
        <f t="shared" si="146"/>
        <v>0.60441896490652791</v>
      </c>
      <c r="AD270">
        <v>122.6204</v>
      </c>
      <c r="AE270">
        <v>0.12425022446018935</v>
      </c>
      <c r="AF270">
        <f t="shared" si="127"/>
        <v>15.235612223398203</v>
      </c>
      <c r="AG270">
        <f t="shared" si="136"/>
        <v>0.83060398666889856</v>
      </c>
      <c r="AH270">
        <f t="shared" si="137"/>
        <v>3.5930190244859439E-2</v>
      </c>
      <c r="AI270">
        <f t="shared" si="147"/>
        <v>3.5930190244859439E-2</v>
      </c>
      <c r="AK270">
        <v>114.6437</v>
      </c>
      <c r="AL270">
        <v>7.5641885802524234E-2</v>
      </c>
      <c r="AM270">
        <f t="shared" si="128"/>
        <v>8.6718656633788473</v>
      </c>
      <c r="AN270">
        <f t="shared" si="138"/>
        <v>3.3586883318622807</v>
      </c>
      <c r="AO270">
        <f t="shared" si="139"/>
        <v>2.5640145354382415</v>
      </c>
      <c r="AP270">
        <f t="shared" si="148"/>
        <v>5.3269096403732235</v>
      </c>
      <c r="AR270">
        <v>153.59389999999999</v>
      </c>
      <c r="AS270">
        <v>0.51119925004645683</v>
      </c>
      <c r="AT270">
        <f t="shared" si="129"/>
        <v>78.517086491710486</v>
      </c>
      <c r="AU270">
        <f t="shared" si="140"/>
        <v>0.41724499315813901</v>
      </c>
      <c r="AV270">
        <f t="shared" si="141"/>
        <v>0.37742880326590011</v>
      </c>
      <c r="AW270">
        <f t="shared" si="149"/>
        <v>0.37742880326590011</v>
      </c>
      <c r="AY270" s="4">
        <f t="shared" si="121"/>
        <v>138.74746421386314</v>
      </c>
      <c r="AZ270">
        <f t="shared" si="142"/>
        <v>0.79467379642403912</v>
      </c>
    </row>
    <row r="271" spans="1:52" x14ac:dyDescent="0.35">
      <c r="A271" s="2">
        <v>44682</v>
      </c>
      <c r="B271">
        <v>142.20920000000001</v>
      </c>
      <c r="C271">
        <v>4.5549276239784241E-2</v>
      </c>
      <c r="D271">
        <f t="shared" si="120"/>
        <v>6.4775261346387252</v>
      </c>
      <c r="E271">
        <f t="shared" si="130"/>
        <v>-5.5917659039700691</v>
      </c>
      <c r="F271">
        <f t="shared" si="122"/>
        <v>0.99566429248103461</v>
      </c>
      <c r="G271">
        <f t="shared" si="143"/>
        <v>7.6272537002418872E-2</v>
      </c>
      <c r="I271">
        <v>129.97980000000001</v>
      </c>
      <c r="J271">
        <v>7.4056505803590564E-2</v>
      </c>
      <c r="K271">
        <f t="shared" si="123"/>
        <v>9.6258498130495411</v>
      </c>
      <c r="L271">
        <f t="shared" si="131"/>
        <v>-3.1271683322688038</v>
      </c>
      <c r="M271">
        <f t="shared" si="124"/>
        <v>1.4689332792202308</v>
      </c>
      <c r="N271">
        <f t="shared" si="144"/>
        <v>0.48828455176596108</v>
      </c>
      <c r="P271">
        <v>105.5775</v>
      </c>
      <c r="Q271">
        <v>0.1073411216118615</v>
      </c>
      <c r="R271">
        <f t="shared" si="125"/>
        <v>11.332807266976308</v>
      </c>
      <c r="S271">
        <f t="shared" si="132"/>
        <v>-4.3289501942373025</v>
      </c>
      <c r="T271">
        <f t="shared" si="133"/>
        <v>0.26715141725173197</v>
      </c>
      <c r="U271">
        <f t="shared" si="145"/>
        <v>0.46813306453405978</v>
      </c>
      <c r="W271">
        <v>120.87479999999999</v>
      </c>
      <c r="X271">
        <v>6.1961736035593282E-2</v>
      </c>
      <c r="Y271">
        <f t="shared" si="126"/>
        <v>7.4896124509551303</v>
      </c>
      <c r="Z271">
        <f t="shared" si="134"/>
        <v>-2.4730534718843566</v>
      </c>
      <c r="AA271">
        <f t="shared" si="135"/>
        <v>2.1230481396046779</v>
      </c>
      <c r="AB271">
        <f t="shared" si="146"/>
        <v>2.0871179493598184</v>
      </c>
      <c r="AD271">
        <v>121.2945</v>
      </c>
      <c r="AE271">
        <v>0.12425022446018935</v>
      </c>
      <c r="AF271">
        <f t="shared" si="127"/>
        <v>15.070868850786438</v>
      </c>
      <c r="AG271">
        <f t="shared" si="136"/>
        <v>-1.0813045790096898</v>
      </c>
      <c r="AH271">
        <f t="shared" si="137"/>
        <v>3.5147970324793447</v>
      </c>
      <c r="AI271">
        <f t="shared" si="147"/>
        <v>3.5147970324793447</v>
      </c>
      <c r="AK271">
        <v>112.9969</v>
      </c>
      <c r="AL271">
        <v>7.5641885802524234E-2</v>
      </c>
      <c r="AM271">
        <f t="shared" si="128"/>
        <v>8.5472986058392504</v>
      </c>
      <c r="AN271">
        <f t="shared" si="138"/>
        <v>-1.4364504983701676</v>
      </c>
      <c r="AO271">
        <f t="shared" si="139"/>
        <v>3.1596511131188669</v>
      </c>
      <c r="AP271">
        <f t="shared" si="148"/>
        <v>2.3649773166948278</v>
      </c>
      <c r="AR271">
        <v>144.41829999999999</v>
      </c>
      <c r="AS271">
        <v>0.51119925004645683</v>
      </c>
      <c r="AT271">
        <f t="shared" si="129"/>
        <v>73.826526652984214</v>
      </c>
      <c r="AU271">
        <f t="shared" si="140"/>
        <v>-5.9739351627896671</v>
      </c>
      <c r="AV271">
        <f t="shared" si="141"/>
        <v>1.3778335513006326</v>
      </c>
      <c r="AW271">
        <f t="shared" si="149"/>
        <v>1.3778335513006326</v>
      </c>
      <c r="AY271" s="4">
        <f t="shared" si="121"/>
        <v>132.3704897752296</v>
      </c>
      <c r="AZ271">
        <f t="shared" si="142"/>
        <v>-4.5961016114890345</v>
      </c>
    </row>
    <row r="272" spans="1:52" x14ac:dyDescent="0.35">
      <c r="A272" s="2">
        <v>44713</v>
      </c>
      <c r="B272">
        <v>137.703</v>
      </c>
      <c r="C272">
        <v>4.5549276239784241E-2</v>
      </c>
      <c r="D272">
        <f t="shared" ref="D272:D302" si="150">B272*C272</f>
        <v>6.2722719860470093</v>
      </c>
      <c r="E272">
        <f t="shared" si="130"/>
        <v>-3.1687120101934418</v>
      </c>
      <c r="F272">
        <f t="shared" si="122"/>
        <v>0.32890616160420327</v>
      </c>
      <c r="G272">
        <f t="shared" si="143"/>
        <v>0.66675813087683133</v>
      </c>
      <c r="I272">
        <v>125.5763</v>
      </c>
      <c r="J272">
        <v>7.4056505803590564E-2</v>
      </c>
      <c r="K272">
        <f t="shared" si="123"/>
        <v>9.2997419897434295</v>
      </c>
      <c r="L272">
        <f t="shared" si="131"/>
        <v>-3.3878341096078013</v>
      </c>
      <c r="M272">
        <f t="shared" si="124"/>
        <v>0.54802826101856272</v>
      </c>
      <c r="N272">
        <f t="shared" si="144"/>
        <v>0.92090501820166804</v>
      </c>
      <c r="P272">
        <v>101.98779999999999</v>
      </c>
      <c r="Q272">
        <v>0.1073411216118615</v>
      </c>
      <c r="R272">
        <f t="shared" si="125"/>
        <v>10.947484842726208</v>
      </c>
      <c r="S272">
        <f t="shared" si="132"/>
        <v>-3.4000615661480937</v>
      </c>
      <c r="T272">
        <f t="shared" si="133"/>
        <v>0.56025571755885517</v>
      </c>
      <c r="U272">
        <f t="shared" si="145"/>
        <v>0.2931043003071232</v>
      </c>
      <c r="W272">
        <v>114.6664</v>
      </c>
      <c r="X272">
        <v>6.1961736035593282E-2</v>
      </c>
      <c r="Y272">
        <f t="shared" si="126"/>
        <v>7.1049292089517531</v>
      </c>
      <c r="Z272">
        <f t="shared" si="134"/>
        <v>-5.1362235966471044</v>
      </c>
      <c r="AA272">
        <f t="shared" si="135"/>
        <v>2.2964177480578658</v>
      </c>
      <c r="AB272">
        <f t="shared" si="146"/>
        <v>1.2183792844214789</v>
      </c>
      <c r="AD272">
        <v>122.2176</v>
      </c>
      <c r="AE272">
        <v>0.12425022446018935</v>
      </c>
      <c r="AF272">
        <f t="shared" si="127"/>
        <v>15.185564232985639</v>
      </c>
      <c r="AG272">
        <f t="shared" si="136"/>
        <v>0.76104027800105722</v>
      </c>
      <c r="AH272">
        <f t="shared" si="137"/>
        <v>3.6008461265902958</v>
      </c>
      <c r="AI272">
        <f t="shared" si="147"/>
        <v>3.6008461265902958</v>
      </c>
      <c r="AK272">
        <v>110.67700000000001</v>
      </c>
      <c r="AL272">
        <v>7.5641885802524234E-2</v>
      </c>
      <c r="AM272">
        <f t="shared" si="128"/>
        <v>8.3718169949659753</v>
      </c>
      <c r="AN272">
        <f t="shared" si="138"/>
        <v>-2.0530651725843674</v>
      </c>
      <c r="AO272">
        <f t="shared" si="139"/>
        <v>0.78674067600487119</v>
      </c>
      <c r="AP272">
        <f t="shared" si="148"/>
        <v>5.3828422874939061</v>
      </c>
      <c r="AR272">
        <v>139.7295</v>
      </c>
      <c r="AS272">
        <v>0.51119925004645683</v>
      </c>
      <c r="AT272">
        <f t="shared" si="129"/>
        <v>71.429615609366394</v>
      </c>
      <c r="AU272">
        <f t="shared" si="140"/>
        <v>-3.2466799567644755</v>
      </c>
      <c r="AV272">
        <f t="shared" si="141"/>
        <v>0.40687410817523695</v>
      </c>
      <c r="AW272">
        <f t="shared" si="149"/>
        <v>0.40687410817523695</v>
      </c>
      <c r="AY272" s="4">
        <f t="shared" si="121"/>
        <v>128.61142486478641</v>
      </c>
      <c r="AZ272">
        <f t="shared" si="142"/>
        <v>-2.8398058485892386</v>
      </c>
    </row>
    <row r="273" spans="1:52" x14ac:dyDescent="0.35">
      <c r="A273" s="2">
        <v>44743</v>
      </c>
      <c r="B273">
        <v>131.99189999999999</v>
      </c>
      <c r="C273">
        <v>4.5549276239784241E-2</v>
      </c>
      <c r="D273">
        <f t="shared" si="150"/>
        <v>6.012135514513977</v>
      </c>
      <c r="E273">
        <f t="shared" si="130"/>
        <v>-4.1474041959870256</v>
      </c>
      <c r="F273">
        <f t="shared" si="122"/>
        <v>2.2593337002692393</v>
      </c>
      <c r="G273">
        <f t="shared" si="143"/>
        <v>1.930427538665036</v>
      </c>
      <c r="I273">
        <v>124.43340000000001</v>
      </c>
      <c r="J273">
        <v>7.4056505803590564E-2</v>
      </c>
      <c r="K273">
        <f t="shared" si="123"/>
        <v>9.2151028092605056</v>
      </c>
      <c r="L273">
        <f t="shared" si="131"/>
        <v>-0.91012396447418542</v>
      </c>
      <c r="M273">
        <f t="shared" si="124"/>
        <v>0.97794653124360087</v>
      </c>
      <c r="N273">
        <f t="shared" si="144"/>
        <v>0.42991827022503815</v>
      </c>
      <c r="P273">
        <v>96.624470000000002</v>
      </c>
      <c r="Q273">
        <v>0.1073411216118615</v>
      </c>
      <c r="R273">
        <f t="shared" si="125"/>
        <v>10.371778984951664</v>
      </c>
      <c r="S273">
        <f t="shared" si="132"/>
        <v>-5.258795659873039</v>
      </c>
      <c r="T273">
        <f t="shared" si="133"/>
        <v>3.3707251641552527</v>
      </c>
      <c r="U273">
        <f t="shared" si="145"/>
        <v>2.8104694465963975</v>
      </c>
      <c r="W273">
        <v>108.6661</v>
      </c>
      <c r="X273">
        <v>6.1961736035593282E-2</v>
      </c>
      <c r="Y273">
        <f t="shared" si="126"/>
        <v>6.7331402042173831</v>
      </c>
      <c r="Z273">
        <f t="shared" si="134"/>
        <v>-5.2328319368184495</v>
      </c>
      <c r="AA273">
        <f t="shared" si="135"/>
        <v>3.3447614411006632</v>
      </c>
      <c r="AB273">
        <f t="shared" si="146"/>
        <v>0.25608468548963259</v>
      </c>
      <c r="AD273">
        <v>122.9743</v>
      </c>
      <c r="AE273">
        <v>0.12425022446018935</v>
      </c>
      <c r="AF273">
        <f t="shared" si="127"/>
        <v>15.279584377834663</v>
      </c>
      <c r="AG273">
        <f t="shared" si="136"/>
        <v>0.61914159662765922</v>
      </c>
      <c r="AH273">
        <f t="shared" si="137"/>
        <v>2.5072120923454455</v>
      </c>
      <c r="AI273">
        <f t="shared" si="147"/>
        <v>2.5072120923454455</v>
      </c>
      <c r="AK273">
        <v>109.56829999999999</v>
      </c>
      <c r="AL273">
        <v>7.5641885802524234E-2</v>
      </c>
      <c r="AM273">
        <f t="shared" si="128"/>
        <v>8.2879528361767161</v>
      </c>
      <c r="AN273">
        <f t="shared" si="138"/>
        <v>-1.0017438130777045</v>
      </c>
      <c r="AO273">
        <f t="shared" si="139"/>
        <v>0.88632668264008174</v>
      </c>
      <c r="AP273">
        <f t="shared" si="148"/>
        <v>3.7261325312293203</v>
      </c>
      <c r="AR273">
        <v>137.48740000000001</v>
      </c>
      <c r="AS273">
        <v>0.51119925004645683</v>
      </c>
      <c r="AT273">
        <f t="shared" si="129"/>
        <v>70.283455770837236</v>
      </c>
      <c r="AU273">
        <f t="shared" si="140"/>
        <v>-1.6046003170411383</v>
      </c>
      <c r="AV273">
        <f t="shared" si="141"/>
        <v>0.28347017867664803</v>
      </c>
      <c r="AW273">
        <f t="shared" si="149"/>
        <v>0.28347017867664803</v>
      </c>
      <c r="AY273" s="4">
        <f t="shared" si="121"/>
        <v>126.18315049779213</v>
      </c>
      <c r="AZ273">
        <f t="shared" si="142"/>
        <v>-1.8880704957177863</v>
      </c>
    </row>
    <row r="274" spans="1:52" x14ac:dyDescent="0.35">
      <c r="A274" s="2">
        <v>44774</v>
      </c>
      <c r="B274">
        <v>138.55779999999999</v>
      </c>
      <c r="C274">
        <v>4.5549276239784241E-2</v>
      </c>
      <c r="D274">
        <f t="shared" si="150"/>
        <v>6.3112075073767766</v>
      </c>
      <c r="E274">
        <f t="shared" si="130"/>
        <v>4.9744719183525632</v>
      </c>
      <c r="F274">
        <f t="shared" si="122"/>
        <v>0.50891197260665155</v>
      </c>
      <c r="G274">
        <f t="shared" si="143"/>
        <v>1.7504217276625877</v>
      </c>
      <c r="I274">
        <v>131.21080000000001</v>
      </c>
      <c r="J274">
        <v>7.4056505803590564E-2</v>
      </c>
      <c r="K274">
        <f t="shared" si="123"/>
        <v>9.7170133716937617</v>
      </c>
      <c r="L274">
        <f t="shared" si="131"/>
        <v>5.4466083864943116</v>
      </c>
      <c r="M274">
        <f t="shared" si="124"/>
        <v>0.98104844074839992</v>
      </c>
      <c r="N274">
        <f t="shared" si="144"/>
        <v>3.1019095047990497E-3</v>
      </c>
      <c r="P274">
        <v>99.824719999999999</v>
      </c>
      <c r="Q274">
        <v>0.1073411216118615</v>
      </c>
      <c r="R274">
        <f t="shared" si="125"/>
        <v>10.715297409390024</v>
      </c>
      <c r="S274">
        <f t="shared" si="132"/>
        <v>3.3120492148624336</v>
      </c>
      <c r="T274">
        <f t="shared" si="133"/>
        <v>1.153510730883478</v>
      </c>
      <c r="U274">
        <f t="shared" si="145"/>
        <v>2.2172144332717747</v>
      </c>
      <c r="W274">
        <v>114.0206</v>
      </c>
      <c r="X274">
        <v>6.1961736035593282E-2</v>
      </c>
      <c r="Y274">
        <f t="shared" si="126"/>
        <v>7.0649143198199678</v>
      </c>
      <c r="Z274">
        <f t="shared" si="134"/>
        <v>4.9274796831762613</v>
      </c>
      <c r="AA274">
        <f t="shared" si="135"/>
        <v>0.46191973743034964</v>
      </c>
      <c r="AB274">
        <f t="shared" si="146"/>
        <v>2.0452923549150959</v>
      </c>
      <c r="AD274">
        <v>126.52809999999999</v>
      </c>
      <c r="AE274">
        <v>0.12425022446018935</v>
      </c>
      <c r="AF274">
        <f t="shared" si="127"/>
        <v>15.721144825521284</v>
      </c>
      <c r="AG274">
        <f t="shared" si="136"/>
        <v>2.8898721114899661</v>
      </c>
      <c r="AH274">
        <f t="shared" si="137"/>
        <v>1.5756878342559455</v>
      </c>
      <c r="AI274">
        <f t="shared" si="147"/>
        <v>1.5756878342559455</v>
      </c>
      <c r="AK274">
        <v>113.2166</v>
      </c>
      <c r="AL274">
        <v>7.5641885802524234E-2</v>
      </c>
      <c r="AM274">
        <f t="shared" si="128"/>
        <v>8.5639171281500648</v>
      </c>
      <c r="AN274">
        <f t="shared" si="138"/>
        <v>3.3297039380915994</v>
      </c>
      <c r="AO274">
        <f t="shared" si="139"/>
        <v>1.1358560076543123</v>
      </c>
      <c r="AP274">
        <f t="shared" si="148"/>
        <v>3.0239265033720986</v>
      </c>
      <c r="AR274">
        <v>144.21860000000001</v>
      </c>
      <c r="AS274">
        <v>0.51119925004645683</v>
      </c>
      <c r="AT274">
        <f t="shared" si="129"/>
        <v>73.724440162749943</v>
      </c>
      <c r="AU274">
        <f t="shared" si="140"/>
        <v>4.8958668212505385</v>
      </c>
      <c r="AV274">
        <f t="shared" si="141"/>
        <v>0.43030687550462687</v>
      </c>
      <c r="AW274">
        <f t="shared" si="149"/>
        <v>0.43030687550462687</v>
      </c>
      <c r="AY274" s="4">
        <f t="shared" si="121"/>
        <v>131.81793472470181</v>
      </c>
      <c r="AZ274">
        <f t="shared" si="142"/>
        <v>4.4655599457459116</v>
      </c>
    </row>
    <row r="275" spans="1:52" x14ac:dyDescent="0.35">
      <c r="A275" s="2">
        <v>44805</v>
      </c>
      <c r="B275">
        <v>133.5429</v>
      </c>
      <c r="C275">
        <v>4.5549276239784241E-2</v>
      </c>
      <c r="D275">
        <f t="shared" si="150"/>
        <v>6.082782441961883</v>
      </c>
      <c r="E275">
        <f t="shared" si="130"/>
        <v>-3.6193559655248397</v>
      </c>
      <c r="F275">
        <f t="shared" si="122"/>
        <v>1.8416228586623951</v>
      </c>
      <c r="G275">
        <f t="shared" si="143"/>
        <v>1.3327108860557435</v>
      </c>
      <c r="I275">
        <v>122.3563</v>
      </c>
      <c r="J275">
        <v>7.4056505803590564E-2</v>
      </c>
      <c r="K275">
        <f t="shared" si="123"/>
        <v>9.061280041055868</v>
      </c>
      <c r="L275">
        <f t="shared" si="131"/>
        <v>-6.7483012069128439</v>
      </c>
      <c r="M275">
        <f t="shared" si="124"/>
        <v>1.2873223827256091</v>
      </c>
      <c r="N275">
        <f t="shared" si="144"/>
        <v>0.30627394197720914</v>
      </c>
      <c r="P275">
        <v>93.474339999999998</v>
      </c>
      <c r="Q275">
        <v>0.1073411216118615</v>
      </c>
      <c r="R275">
        <f t="shared" si="125"/>
        <v>10.03364049752849</v>
      </c>
      <c r="S275">
        <f t="shared" si="132"/>
        <v>-6.3615304906440073</v>
      </c>
      <c r="T275">
        <f t="shared" si="133"/>
        <v>0.90055166645677254</v>
      </c>
      <c r="U275">
        <f t="shared" si="145"/>
        <v>0.25295906442670546</v>
      </c>
      <c r="W275">
        <v>108.3944</v>
      </c>
      <c r="X275">
        <v>6.1961736035593282E-2</v>
      </c>
      <c r="Y275">
        <f t="shared" si="126"/>
        <v>6.7163052005365129</v>
      </c>
      <c r="Z275">
        <f t="shared" si="134"/>
        <v>-4.9343715083063895</v>
      </c>
      <c r="AA275">
        <f t="shared" si="135"/>
        <v>0.52660731588084531</v>
      </c>
      <c r="AB275">
        <f t="shared" si="146"/>
        <v>1.0490805183751002</v>
      </c>
      <c r="AD275">
        <v>123.9406</v>
      </c>
      <c r="AE275">
        <v>0.12425022446018935</v>
      </c>
      <c r="AF275">
        <f t="shared" si="127"/>
        <v>15.399647369730545</v>
      </c>
      <c r="AG275">
        <f t="shared" si="136"/>
        <v>-2.0450002805700751</v>
      </c>
      <c r="AH275">
        <f t="shared" si="137"/>
        <v>3.4159785436171597</v>
      </c>
      <c r="AI275">
        <f t="shared" si="147"/>
        <v>3.4159785436171597</v>
      </c>
      <c r="AK275">
        <v>109.0082</v>
      </c>
      <c r="AL275">
        <v>7.5641885802524234E-2</v>
      </c>
      <c r="AM275">
        <f t="shared" si="128"/>
        <v>8.245585815938723</v>
      </c>
      <c r="AN275">
        <f t="shared" si="138"/>
        <v>-3.7171227540837681</v>
      </c>
      <c r="AO275">
        <f t="shared" si="139"/>
        <v>1.7438560701034667</v>
      </c>
      <c r="AP275">
        <f t="shared" si="148"/>
        <v>2.721703875642445</v>
      </c>
      <c r="AR275">
        <v>135.1335</v>
      </c>
      <c r="AS275">
        <v>0.51119925004645683</v>
      </c>
      <c r="AT275">
        <f t="shared" si="129"/>
        <v>69.080143856152873</v>
      </c>
      <c r="AU275">
        <f t="shared" si="140"/>
        <v>-6.29953417936383</v>
      </c>
      <c r="AV275">
        <f t="shared" si="141"/>
        <v>0.83855535517659519</v>
      </c>
      <c r="AW275">
        <f t="shared" si="149"/>
        <v>0.83855535517659519</v>
      </c>
      <c r="AY275" s="4">
        <f t="shared" si="121"/>
        <v>124.6193852229049</v>
      </c>
      <c r="AZ275">
        <f t="shared" si="142"/>
        <v>-5.4609788241872348</v>
      </c>
    </row>
    <row r="276" spans="1:52" x14ac:dyDescent="0.35">
      <c r="A276" s="2">
        <v>44835</v>
      </c>
      <c r="B276">
        <v>131.53319999999999</v>
      </c>
      <c r="C276">
        <v>4.5549276239784241E-2</v>
      </c>
      <c r="D276">
        <f t="shared" si="150"/>
        <v>5.9912420615027884</v>
      </c>
      <c r="E276">
        <f t="shared" si="130"/>
        <v>-1.5049096582446575</v>
      </c>
      <c r="F276">
        <f t="shared" si="122"/>
        <v>0.41450821320045961</v>
      </c>
      <c r="G276">
        <f t="shared" si="143"/>
        <v>1.4271146454619354</v>
      </c>
      <c r="I276">
        <v>122.0579</v>
      </c>
      <c r="J276">
        <v>7.4056505803590564E-2</v>
      </c>
      <c r="K276">
        <f t="shared" si="123"/>
        <v>9.0391815797240778</v>
      </c>
      <c r="L276">
        <f t="shared" si="131"/>
        <v>-0.24387792046670631</v>
      </c>
      <c r="M276">
        <f t="shared" si="124"/>
        <v>1.6755399509784108</v>
      </c>
      <c r="N276">
        <f t="shared" si="144"/>
        <v>0.38821756825280174</v>
      </c>
      <c r="P276">
        <v>92.246300000000005</v>
      </c>
      <c r="Q276">
        <v>0.1073411216118615</v>
      </c>
      <c r="R276">
        <f t="shared" si="125"/>
        <v>9.9018213065442602</v>
      </c>
      <c r="S276">
        <f t="shared" si="132"/>
        <v>-1.3137723144126978</v>
      </c>
      <c r="T276">
        <f t="shared" si="133"/>
        <v>0.60564555703241929</v>
      </c>
      <c r="U276">
        <f t="shared" si="145"/>
        <v>0.29490610942435325</v>
      </c>
      <c r="W276">
        <v>107.31</v>
      </c>
      <c r="X276">
        <v>6.1961736035593282E-2</v>
      </c>
      <c r="Y276">
        <f t="shared" si="126"/>
        <v>6.6491138939795151</v>
      </c>
      <c r="Z276">
        <f t="shared" si="134"/>
        <v>-1.000420685939496</v>
      </c>
      <c r="AA276">
        <f t="shared" si="135"/>
        <v>0.91899718550562115</v>
      </c>
      <c r="AB276">
        <f t="shared" si="146"/>
        <v>2.4969813581115385</v>
      </c>
      <c r="AD276">
        <v>122.19110000000001</v>
      </c>
      <c r="AE276">
        <v>0.12425022446018935</v>
      </c>
      <c r="AF276">
        <f t="shared" si="127"/>
        <v>15.182271602037444</v>
      </c>
      <c r="AG276">
        <f t="shared" si="136"/>
        <v>-1.4115632811201428</v>
      </c>
      <c r="AH276">
        <f t="shared" si="137"/>
        <v>0.50785459032497426</v>
      </c>
      <c r="AI276">
        <f t="shared" si="147"/>
        <v>0.50785459032497426</v>
      </c>
      <c r="AK276">
        <v>105.71899999999999</v>
      </c>
      <c r="AL276">
        <v>7.5641885802524234E-2</v>
      </c>
      <c r="AM276">
        <f t="shared" si="128"/>
        <v>7.9967845251570591</v>
      </c>
      <c r="AN276">
        <f t="shared" si="138"/>
        <v>-3.0173876827614854</v>
      </c>
      <c r="AO276">
        <f t="shared" si="139"/>
        <v>1.0979698113163683</v>
      </c>
      <c r="AP276">
        <f t="shared" si="148"/>
        <v>6.5589486355036026</v>
      </c>
      <c r="AR276">
        <v>131.97790000000001</v>
      </c>
      <c r="AS276">
        <v>0.51119925004645683</v>
      </c>
      <c r="AT276">
        <f t="shared" si="129"/>
        <v>67.467003502706277</v>
      </c>
      <c r="AU276">
        <f t="shared" si="140"/>
        <v>-2.3351722555842835</v>
      </c>
      <c r="AV276">
        <f t="shared" si="141"/>
        <v>0.41575438413916643</v>
      </c>
      <c r="AW276">
        <f t="shared" si="149"/>
        <v>0.41575438413916643</v>
      </c>
      <c r="AY276" s="4">
        <f t="shared" si="121"/>
        <v>122.22741847165142</v>
      </c>
      <c r="AZ276">
        <f t="shared" si="142"/>
        <v>-1.9194178714451171</v>
      </c>
    </row>
    <row r="277" spans="1:52" x14ac:dyDescent="0.35">
      <c r="A277" s="2">
        <v>44866</v>
      </c>
      <c r="B277">
        <v>138.85640000000001</v>
      </c>
      <c r="C277">
        <v>4.5549276239784241E-2</v>
      </c>
      <c r="D277">
        <f t="shared" si="150"/>
        <v>6.3248085212619767</v>
      </c>
      <c r="E277">
        <f t="shared" si="130"/>
        <v>5.5675677319490635</v>
      </c>
      <c r="F277">
        <f t="shared" si="122"/>
        <v>1.8947037949546441</v>
      </c>
      <c r="G277">
        <f t="shared" si="143"/>
        <v>1.4801955817541845</v>
      </c>
      <c r="I277">
        <v>132.57220000000001</v>
      </c>
      <c r="J277">
        <v>7.4056505803590564E-2</v>
      </c>
      <c r="K277">
        <f t="shared" si="123"/>
        <v>9.8178338986947704</v>
      </c>
      <c r="L277">
        <f t="shared" si="131"/>
        <v>8.6141904784532652</v>
      </c>
      <c r="M277">
        <f t="shared" si="124"/>
        <v>1.1519189515495576</v>
      </c>
      <c r="N277">
        <f t="shared" si="144"/>
        <v>0.52362099942885321</v>
      </c>
      <c r="P277">
        <v>102.1054</v>
      </c>
      <c r="Q277">
        <v>0.1073411216118615</v>
      </c>
      <c r="R277">
        <f t="shared" si="125"/>
        <v>10.960108158627763</v>
      </c>
      <c r="S277">
        <f t="shared" si="132"/>
        <v>10.687799944279597</v>
      </c>
      <c r="T277">
        <f t="shared" si="133"/>
        <v>3.2255284173758891</v>
      </c>
      <c r="U277">
        <f t="shared" si="145"/>
        <v>2.6198828603434698</v>
      </c>
      <c r="W277">
        <v>119.38890000000001</v>
      </c>
      <c r="X277">
        <v>6.1961736035593282E-2</v>
      </c>
      <c r="Y277">
        <f t="shared" si="126"/>
        <v>7.3975435073798428</v>
      </c>
      <c r="Z277">
        <f t="shared" si="134"/>
        <v>11.256080514397549</v>
      </c>
      <c r="AA277">
        <f t="shared" si="135"/>
        <v>3.7938089874938417</v>
      </c>
      <c r="AB277">
        <f t="shared" si="146"/>
        <v>3.2859543971688674</v>
      </c>
      <c r="AD277">
        <v>126.8434</v>
      </c>
      <c r="AE277">
        <v>0.12425022446018935</v>
      </c>
      <c r="AF277">
        <f t="shared" si="127"/>
        <v>15.760320921293582</v>
      </c>
      <c r="AG277">
        <f t="shared" si="136"/>
        <v>3.8073967743968318</v>
      </c>
      <c r="AH277">
        <f t="shared" si="137"/>
        <v>3.6548747525068759</v>
      </c>
      <c r="AI277">
        <f t="shared" si="147"/>
        <v>3.6548747525068759</v>
      </c>
      <c r="AK277">
        <v>111.7236</v>
      </c>
      <c r="AL277">
        <v>7.5641885802524234E-2</v>
      </c>
      <c r="AM277">
        <f t="shared" si="128"/>
        <v>8.4509837926468965</v>
      </c>
      <c r="AN277">
        <f t="shared" si="138"/>
        <v>5.6797737398197157</v>
      </c>
      <c r="AO277">
        <f t="shared" si="139"/>
        <v>1.782497787083992</v>
      </c>
      <c r="AP277">
        <f t="shared" si="148"/>
        <v>3.7019156585291091</v>
      </c>
      <c r="AR277">
        <v>142.0909</v>
      </c>
      <c r="AS277">
        <v>0.51119925004645683</v>
      </c>
      <c r="AT277">
        <f t="shared" si="129"/>
        <v>72.636761518426098</v>
      </c>
      <c r="AU277">
        <f t="shared" si="140"/>
        <v>7.6626465491570928</v>
      </c>
      <c r="AV277">
        <f t="shared" si="141"/>
        <v>0.2003750222533851</v>
      </c>
      <c r="AW277">
        <f t="shared" si="149"/>
        <v>0.2003750222533851</v>
      </c>
      <c r="AY277" s="4">
        <f t="shared" si="121"/>
        <v>131.34836031833092</v>
      </c>
      <c r="AZ277">
        <f t="shared" si="142"/>
        <v>7.4622715269037077</v>
      </c>
    </row>
    <row r="278" spans="1:52" x14ac:dyDescent="0.35">
      <c r="A278" s="2">
        <v>44896</v>
      </c>
      <c r="B278">
        <v>137.64510000000001</v>
      </c>
      <c r="C278">
        <v>4.5549276239784241E-2</v>
      </c>
      <c r="D278">
        <f t="shared" si="150"/>
        <v>6.2696346829527263</v>
      </c>
      <c r="E278">
        <f t="shared" si="130"/>
        <v>-0.87234005778631385</v>
      </c>
      <c r="F278">
        <f t="shared" si="122"/>
        <v>1.2744036456564078</v>
      </c>
      <c r="G278">
        <f t="shared" si="143"/>
        <v>0.62030014929823629</v>
      </c>
      <c r="I278">
        <v>133.30170000000001</v>
      </c>
      <c r="J278">
        <v>7.4056505803590564E-2</v>
      </c>
      <c r="K278">
        <f t="shared" si="123"/>
        <v>9.8718581196784889</v>
      </c>
      <c r="L278">
        <f t="shared" si="131"/>
        <v>0.55026619457172465</v>
      </c>
      <c r="M278">
        <f t="shared" si="124"/>
        <v>0.14820260670163066</v>
      </c>
      <c r="N278">
        <f t="shared" si="144"/>
        <v>1.0037163448479269</v>
      </c>
      <c r="P278">
        <v>103.0385</v>
      </c>
      <c r="Q278">
        <v>0.1073411216118615</v>
      </c>
      <c r="R278">
        <f t="shared" si="125"/>
        <v>11.060268159203792</v>
      </c>
      <c r="S278">
        <f t="shared" si="132"/>
        <v>0.91385959998198096</v>
      </c>
      <c r="T278">
        <f t="shared" si="133"/>
        <v>0.51179601211188697</v>
      </c>
      <c r="U278">
        <f t="shared" si="145"/>
        <v>2.7137324052640022</v>
      </c>
      <c r="W278">
        <v>119.52849999999999</v>
      </c>
      <c r="X278">
        <v>6.1961736035593282E-2</v>
      </c>
      <c r="Y278">
        <f t="shared" si="126"/>
        <v>7.4061933657304113</v>
      </c>
      <c r="Z278">
        <f t="shared" si="134"/>
        <v>0.11692879321276717</v>
      </c>
      <c r="AA278">
        <f t="shared" si="135"/>
        <v>0.28513479465732683</v>
      </c>
      <c r="AB278">
        <f t="shared" si="146"/>
        <v>3.3697399578495491</v>
      </c>
      <c r="AD278">
        <v>124.71550000000001</v>
      </c>
      <c r="AE278">
        <v>0.12425022446018935</v>
      </c>
      <c r="AF278">
        <f t="shared" si="127"/>
        <v>15.495928868664747</v>
      </c>
      <c r="AG278">
        <f t="shared" si="136"/>
        <v>-1.6775803865238581</v>
      </c>
      <c r="AH278">
        <f t="shared" si="137"/>
        <v>2.0796439743939521</v>
      </c>
      <c r="AI278">
        <f t="shared" si="147"/>
        <v>2.0796439743939521</v>
      </c>
      <c r="AK278">
        <v>113.3291</v>
      </c>
      <c r="AL278">
        <v>7.5641885802524234E-2</v>
      </c>
      <c r="AM278">
        <f t="shared" si="128"/>
        <v>8.5724268403028496</v>
      </c>
      <c r="AN278">
        <f t="shared" si="138"/>
        <v>1.4370285239645009</v>
      </c>
      <c r="AO278">
        <f t="shared" si="139"/>
        <v>1.0349649360944069</v>
      </c>
      <c r="AP278">
        <f t="shared" si="148"/>
        <v>6.4273065908093008</v>
      </c>
      <c r="AR278">
        <v>143.19300000000001</v>
      </c>
      <c r="AS278">
        <v>0.51119925004645683</v>
      </c>
      <c r="AT278">
        <f t="shared" si="129"/>
        <v>73.200154211902301</v>
      </c>
      <c r="AU278">
        <f t="shared" si="140"/>
        <v>0.77563024796099</v>
      </c>
      <c r="AV278">
        <f t="shared" si="141"/>
        <v>0.37356666009089601</v>
      </c>
      <c r="AW278">
        <f t="shared" si="149"/>
        <v>0.37356666009089601</v>
      </c>
      <c r="AY278" s="4">
        <f t="shared" si="121"/>
        <v>131.87646424843533</v>
      </c>
      <c r="AZ278">
        <f t="shared" si="142"/>
        <v>0.402063587870094</v>
      </c>
    </row>
    <row r="279" spans="1:52" x14ac:dyDescent="0.35">
      <c r="A279" s="2">
        <v>44927</v>
      </c>
      <c r="B279">
        <v>140.99260000000001</v>
      </c>
      <c r="C279">
        <v>4.7391888893781979E-2</v>
      </c>
      <c r="D279">
        <f t="shared" si="150"/>
        <v>6.6819056340454459</v>
      </c>
      <c r="E279">
        <f t="shared" si="130"/>
        <v>2.4319790533771313</v>
      </c>
      <c r="F279">
        <f t="shared" si="122"/>
        <v>0.65677113817252941</v>
      </c>
      <c r="G279">
        <f t="shared" si="143"/>
        <v>0.61763250748387843</v>
      </c>
      <c r="I279">
        <v>140.33760000000001</v>
      </c>
      <c r="J279">
        <v>7.582590522031428E-2</v>
      </c>
      <c r="K279">
        <f t="shared" si="123"/>
        <v>10.641225556446377</v>
      </c>
      <c r="L279">
        <f t="shared" si="131"/>
        <v>5.2781772475519739</v>
      </c>
      <c r="M279">
        <f t="shared" si="124"/>
        <v>2.1894270560023132</v>
      </c>
      <c r="N279">
        <f t="shared" si="144"/>
        <v>2.0412244493006826</v>
      </c>
      <c r="P279">
        <v>109.9074</v>
      </c>
      <c r="Q279">
        <v>0.10811481366109978</v>
      </c>
      <c r="R279">
        <f t="shared" si="125"/>
        <v>11.882618070975957</v>
      </c>
      <c r="S279">
        <f t="shared" si="132"/>
        <v>6.6663431629924608</v>
      </c>
      <c r="T279">
        <f t="shared" si="133"/>
        <v>3.5775929714428001</v>
      </c>
      <c r="U279">
        <f t="shared" si="145"/>
        <v>3.0657969593309131</v>
      </c>
      <c r="W279">
        <v>126.07899999999999</v>
      </c>
      <c r="X279">
        <v>6.3938979096269916E-2</v>
      </c>
      <c r="Y279">
        <f t="shared" si="126"/>
        <v>8.0613625454786142</v>
      </c>
      <c r="Z279">
        <f t="shared" si="134"/>
        <v>5.4802829450716795</v>
      </c>
      <c r="AA279">
        <f t="shared" si="135"/>
        <v>2.3915327535220188</v>
      </c>
      <c r="AB279">
        <f t="shared" si="146"/>
        <v>0.31188877912806667</v>
      </c>
      <c r="AD279">
        <v>123.79559999999999</v>
      </c>
      <c r="AE279">
        <v>0.11737828711452389</v>
      </c>
      <c r="AF279">
        <f t="shared" si="127"/>
        <v>14.530915480314752</v>
      </c>
      <c r="AG279">
        <f t="shared" si="136"/>
        <v>-0.73759877481147651</v>
      </c>
      <c r="AH279">
        <f t="shared" si="137"/>
        <v>3.8263489663611372</v>
      </c>
      <c r="AI279">
        <f t="shared" si="147"/>
        <v>3.8263489663611372</v>
      </c>
      <c r="AK279">
        <v>117.26600000000001</v>
      </c>
      <c r="AL279">
        <v>7.3920049847777544E-2</v>
      </c>
      <c r="AM279">
        <f t="shared" si="128"/>
        <v>8.6683085654494825</v>
      </c>
      <c r="AN279">
        <f t="shared" si="138"/>
        <v>3.4738650531946469</v>
      </c>
      <c r="AO279">
        <f t="shared" si="139"/>
        <v>0.38511486164498621</v>
      </c>
      <c r="AP279">
        <f t="shared" si="148"/>
        <v>1.6948726225107791E-2</v>
      </c>
      <c r="AR279">
        <v>147.018</v>
      </c>
      <c r="AS279">
        <v>0.5134300761662326</v>
      </c>
      <c r="AT279">
        <f t="shared" si="129"/>
        <v>75.48346293780719</v>
      </c>
      <c r="AU279">
        <f t="shared" si="140"/>
        <v>2.6712199618696308</v>
      </c>
      <c r="AV279">
        <f t="shared" si="141"/>
        <v>0.41753022968002984</v>
      </c>
      <c r="AW279">
        <f t="shared" si="149"/>
        <v>0.41753022968002984</v>
      </c>
      <c r="AY279" s="4">
        <f t="shared" si="121"/>
        <v>135.9497987905178</v>
      </c>
      <c r="AZ279">
        <f t="shared" si="142"/>
        <v>3.0887501915496607</v>
      </c>
    </row>
    <row r="280" spans="1:52" x14ac:dyDescent="0.35">
      <c r="A280" s="2">
        <v>44958</v>
      </c>
      <c r="B280">
        <v>143.17230000000001</v>
      </c>
      <c r="C280">
        <v>4.7391888893781979E-2</v>
      </c>
      <c r="D280">
        <f t="shared" si="150"/>
        <v>6.7852057342672216</v>
      </c>
      <c r="E280">
        <f t="shared" si="130"/>
        <v>1.5459676607141093</v>
      </c>
      <c r="F280">
        <f t="shared" si="122"/>
        <v>0.46525245133117732</v>
      </c>
      <c r="G280">
        <f t="shared" si="143"/>
        <v>0.19151868684135209</v>
      </c>
      <c r="I280">
        <v>145.89570000000001</v>
      </c>
      <c r="J280">
        <v>7.582590522031428E-2</v>
      </c>
      <c r="K280">
        <f t="shared" si="123"/>
        <v>11.062673520251407</v>
      </c>
      <c r="L280">
        <f t="shared" si="131"/>
        <v>3.960520915278587</v>
      </c>
      <c r="M280">
        <f t="shared" si="124"/>
        <v>1.9493008032333003</v>
      </c>
      <c r="N280">
        <f t="shared" si="144"/>
        <v>0.24012625276901289</v>
      </c>
      <c r="P280">
        <v>113.6938</v>
      </c>
      <c r="Q280">
        <v>0.10811481366109978</v>
      </c>
      <c r="R280">
        <f t="shared" si="125"/>
        <v>12.291984001422346</v>
      </c>
      <c r="S280">
        <f t="shared" si="132"/>
        <v>3.4450819508058617</v>
      </c>
      <c r="T280">
        <f t="shared" si="133"/>
        <v>1.433861838760575</v>
      </c>
      <c r="U280">
        <f t="shared" si="145"/>
        <v>2.143731132682225</v>
      </c>
      <c r="W280">
        <v>133.60550000000001</v>
      </c>
      <c r="X280">
        <v>6.3938979096269916E-2</v>
      </c>
      <c r="Y280">
        <f t="shared" si="126"/>
        <v>8.5425992716466901</v>
      </c>
      <c r="Z280">
        <f t="shared" si="134"/>
        <v>5.9696698101983747</v>
      </c>
      <c r="AA280">
        <f t="shared" si="135"/>
        <v>3.9584496981530881</v>
      </c>
      <c r="AB280">
        <f t="shared" si="146"/>
        <v>0.13210073179195092</v>
      </c>
      <c r="AD280">
        <v>127.95659999999999</v>
      </c>
      <c r="AE280">
        <v>0.11737828711452389</v>
      </c>
      <c r="AF280">
        <f t="shared" si="127"/>
        <v>15.019326532998287</v>
      </c>
      <c r="AG280">
        <f t="shared" si="136"/>
        <v>3.3611856964221642</v>
      </c>
      <c r="AH280">
        <f t="shared" si="137"/>
        <v>1.3499655843768776</v>
      </c>
      <c r="AI280">
        <f t="shared" si="147"/>
        <v>1.3499655843768776</v>
      </c>
      <c r="AK280">
        <v>120.0188</v>
      </c>
      <c r="AL280">
        <v>7.3920049847777544E-2</v>
      </c>
      <c r="AM280">
        <f t="shared" si="128"/>
        <v>8.8717956786704431</v>
      </c>
      <c r="AN280">
        <f t="shared" si="138"/>
        <v>2.3474834990534266</v>
      </c>
      <c r="AO280">
        <f t="shared" si="139"/>
        <v>0.33626338700813996</v>
      </c>
      <c r="AP280">
        <f t="shared" si="148"/>
        <v>2.7524868045415207</v>
      </c>
      <c r="AR280">
        <v>148.23920000000001</v>
      </c>
      <c r="AS280">
        <v>0.5134300761662326</v>
      </c>
      <c r="AT280">
        <f t="shared" si="129"/>
        <v>76.110463746821395</v>
      </c>
      <c r="AU280">
        <f t="shared" si="140"/>
        <v>0.83064658749270048</v>
      </c>
      <c r="AV280">
        <f t="shared" si="141"/>
        <v>1.1805735245525861</v>
      </c>
      <c r="AW280">
        <f t="shared" si="149"/>
        <v>1.1805735245525861</v>
      </c>
      <c r="AY280" s="4">
        <f t="shared" si="121"/>
        <v>138.68404848607778</v>
      </c>
      <c r="AZ280">
        <f t="shared" si="142"/>
        <v>2.0112201120452866</v>
      </c>
    </row>
    <row r="281" spans="1:52" x14ac:dyDescent="0.35">
      <c r="A281" s="2">
        <v>44986</v>
      </c>
      <c r="B281">
        <v>138.44649999999999</v>
      </c>
      <c r="C281">
        <v>4.7391888893781979E-2</v>
      </c>
      <c r="D281">
        <f t="shared" si="150"/>
        <v>6.5612411457329864</v>
      </c>
      <c r="E281">
        <f t="shared" si="130"/>
        <v>-3.3007781533159863</v>
      </c>
      <c r="F281">
        <f t="shared" si="122"/>
        <v>8.2208441914011221E-2</v>
      </c>
      <c r="G281">
        <f t="shared" si="143"/>
        <v>0.3830440094171661</v>
      </c>
      <c r="I281">
        <v>144.28380000000001</v>
      </c>
      <c r="J281">
        <v>7.582590522031428E-2</v>
      </c>
      <c r="K281">
        <f t="shared" si="123"/>
        <v>10.940449743626782</v>
      </c>
      <c r="L281">
        <f t="shared" si="131"/>
        <v>-1.1048303685440963</v>
      </c>
      <c r="M281">
        <f t="shared" si="124"/>
        <v>2.2781562266859012</v>
      </c>
      <c r="N281">
        <f t="shared" si="144"/>
        <v>0.32885542345260088</v>
      </c>
      <c r="P281">
        <v>111.5346</v>
      </c>
      <c r="Q281">
        <v>0.10811481366109978</v>
      </c>
      <c r="R281">
        <f t="shared" si="125"/>
        <v>12.058542495765298</v>
      </c>
      <c r="S281">
        <f t="shared" si="132"/>
        <v>-1.8991361006492902</v>
      </c>
      <c r="T281">
        <f t="shared" si="133"/>
        <v>1.4838504945807074</v>
      </c>
      <c r="U281">
        <f t="shared" si="145"/>
        <v>4.9988655820132344E-2</v>
      </c>
      <c r="W281">
        <v>130.98070000000001</v>
      </c>
      <c r="X281">
        <v>6.3938979096269916E-2</v>
      </c>
      <c r="Y281">
        <f t="shared" si="126"/>
        <v>8.374772239314801</v>
      </c>
      <c r="Z281">
        <f t="shared" si="134"/>
        <v>-1.9645897811093049</v>
      </c>
      <c r="AA281">
        <f t="shared" si="135"/>
        <v>1.4183968141206926</v>
      </c>
      <c r="AB281">
        <f t="shared" si="146"/>
        <v>6.8431229743814992E-2</v>
      </c>
      <c r="AD281">
        <v>128.07589999999999</v>
      </c>
      <c r="AE281">
        <v>0.11737828711452389</v>
      </c>
      <c r="AF281">
        <f t="shared" si="127"/>
        <v>15.033329762651048</v>
      </c>
      <c r="AG281">
        <f t="shared" si="136"/>
        <v>9.323473740314725E-2</v>
      </c>
      <c r="AH281">
        <f t="shared" si="137"/>
        <v>3.4762213326331448</v>
      </c>
      <c r="AI281">
        <f t="shared" si="147"/>
        <v>3.4762213326331448</v>
      </c>
      <c r="AK281">
        <v>115.8184</v>
      </c>
      <c r="AL281">
        <v>7.3920049847777544E-2</v>
      </c>
      <c r="AM281">
        <f t="shared" si="128"/>
        <v>8.5613019012898377</v>
      </c>
      <c r="AN281">
        <f t="shared" si="138"/>
        <v>-3.49978503367806</v>
      </c>
      <c r="AO281">
        <f t="shared" si="139"/>
        <v>0.11679843844806248</v>
      </c>
      <c r="AP281">
        <f t="shared" si="148"/>
        <v>1.8944216735972241</v>
      </c>
      <c r="AR281">
        <v>141.13460000000001</v>
      </c>
      <c r="AS281">
        <v>0.5134300761662326</v>
      </c>
      <c r="AT281">
        <f t="shared" si="129"/>
        <v>72.462748427690769</v>
      </c>
      <c r="AU281">
        <f t="shared" si="140"/>
        <v>-4.7926594315133908</v>
      </c>
      <c r="AV281">
        <f t="shared" si="141"/>
        <v>1.4096728362833932</v>
      </c>
      <c r="AW281">
        <f t="shared" si="149"/>
        <v>1.4096728362833932</v>
      </c>
      <c r="AY281" s="4">
        <f t="shared" si="121"/>
        <v>133.99238571607151</v>
      </c>
      <c r="AZ281">
        <f t="shared" si="142"/>
        <v>-3.3829865952299976</v>
      </c>
    </row>
    <row r="282" spans="1:52" x14ac:dyDescent="0.35">
      <c r="A282" s="2">
        <v>45017</v>
      </c>
      <c r="B282">
        <v>142.74870000000001</v>
      </c>
      <c r="C282">
        <v>4.7391888893781979E-2</v>
      </c>
      <c r="D282">
        <f t="shared" si="150"/>
        <v>6.7651305301318159</v>
      </c>
      <c r="E282">
        <f t="shared" si="130"/>
        <v>3.1074819515119811</v>
      </c>
      <c r="F282">
        <f t="shared" si="122"/>
        <v>0.44245006203305071</v>
      </c>
      <c r="G282">
        <f t="shared" si="143"/>
        <v>0.36024162011903949</v>
      </c>
      <c r="I282">
        <v>149.35310000000001</v>
      </c>
      <c r="J282">
        <v>7.582590522031428E-2</v>
      </c>
      <c r="K282">
        <f t="shared" si="123"/>
        <v>11.324834004960122</v>
      </c>
      <c r="L282">
        <f t="shared" si="131"/>
        <v>3.5134228513526766</v>
      </c>
      <c r="M282">
        <f t="shared" si="124"/>
        <v>0.84839096187374619</v>
      </c>
      <c r="N282">
        <f t="shared" si="144"/>
        <v>1.429765264812155</v>
      </c>
      <c r="P282">
        <v>114.3974</v>
      </c>
      <c r="Q282">
        <v>0.10811481366109978</v>
      </c>
      <c r="R282">
        <f t="shared" si="125"/>
        <v>12.368053584314296</v>
      </c>
      <c r="S282">
        <f t="shared" si="132"/>
        <v>2.5667371380719617</v>
      </c>
      <c r="T282">
        <f t="shared" si="133"/>
        <v>9.829475140696875E-2</v>
      </c>
      <c r="U282">
        <f t="shared" si="145"/>
        <v>1.3855557431737386</v>
      </c>
      <c r="W282">
        <v>133.6525</v>
      </c>
      <c r="X282">
        <v>6.3938979096269916E-2</v>
      </c>
      <c r="Y282">
        <f t="shared" si="126"/>
        <v>8.5456044036642158</v>
      </c>
      <c r="Z282">
        <f t="shared" si="134"/>
        <v>2.0398425111485707</v>
      </c>
      <c r="AA282">
        <f t="shared" si="135"/>
        <v>0.6251893783303597</v>
      </c>
      <c r="AB282">
        <f t="shared" si="146"/>
        <v>2.8510319543027851</v>
      </c>
      <c r="AD282">
        <v>129.98589999999999</v>
      </c>
      <c r="AE282">
        <v>0.11737828711452389</v>
      </c>
      <c r="AF282">
        <f t="shared" si="127"/>
        <v>15.257522291039789</v>
      </c>
      <c r="AG282">
        <f t="shared" si="136"/>
        <v>1.4913032038033736</v>
      </c>
      <c r="AH282">
        <f t="shared" si="137"/>
        <v>1.1737286856755569</v>
      </c>
      <c r="AI282">
        <f t="shared" si="147"/>
        <v>1.1737286856755569</v>
      </c>
      <c r="AK282">
        <v>118.566</v>
      </c>
      <c r="AL282">
        <v>7.3920049847777544E-2</v>
      </c>
      <c r="AM282">
        <f t="shared" si="128"/>
        <v>8.7644046302515921</v>
      </c>
      <c r="AN282">
        <f t="shared" si="138"/>
        <v>2.3723346204057361</v>
      </c>
      <c r="AO282">
        <f t="shared" si="139"/>
        <v>0.29269726907319438</v>
      </c>
      <c r="AP282">
        <f t="shared" si="148"/>
        <v>3.6756838643031919</v>
      </c>
      <c r="AR282">
        <v>145.17609999999999</v>
      </c>
      <c r="AS282">
        <v>0.5134300761662326</v>
      </c>
      <c r="AT282">
        <f t="shared" si="129"/>
        <v>74.537776080516593</v>
      </c>
      <c r="AU282">
        <f t="shared" si="140"/>
        <v>2.8635784563104894</v>
      </c>
      <c r="AV282">
        <f t="shared" si="141"/>
        <v>0.19854656683155891</v>
      </c>
      <c r="AW282">
        <f t="shared" si="149"/>
        <v>0.19854656683155891</v>
      </c>
      <c r="AY282" s="4">
        <f t="shared" si="121"/>
        <v>137.56332552487842</v>
      </c>
      <c r="AZ282">
        <f t="shared" si="142"/>
        <v>2.6650318894789304</v>
      </c>
    </row>
    <row r="283" spans="1:52" x14ac:dyDescent="0.35">
      <c r="A283" s="2">
        <v>45047</v>
      </c>
      <c r="B283">
        <v>141.2347</v>
      </c>
      <c r="C283">
        <v>4.7391888893781979E-2</v>
      </c>
      <c r="D283">
        <f t="shared" si="150"/>
        <v>6.6933792103466301</v>
      </c>
      <c r="E283">
        <f t="shared" si="130"/>
        <v>-1.0606051053354659</v>
      </c>
      <c r="F283">
        <f t="shared" si="122"/>
        <v>0.22436392061839783</v>
      </c>
      <c r="G283">
        <f t="shared" si="143"/>
        <v>0.21808614141465288</v>
      </c>
      <c r="I283">
        <v>147.76779999999999</v>
      </c>
      <c r="J283">
        <v>7.582590522031428E-2</v>
      </c>
      <c r="K283">
        <f t="shared" si="123"/>
        <v>11.204627197414355</v>
      </c>
      <c r="L283">
        <f t="shared" si="131"/>
        <v>-1.0614443222136116</v>
      </c>
      <c r="M283">
        <f t="shared" si="124"/>
        <v>0.22520313749654353</v>
      </c>
      <c r="N283">
        <f t="shared" si="144"/>
        <v>0.62318782437720266</v>
      </c>
      <c r="P283">
        <v>113.44889999999999</v>
      </c>
      <c r="Q283">
        <v>0.10811481366109978</v>
      </c>
      <c r="R283">
        <f t="shared" si="125"/>
        <v>12.265506683556742</v>
      </c>
      <c r="S283">
        <f t="shared" si="132"/>
        <v>-0.82912723540921052</v>
      </c>
      <c r="T283">
        <f t="shared" si="133"/>
        <v>7.1139493078575811E-3</v>
      </c>
      <c r="U283">
        <f t="shared" si="145"/>
        <v>9.1180802099111169E-2</v>
      </c>
      <c r="W283">
        <v>131.70249999999999</v>
      </c>
      <c r="X283">
        <v>6.3938979096269916E-2</v>
      </c>
      <c r="Y283">
        <f t="shared" si="126"/>
        <v>8.4209233944264881</v>
      </c>
      <c r="Z283">
        <f t="shared" si="134"/>
        <v>-1.4590075007949843</v>
      </c>
      <c r="AA283">
        <f t="shared" si="135"/>
        <v>0.62276631607791622</v>
      </c>
      <c r="AB283">
        <f t="shared" si="146"/>
        <v>0.55096236959764067</v>
      </c>
      <c r="AD283">
        <v>136.6087</v>
      </c>
      <c r="AE283">
        <v>0.11737828711452389</v>
      </c>
      <c r="AF283">
        <f t="shared" si="127"/>
        <v>16.034895210941858</v>
      </c>
      <c r="AG283">
        <f t="shared" si="136"/>
        <v>5.0950141515349046</v>
      </c>
      <c r="AH283">
        <f t="shared" si="137"/>
        <v>5.9312553362519722</v>
      </c>
      <c r="AI283">
        <f t="shared" si="147"/>
        <v>5.9312553362519722</v>
      </c>
      <c r="AK283">
        <v>116.9485</v>
      </c>
      <c r="AL283">
        <v>7.3920049847777544E-2</v>
      </c>
      <c r="AM283">
        <f t="shared" si="128"/>
        <v>8.6448389496228124</v>
      </c>
      <c r="AN283">
        <f t="shared" si="138"/>
        <v>-1.3642190847291902</v>
      </c>
      <c r="AO283">
        <f t="shared" si="139"/>
        <v>0.52797790001212208</v>
      </c>
      <c r="AP283">
        <f t="shared" si="148"/>
        <v>2.1370539894668084</v>
      </c>
      <c r="AR283">
        <v>142.4708</v>
      </c>
      <c r="AS283">
        <v>0.5134300761662326</v>
      </c>
      <c r="AT283">
        <f t="shared" si="129"/>
        <v>73.148793695464093</v>
      </c>
      <c r="AU283">
        <f t="shared" si="140"/>
        <v>-1.8634609966792004</v>
      </c>
      <c r="AV283">
        <f t="shared" si="141"/>
        <v>1.0272198119621323</v>
      </c>
      <c r="AW283">
        <f t="shared" si="149"/>
        <v>1.0272198119621323</v>
      </c>
      <c r="AY283" s="4">
        <f t="shared" si="121"/>
        <v>136.41296434177298</v>
      </c>
      <c r="AZ283">
        <f t="shared" si="142"/>
        <v>-0.8362411847170681</v>
      </c>
    </row>
    <row r="284" spans="1:52" x14ac:dyDescent="0.35">
      <c r="A284" s="2">
        <v>45078</v>
      </c>
      <c r="B284">
        <v>138.5384</v>
      </c>
      <c r="C284">
        <v>4.7391888893781979E-2</v>
      </c>
      <c r="D284">
        <f t="shared" si="150"/>
        <v>6.5655964603223254</v>
      </c>
      <c r="E284">
        <f t="shared" si="130"/>
        <v>-1.9090917458669865</v>
      </c>
      <c r="F284">
        <f t="shared" si="122"/>
        <v>3.6262673282565383</v>
      </c>
      <c r="G284">
        <f t="shared" si="143"/>
        <v>3.4019034076381405</v>
      </c>
      <c r="I284">
        <v>145.6694</v>
      </c>
      <c r="J284">
        <v>7.582590522031428E-2</v>
      </c>
      <c r="K284">
        <f t="shared" si="123"/>
        <v>11.045514117900048</v>
      </c>
      <c r="L284">
        <f t="shared" si="131"/>
        <v>-1.4200658059469018</v>
      </c>
      <c r="M284">
        <f t="shared" si="124"/>
        <v>3.1372413883364536</v>
      </c>
      <c r="N284">
        <f t="shared" si="144"/>
        <v>2.9120382508399101</v>
      </c>
      <c r="P284">
        <v>113.0402</v>
      </c>
      <c r="Q284">
        <v>0.10811481366109978</v>
      </c>
      <c r="R284">
        <f t="shared" si="125"/>
        <v>12.22132015921345</v>
      </c>
      <c r="S284">
        <f t="shared" si="132"/>
        <v>-0.36025029771112882</v>
      </c>
      <c r="T284">
        <f t="shared" si="133"/>
        <v>2.0774258801006806</v>
      </c>
      <c r="U284">
        <f t="shared" si="145"/>
        <v>2.0703119307928231</v>
      </c>
      <c r="W284">
        <v>133.0548</v>
      </c>
      <c r="X284">
        <v>6.3938979096269916E-2</v>
      </c>
      <c r="Y284">
        <f t="shared" si="126"/>
        <v>8.5073880758583744</v>
      </c>
      <c r="Z284">
        <f t="shared" si="134"/>
        <v>1.0267838499648851</v>
      </c>
      <c r="AA284">
        <f t="shared" si="135"/>
        <v>0.69039173242466667</v>
      </c>
      <c r="AB284">
        <f t="shared" si="146"/>
        <v>5.2408636038273055</v>
      </c>
      <c r="AD284">
        <v>145.42259999999999</v>
      </c>
      <c r="AE284">
        <v>0.11737828711452389</v>
      </c>
      <c r="AF284">
        <f t="shared" si="127"/>
        <v>17.069455695740562</v>
      </c>
      <c r="AG284">
        <f t="shared" si="136"/>
        <v>6.4519316851708419</v>
      </c>
      <c r="AH284">
        <f t="shared" si="137"/>
        <v>4.7347561027812901</v>
      </c>
      <c r="AI284">
        <f t="shared" si="147"/>
        <v>4.7347561027812901</v>
      </c>
      <c r="AK284">
        <v>114.5883</v>
      </c>
      <c r="AL284">
        <v>7.3920049847777544E-2</v>
      </c>
      <c r="AM284">
        <f t="shared" si="128"/>
        <v>8.4703728479720883</v>
      </c>
      <c r="AN284">
        <f t="shared" si="138"/>
        <v>-2.0181532896958898</v>
      </c>
      <c r="AO284">
        <f t="shared" si="139"/>
        <v>3.7353288720854416</v>
      </c>
      <c r="AP284">
        <f t="shared" si="148"/>
        <v>4.5715700568025097</v>
      </c>
      <c r="AR284">
        <v>145.83439999999999</v>
      </c>
      <c r="AS284">
        <v>0.5134300761662326</v>
      </c>
      <c r="AT284">
        <f t="shared" si="129"/>
        <v>74.875767099656827</v>
      </c>
      <c r="AU284">
        <f t="shared" si="140"/>
        <v>2.3609048310250236</v>
      </c>
      <c r="AV284">
        <f t="shared" si="141"/>
        <v>0.64372924863547176</v>
      </c>
      <c r="AW284">
        <f t="shared" si="149"/>
        <v>0.64372924863547176</v>
      </c>
      <c r="AY284" s="4">
        <f t="shared" si="121"/>
        <v>138.75541445666366</v>
      </c>
      <c r="AZ284">
        <f t="shared" si="142"/>
        <v>1.7171755823895518</v>
      </c>
    </row>
    <row r="285" spans="1:52" x14ac:dyDescent="0.35">
      <c r="A285" s="2">
        <v>45108</v>
      </c>
      <c r="B285">
        <v>141.3794</v>
      </c>
      <c r="C285">
        <v>4.7391888893781979E-2</v>
      </c>
      <c r="D285">
        <f t="shared" si="150"/>
        <v>6.7002368166695598</v>
      </c>
      <c r="E285">
        <f t="shared" si="130"/>
        <v>2.0506949697701282</v>
      </c>
      <c r="F285">
        <f t="shared" si="122"/>
        <v>0.22897899411011835</v>
      </c>
      <c r="G285">
        <f t="shared" si="143"/>
        <v>3.39728833414642</v>
      </c>
      <c r="I285">
        <v>147.22399999999999</v>
      </c>
      <c r="J285">
        <v>7.582590522031428E-2</v>
      </c>
      <c r="K285">
        <f t="shared" si="123"/>
        <v>11.163393070155548</v>
      </c>
      <c r="L285">
        <f t="shared" si="131"/>
        <v>1.0672110958100944</v>
      </c>
      <c r="M285">
        <f t="shared" si="124"/>
        <v>1.2124628680701521</v>
      </c>
      <c r="N285">
        <f t="shared" si="144"/>
        <v>1.9247785202663015</v>
      </c>
      <c r="P285">
        <v>113.2426</v>
      </c>
      <c r="Q285">
        <v>0.10811481366109978</v>
      </c>
      <c r="R285">
        <f t="shared" si="125"/>
        <v>12.243202597498458</v>
      </c>
      <c r="S285">
        <f t="shared" si="132"/>
        <v>0.1790513463352017</v>
      </c>
      <c r="T285">
        <f t="shared" si="133"/>
        <v>2.1006226175450449</v>
      </c>
      <c r="U285">
        <f t="shared" si="145"/>
        <v>2.3196737444364235E-2</v>
      </c>
      <c r="W285">
        <v>137.68979999999999</v>
      </c>
      <c r="X285">
        <v>6.3938979096269916E-2</v>
      </c>
      <c r="Y285">
        <f t="shared" si="126"/>
        <v>8.8037452439695851</v>
      </c>
      <c r="Z285">
        <f t="shared" si="134"/>
        <v>3.4835270880870128</v>
      </c>
      <c r="AA285">
        <f t="shared" si="135"/>
        <v>1.2038531242067663</v>
      </c>
      <c r="AB285">
        <f t="shared" si="146"/>
        <v>3.5309029785745238</v>
      </c>
      <c r="AD285">
        <v>146.4205</v>
      </c>
      <c r="AE285">
        <v>0.11737828711452389</v>
      </c>
      <c r="AF285">
        <f t="shared" si="127"/>
        <v>17.186587488452144</v>
      </c>
      <c r="AG285">
        <f t="shared" si="136"/>
        <v>0.68620695820320599</v>
      </c>
      <c r="AH285">
        <f t="shared" si="137"/>
        <v>1.5934670056770406</v>
      </c>
      <c r="AI285">
        <f t="shared" si="147"/>
        <v>1.5934670056770406</v>
      </c>
      <c r="AK285">
        <v>113.9178</v>
      </c>
      <c r="AL285">
        <v>7.3920049847777544E-2</v>
      </c>
      <c r="AM285">
        <f t="shared" si="128"/>
        <v>8.4208094545491523</v>
      </c>
      <c r="AN285">
        <f t="shared" si="138"/>
        <v>-0.58513827327921764</v>
      </c>
      <c r="AO285">
        <f t="shared" si="139"/>
        <v>2.8648122371594642</v>
      </c>
      <c r="AP285">
        <f t="shared" si="148"/>
        <v>1.1476366547699124</v>
      </c>
      <c r="AR285">
        <v>150.75200000000001</v>
      </c>
      <c r="AS285">
        <v>0.5134300761662326</v>
      </c>
      <c r="AT285">
        <f t="shared" si="129"/>
        <v>77.400610842211904</v>
      </c>
      <c r="AU285">
        <f t="shared" si="140"/>
        <v>3.3720439073360087</v>
      </c>
      <c r="AV285">
        <f t="shared" si="141"/>
        <v>1.0923699434557621</v>
      </c>
      <c r="AW285">
        <f t="shared" si="149"/>
        <v>1.0923699434557621</v>
      </c>
      <c r="AY285" s="4">
        <f t="shared" si="121"/>
        <v>141.91858551350634</v>
      </c>
      <c r="AZ285">
        <f t="shared" si="142"/>
        <v>2.2796739638802466</v>
      </c>
    </row>
    <row r="286" spans="1:52" x14ac:dyDescent="0.35">
      <c r="A286" s="2">
        <v>45139</v>
      </c>
      <c r="B286">
        <v>140.1464</v>
      </c>
      <c r="C286">
        <v>4.7391888893781979E-2</v>
      </c>
      <c r="D286">
        <f t="shared" si="150"/>
        <v>6.6418026176635268</v>
      </c>
      <c r="E286">
        <f t="shared" si="130"/>
        <v>-0.87212139816692513</v>
      </c>
      <c r="F286">
        <f t="shared" si="122"/>
        <v>0.23316818513973159</v>
      </c>
      <c r="G286">
        <f t="shared" si="143"/>
        <v>4.1891910296132373E-3</v>
      </c>
      <c r="I286">
        <v>146.1968</v>
      </c>
      <c r="J286">
        <v>7.582590522031428E-2</v>
      </c>
      <c r="K286">
        <f t="shared" si="123"/>
        <v>11.085504700313242</v>
      </c>
      <c r="L286">
        <f t="shared" si="131"/>
        <v>-0.69771232951149065</v>
      </c>
      <c r="M286">
        <f t="shared" si="124"/>
        <v>5.8759116484297103E-2</v>
      </c>
      <c r="N286">
        <f t="shared" si="144"/>
        <v>1.153703751585855</v>
      </c>
      <c r="P286">
        <v>111.5635</v>
      </c>
      <c r="Q286">
        <v>0.10811481366109978</v>
      </c>
      <c r="R286">
        <f t="shared" si="125"/>
        <v>12.061667013880106</v>
      </c>
      <c r="S286">
        <f t="shared" si="132"/>
        <v>-1.482745892446824</v>
      </c>
      <c r="T286">
        <f t="shared" si="133"/>
        <v>0.84379267941963043</v>
      </c>
      <c r="U286">
        <f t="shared" si="145"/>
        <v>1.2568299381254144</v>
      </c>
      <c r="W286">
        <v>136.7439</v>
      </c>
      <c r="X286">
        <v>6.3938979096269916E-2</v>
      </c>
      <c r="Y286">
        <f t="shared" si="126"/>
        <v>8.7432653636424238</v>
      </c>
      <c r="Z286">
        <f t="shared" si="134"/>
        <v>-0.68697899190789391</v>
      </c>
      <c r="AA286">
        <f t="shared" si="135"/>
        <v>4.8025778880700365E-2</v>
      </c>
      <c r="AB286">
        <f t="shared" si="146"/>
        <v>1.5454412267963402</v>
      </c>
      <c r="AD286">
        <v>147.2978</v>
      </c>
      <c r="AE286">
        <v>0.11737828711452389</v>
      </c>
      <c r="AF286">
        <f t="shared" si="127"/>
        <v>17.289563459737717</v>
      </c>
      <c r="AG286">
        <f t="shared" si="136"/>
        <v>0.59916473444632246</v>
      </c>
      <c r="AH286">
        <f t="shared" si="137"/>
        <v>1.238117947473516</v>
      </c>
      <c r="AI286">
        <f t="shared" si="147"/>
        <v>1.238117947473516</v>
      </c>
      <c r="AK286">
        <v>112.8674</v>
      </c>
      <c r="AL286">
        <v>7.3920049847777544E-2</v>
      </c>
      <c r="AM286">
        <f t="shared" si="128"/>
        <v>8.3431638341890473</v>
      </c>
      <c r="AN286">
        <f t="shared" si="138"/>
        <v>-0.9220683685955966</v>
      </c>
      <c r="AO286">
        <f t="shared" si="139"/>
        <v>0.28311515556840305</v>
      </c>
      <c r="AP286">
        <f t="shared" si="148"/>
        <v>1.9965588083118435</v>
      </c>
      <c r="AR286">
        <v>149.67339999999999</v>
      </c>
      <c r="AS286">
        <v>0.5134300761662326</v>
      </c>
      <c r="AT286">
        <f t="shared" si="129"/>
        <v>76.846825162058991</v>
      </c>
      <c r="AU286">
        <f t="shared" si="140"/>
        <v>-0.71547972829549833</v>
      </c>
      <c r="AV286">
        <f t="shared" si="141"/>
        <v>7.6526515268304784E-2</v>
      </c>
      <c r="AW286">
        <f t="shared" si="149"/>
        <v>7.6526515268304784E-2</v>
      </c>
      <c r="AY286" s="4">
        <f t="shared" si="121"/>
        <v>141.01179215148505</v>
      </c>
      <c r="AZ286">
        <f t="shared" si="142"/>
        <v>-0.63895321302719355</v>
      </c>
    </row>
    <row r="287" spans="1:52" x14ac:dyDescent="0.35">
      <c r="A287" s="2">
        <v>45170</v>
      </c>
      <c r="B287">
        <v>140.22139999999999</v>
      </c>
      <c r="C287">
        <v>4.7391888893781979E-2</v>
      </c>
      <c r="D287">
        <f t="shared" si="150"/>
        <v>6.6453570093305601</v>
      </c>
      <c r="E287">
        <f t="shared" si="130"/>
        <v>5.3515466683395907E-2</v>
      </c>
      <c r="F287">
        <f t="shared" si="122"/>
        <v>0.25832633450367792</v>
      </c>
      <c r="G287">
        <f t="shared" si="143"/>
        <v>2.5158149363946336E-2</v>
      </c>
      <c r="I287">
        <v>144.7303</v>
      </c>
      <c r="J287">
        <v>7.582590522031428E-2</v>
      </c>
      <c r="K287">
        <f t="shared" si="123"/>
        <v>10.974306010307652</v>
      </c>
      <c r="L287">
        <f t="shared" si="131"/>
        <v>-1.0030999310518429</v>
      </c>
      <c r="M287">
        <f t="shared" si="124"/>
        <v>0.7982890632315609</v>
      </c>
      <c r="N287">
        <f t="shared" si="144"/>
        <v>0.7395299467472638</v>
      </c>
      <c r="P287">
        <v>109.90170000000001</v>
      </c>
      <c r="Q287">
        <v>0.10811481366109978</v>
      </c>
      <c r="R287">
        <f t="shared" si="125"/>
        <v>11.882001816538089</v>
      </c>
      <c r="S287">
        <f t="shared" si="132"/>
        <v>-1.4895552756950092</v>
      </c>
      <c r="T287">
        <f t="shared" si="133"/>
        <v>1.2847444078747272</v>
      </c>
      <c r="U287">
        <f t="shared" si="145"/>
        <v>0.44095172845509678</v>
      </c>
      <c r="W287">
        <v>136.4983</v>
      </c>
      <c r="X287">
        <v>6.3938979096269916E-2</v>
      </c>
      <c r="Y287">
        <f t="shared" si="126"/>
        <v>8.7275619503763799</v>
      </c>
      <c r="Z287">
        <f t="shared" si="134"/>
        <v>-0.17960581788291075</v>
      </c>
      <c r="AA287">
        <f t="shared" si="135"/>
        <v>2.5205049937371271E-2</v>
      </c>
      <c r="AB287">
        <f t="shared" si="146"/>
        <v>1.2129128975361447</v>
      </c>
      <c r="AD287">
        <v>153.541</v>
      </c>
      <c r="AE287">
        <v>0.11737828711452389</v>
      </c>
      <c r="AF287">
        <f t="shared" si="127"/>
        <v>18.022379581851112</v>
      </c>
      <c r="AG287">
        <f t="shared" si="136"/>
        <v>4.2384882869941132</v>
      </c>
      <c r="AH287">
        <f t="shared" si="137"/>
        <v>4.4432991548143956</v>
      </c>
      <c r="AI287">
        <f t="shared" si="147"/>
        <v>4.4432991548143956</v>
      </c>
      <c r="AK287">
        <v>114.87869999999999</v>
      </c>
      <c r="AL287">
        <v>7.3920049847777544E-2</v>
      </c>
      <c r="AM287">
        <f t="shared" si="128"/>
        <v>8.4918392304478818</v>
      </c>
      <c r="AN287">
        <f t="shared" si="138"/>
        <v>1.7820025977385745</v>
      </c>
      <c r="AO287">
        <f t="shared" si="139"/>
        <v>1.9868134655588565</v>
      </c>
      <c r="AP287">
        <f t="shared" si="148"/>
        <v>2.6257666785860501</v>
      </c>
      <c r="AR287">
        <v>147.98419999999999</v>
      </c>
      <c r="AS287">
        <v>0.5134300761662326</v>
      </c>
      <c r="AT287">
        <f t="shared" si="129"/>
        <v>75.979539077398996</v>
      </c>
      <c r="AU287">
        <f t="shared" si="140"/>
        <v>-1.1285906513782695</v>
      </c>
      <c r="AV287">
        <f t="shared" si="141"/>
        <v>0.92377978355798751</v>
      </c>
      <c r="AW287">
        <f t="shared" si="149"/>
        <v>0.92377978355798751</v>
      </c>
      <c r="AY287" s="4">
        <f t="shared" si="121"/>
        <v>140.72298467625066</v>
      </c>
      <c r="AZ287">
        <f t="shared" si="142"/>
        <v>-0.20481086782028202</v>
      </c>
    </row>
    <row r="288" spans="1:52" x14ac:dyDescent="0.35">
      <c r="A288" s="2">
        <v>45200</v>
      </c>
      <c r="B288">
        <v>133.9453</v>
      </c>
      <c r="C288">
        <v>4.7391888893781979E-2</v>
      </c>
      <c r="D288">
        <f t="shared" si="150"/>
        <v>6.3479207754442957</v>
      </c>
      <c r="E288">
        <f t="shared" si="130"/>
        <v>-4.4758503338292011</v>
      </c>
      <c r="F288">
        <f t="shared" si="122"/>
        <v>0.52269500922995649</v>
      </c>
      <c r="G288">
        <f t="shared" si="143"/>
        <v>0.26436867472627856</v>
      </c>
      <c r="I288">
        <v>139.0498</v>
      </c>
      <c r="J288">
        <v>7.582590522031428E-2</v>
      </c>
      <c r="K288">
        <f t="shared" si="123"/>
        <v>10.543576955703656</v>
      </c>
      <c r="L288">
        <f t="shared" si="131"/>
        <v>-3.9248864957787011</v>
      </c>
      <c r="M288">
        <f t="shared" si="124"/>
        <v>2.826882882054349E-2</v>
      </c>
      <c r="N288">
        <f t="shared" si="144"/>
        <v>0.77002023441101741</v>
      </c>
      <c r="P288">
        <v>105.30370000000001</v>
      </c>
      <c r="Q288">
        <v>0.10811481366109978</v>
      </c>
      <c r="R288">
        <f t="shared" si="125"/>
        <v>11.384889903324353</v>
      </c>
      <c r="S288">
        <f t="shared" si="132"/>
        <v>-4.1837387410749827</v>
      </c>
      <c r="T288">
        <f t="shared" si="133"/>
        <v>0.2305834164757381</v>
      </c>
      <c r="U288">
        <f t="shared" si="145"/>
        <v>1.0541609913989891</v>
      </c>
      <c r="W288">
        <v>132.4709</v>
      </c>
      <c r="X288">
        <v>6.3938979096269916E-2</v>
      </c>
      <c r="Y288">
        <f t="shared" si="126"/>
        <v>8.4700541059640617</v>
      </c>
      <c r="Z288">
        <f t="shared" si="134"/>
        <v>-2.9505129367911498</v>
      </c>
      <c r="AA288">
        <f t="shared" si="135"/>
        <v>1.0026423878080948</v>
      </c>
      <c r="AB288">
        <f t="shared" si="146"/>
        <v>3.4406567670063009</v>
      </c>
      <c r="AD288">
        <v>146.35990000000001</v>
      </c>
      <c r="AE288">
        <v>0.11737828711452389</v>
      </c>
      <c r="AF288">
        <f t="shared" si="127"/>
        <v>17.179474364253007</v>
      </c>
      <c r="AG288">
        <f t="shared" si="136"/>
        <v>-4.6769918132615995</v>
      </c>
      <c r="AH288">
        <f t="shared" si="137"/>
        <v>0.72383648866235495</v>
      </c>
      <c r="AI288">
        <f t="shared" si="147"/>
        <v>0.72383648866235495</v>
      </c>
      <c r="AK288">
        <v>113.4461</v>
      </c>
      <c r="AL288">
        <v>7.3920049847777544E-2</v>
      </c>
      <c r="AM288">
        <f t="shared" si="128"/>
        <v>8.3859413670359562</v>
      </c>
      <c r="AN288">
        <f t="shared" si="138"/>
        <v>-1.2470545018354096</v>
      </c>
      <c r="AO288">
        <f t="shared" si="139"/>
        <v>2.706100822763835</v>
      </c>
      <c r="AP288">
        <f t="shared" si="148"/>
        <v>2.910911690584117</v>
      </c>
      <c r="AR288">
        <v>141.8852</v>
      </c>
      <c r="AS288">
        <v>0.5134300761662326</v>
      </c>
      <c r="AT288">
        <f t="shared" si="129"/>
        <v>72.848129042861146</v>
      </c>
      <c r="AU288">
        <f t="shared" si="140"/>
        <v>-4.1213859317413508</v>
      </c>
      <c r="AV288">
        <f t="shared" si="141"/>
        <v>0.16823060714210625</v>
      </c>
      <c r="AW288">
        <f t="shared" si="149"/>
        <v>0.16823060714210625</v>
      </c>
      <c r="AY288" s="4">
        <f t="shared" si="121"/>
        <v>135.15998651458648</v>
      </c>
      <c r="AZ288">
        <f t="shared" si="142"/>
        <v>-3.9531553245992446</v>
      </c>
    </row>
    <row r="289" spans="1:52" x14ac:dyDescent="0.35">
      <c r="A289" s="2">
        <v>45231</v>
      </c>
      <c r="B289">
        <v>138.76679999999999</v>
      </c>
      <c r="C289">
        <v>4.7391888893781979E-2</v>
      </c>
      <c r="D289">
        <f t="shared" si="150"/>
        <v>6.576420767745665</v>
      </c>
      <c r="E289">
        <f t="shared" si="130"/>
        <v>3.5996037188314789</v>
      </c>
      <c r="F289">
        <f t="shared" si="122"/>
        <v>0.37295645263302202</v>
      </c>
      <c r="G289">
        <f t="shared" si="143"/>
        <v>0.14973855659693447</v>
      </c>
      <c r="I289">
        <v>142.87</v>
      </c>
      <c r="J289">
        <v>7.582590522031428E-2</v>
      </c>
      <c r="K289">
        <f t="shared" si="123"/>
        <v>10.833247078826302</v>
      </c>
      <c r="L289">
        <f t="shared" si="131"/>
        <v>2.7473610174196583</v>
      </c>
      <c r="M289">
        <f t="shared" si="124"/>
        <v>0.47928624877879855</v>
      </c>
      <c r="N289">
        <f t="shared" si="144"/>
        <v>0.45101741995825506</v>
      </c>
      <c r="P289">
        <v>109.1999</v>
      </c>
      <c r="Q289">
        <v>0.10811481366109978</v>
      </c>
      <c r="R289">
        <f t="shared" si="125"/>
        <v>11.80612684031073</v>
      </c>
      <c r="S289">
        <f t="shared" si="132"/>
        <v>3.6999649584962269</v>
      </c>
      <c r="T289">
        <f t="shared" si="133"/>
        <v>0.47331769229776999</v>
      </c>
      <c r="U289">
        <f t="shared" si="145"/>
        <v>0.24273427582203189</v>
      </c>
      <c r="W289">
        <v>138.24340000000001</v>
      </c>
      <c r="X289">
        <v>6.3938979096269916E-2</v>
      </c>
      <c r="Y289">
        <f t="shared" si="126"/>
        <v>8.8391418627972804</v>
      </c>
      <c r="Z289">
        <f t="shared" si="134"/>
        <v>4.3575607925967264</v>
      </c>
      <c r="AA289">
        <f t="shared" si="135"/>
        <v>1.1309135263982695</v>
      </c>
      <c r="AB289">
        <f t="shared" si="146"/>
        <v>0.40707703773591453</v>
      </c>
      <c r="AD289">
        <v>151.8579</v>
      </c>
      <c r="AE289">
        <v>0.11737828711452389</v>
      </c>
      <c r="AF289">
        <f t="shared" si="127"/>
        <v>17.824820186808658</v>
      </c>
      <c r="AG289">
        <f t="shared" si="136"/>
        <v>3.7564934111050885</v>
      </c>
      <c r="AH289">
        <f t="shared" si="137"/>
        <v>0.52984614490663162</v>
      </c>
      <c r="AI289">
        <f t="shared" si="147"/>
        <v>0.52984614490663162</v>
      </c>
      <c r="AK289">
        <v>112.8533</v>
      </c>
      <c r="AL289">
        <v>7.3920049847777544E-2</v>
      </c>
      <c r="AM289">
        <f t="shared" si="128"/>
        <v>8.3421215614861932</v>
      </c>
      <c r="AN289">
        <f t="shared" si="138"/>
        <v>-0.52253889732657433</v>
      </c>
      <c r="AO289">
        <f t="shared" si="139"/>
        <v>3.7491861635250312</v>
      </c>
      <c r="AP289">
        <f t="shared" si="148"/>
        <v>7.7023414881242758</v>
      </c>
      <c r="AR289">
        <v>146.6592</v>
      </c>
      <c r="AS289">
        <v>0.5134300761662326</v>
      </c>
      <c r="AT289">
        <f t="shared" si="129"/>
        <v>75.299244226478734</v>
      </c>
      <c r="AU289">
        <f t="shared" si="140"/>
        <v>3.3646920186178653</v>
      </c>
      <c r="AV289">
        <f t="shared" si="141"/>
        <v>0.13804475241940839</v>
      </c>
      <c r="AW289">
        <f t="shared" si="149"/>
        <v>0.13804475241940839</v>
      </c>
      <c r="AY289" s="4">
        <f t="shared" si="121"/>
        <v>139.52112252445357</v>
      </c>
      <c r="AZ289">
        <f t="shared" si="142"/>
        <v>3.2266472661984569</v>
      </c>
    </row>
    <row r="290" spans="1:52" x14ac:dyDescent="0.35">
      <c r="A290" s="2">
        <v>45261</v>
      </c>
      <c r="B290">
        <v>143.79249999999999</v>
      </c>
      <c r="C290">
        <v>4.7391888893781979E-2</v>
      </c>
      <c r="D290">
        <f t="shared" si="150"/>
        <v>6.8145981837591449</v>
      </c>
      <c r="E290">
        <f t="shared" si="130"/>
        <v>3.6216876082751703</v>
      </c>
      <c r="F290">
        <f t="shared" si="122"/>
        <v>0.88040006682694738</v>
      </c>
      <c r="G290">
        <f t="shared" si="143"/>
        <v>0.50744361419392536</v>
      </c>
      <c r="I290">
        <v>150.01320000000001</v>
      </c>
      <c r="J290">
        <v>7.582590522031428E-2</v>
      </c>
      <c r="K290">
        <f t="shared" si="123"/>
        <v>11.374886684996051</v>
      </c>
      <c r="L290">
        <f t="shared" si="131"/>
        <v>4.999790018898298</v>
      </c>
      <c r="M290">
        <f t="shared" si="124"/>
        <v>0.49770234379618028</v>
      </c>
      <c r="N290">
        <f t="shared" si="144"/>
        <v>1.8416095017381728E-2</v>
      </c>
      <c r="P290">
        <v>116.1075</v>
      </c>
      <c r="Q290">
        <v>0.10811481366109978</v>
      </c>
      <c r="R290">
        <f t="shared" si="125"/>
        <v>12.552940727156143</v>
      </c>
      <c r="S290">
        <f t="shared" si="132"/>
        <v>6.3256468183578995</v>
      </c>
      <c r="T290">
        <f t="shared" si="133"/>
        <v>1.8235591432557818</v>
      </c>
      <c r="U290">
        <f t="shared" si="145"/>
        <v>1.3502414509580118</v>
      </c>
      <c r="W290">
        <v>144.48679999999999</v>
      </c>
      <c r="X290">
        <v>6.3938979096269902E-2</v>
      </c>
      <c r="Y290">
        <f t="shared" si="126"/>
        <v>9.2383384848869294</v>
      </c>
      <c r="Z290">
        <f t="shared" si="134"/>
        <v>4.5162373031913061</v>
      </c>
      <c r="AA290">
        <f t="shared" si="135"/>
        <v>1.4149628089188404E-2</v>
      </c>
      <c r="AB290">
        <f t="shared" si="146"/>
        <v>0.51569651681744322</v>
      </c>
      <c r="AD290">
        <v>151.3699</v>
      </c>
      <c r="AE290">
        <v>0.11737828711452389</v>
      </c>
      <c r="AF290">
        <f t="shared" si="127"/>
        <v>17.76753958269677</v>
      </c>
      <c r="AG290">
        <f t="shared" si="136"/>
        <v>-0.32135305440151862</v>
      </c>
      <c r="AH290">
        <f t="shared" si="137"/>
        <v>4.8234407295036359</v>
      </c>
      <c r="AI290">
        <f t="shared" si="147"/>
        <v>4.8234407295036359</v>
      </c>
      <c r="AK290">
        <v>115.4689</v>
      </c>
      <c r="AL290">
        <v>7.3920049847777544E-2</v>
      </c>
      <c r="AM290">
        <f t="shared" si="128"/>
        <v>8.5354668438680417</v>
      </c>
      <c r="AN290">
        <f t="shared" si="138"/>
        <v>2.3176991722882789</v>
      </c>
      <c r="AO290">
        <f t="shared" si="139"/>
        <v>2.1843885028138388</v>
      </c>
      <c r="AP290">
        <f t="shared" si="148"/>
        <v>1.0422587633846181</v>
      </c>
      <c r="AR290">
        <v>154.87739999999999</v>
      </c>
      <c r="AS290">
        <v>0.5134300761662326</v>
      </c>
      <c r="AT290">
        <f t="shared" si="129"/>
        <v>79.518715278428076</v>
      </c>
      <c r="AU290">
        <f t="shared" si="140"/>
        <v>5.6036034561759429</v>
      </c>
      <c r="AV290">
        <f t="shared" si="141"/>
        <v>1.1015157810738252</v>
      </c>
      <c r="AW290">
        <f t="shared" si="149"/>
        <v>1.1015157810738252</v>
      </c>
      <c r="AY290" s="4">
        <f t="shared" si="121"/>
        <v>145.80248578579113</v>
      </c>
      <c r="AZ290">
        <f t="shared" si="142"/>
        <v>4.5020876751021177</v>
      </c>
    </row>
    <row r="291" spans="1:52" x14ac:dyDescent="0.35">
      <c r="A291" s="2">
        <v>45292</v>
      </c>
      <c r="B291">
        <v>146.28039999999999</v>
      </c>
      <c r="C291">
        <v>4.7387021608942731E-2</v>
      </c>
      <c r="D291">
        <f t="shared" si="150"/>
        <v>6.9317924757647855</v>
      </c>
      <c r="E291">
        <f t="shared" si="130"/>
        <v>1.7302015056418041</v>
      </c>
      <c r="F291">
        <f t="shared" si="122"/>
        <v>9.1744599315357611E-2</v>
      </c>
      <c r="G291">
        <f t="shared" si="143"/>
        <v>0.78865546751158977</v>
      </c>
      <c r="I291">
        <v>149.16329999999999</v>
      </c>
      <c r="J291">
        <v>7.4676992662001826E-2</v>
      </c>
      <c r="K291">
        <f t="shared" si="123"/>
        <v>11.139066659539976</v>
      </c>
      <c r="L291">
        <f t="shared" si="131"/>
        <v>-0.56655014358737432</v>
      </c>
      <c r="M291">
        <f t="shared" si="124"/>
        <v>2.2050070499138208</v>
      </c>
      <c r="N291">
        <f t="shared" si="144"/>
        <v>1.7073047061176405</v>
      </c>
      <c r="P291">
        <v>115.7026</v>
      </c>
      <c r="Q291">
        <v>0.10622268479295201</v>
      </c>
      <c r="R291">
        <f t="shared" si="125"/>
        <v>12.29024080952501</v>
      </c>
      <c r="S291">
        <f t="shared" si="132"/>
        <v>-0.34872854897400885</v>
      </c>
      <c r="T291">
        <f t="shared" si="133"/>
        <v>1.9871854553004553</v>
      </c>
      <c r="U291">
        <f t="shared" si="145"/>
        <v>0.16362631204467348</v>
      </c>
      <c r="W291">
        <v>144.8665</v>
      </c>
      <c r="X291">
        <v>6.3427209744892382E-2</v>
      </c>
      <c r="Y291">
        <f t="shared" si="126"/>
        <v>9.1884778805084526</v>
      </c>
      <c r="Z291">
        <f t="shared" si="134"/>
        <v>0.26279217201850003</v>
      </c>
      <c r="AA291">
        <f t="shared" si="135"/>
        <v>1.3756647343079464</v>
      </c>
      <c r="AB291">
        <f t="shared" si="146"/>
        <v>3.4477759951956894</v>
      </c>
      <c r="AD291">
        <v>159.41800000000001</v>
      </c>
      <c r="AE291">
        <v>0.11569652907033591</v>
      </c>
      <c r="AF291">
        <f t="shared" si="127"/>
        <v>18.44410927133481</v>
      </c>
      <c r="AG291">
        <f t="shared" si="136"/>
        <v>5.3168430447532833</v>
      </c>
      <c r="AH291">
        <f t="shared" si="137"/>
        <v>3.6783861384268368</v>
      </c>
      <c r="AI291">
        <f t="shared" si="147"/>
        <v>3.6783861384268368</v>
      </c>
      <c r="AK291">
        <v>115.3066</v>
      </c>
      <c r="AL291">
        <v>7.2800014770920449E-2</v>
      </c>
      <c r="AM291">
        <f t="shared" si="128"/>
        <v>8.3943221831846166</v>
      </c>
      <c r="AN291">
        <f t="shared" si="138"/>
        <v>-0.14055732755746675</v>
      </c>
      <c r="AO291">
        <f t="shared" si="139"/>
        <v>1.7790142338839132</v>
      </c>
      <c r="AP291">
        <f t="shared" si="148"/>
        <v>2.7230734412182045</v>
      </c>
      <c r="AR291">
        <v>157.37790000000001</v>
      </c>
      <c r="AS291">
        <v>0.51978954734995475</v>
      </c>
      <c r="AT291">
        <f t="shared" si="129"/>
        <v>81.803387403886447</v>
      </c>
      <c r="AU291">
        <f t="shared" si="140"/>
        <v>1.6145028261063343</v>
      </c>
      <c r="AV291">
        <f t="shared" si="141"/>
        <v>2.3954080220112139E-2</v>
      </c>
      <c r="AW291">
        <f t="shared" si="149"/>
        <v>2.3954080220112139E-2</v>
      </c>
      <c r="AY291" s="4">
        <f t="shared" si="121"/>
        <v>148.19139668374407</v>
      </c>
      <c r="AZ291">
        <f t="shared" si="142"/>
        <v>1.6384569063264465</v>
      </c>
    </row>
    <row r="292" spans="1:52" x14ac:dyDescent="0.35">
      <c r="A292" s="2">
        <v>45323</v>
      </c>
      <c r="B292">
        <v>147.30950000000001</v>
      </c>
      <c r="C292">
        <v>4.7387021608942731E-2</v>
      </c>
      <c r="D292">
        <f t="shared" si="150"/>
        <v>6.9805584597025501</v>
      </c>
      <c r="E292">
        <f t="shared" si="130"/>
        <v>0.70351188539272691</v>
      </c>
      <c r="F292">
        <f t="shared" si="122"/>
        <v>2.4924943077401895</v>
      </c>
      <c r="G292">
        <f t="shared" si="143"/>
        <v>2.4007497084248319</v>
      </c>
      <c r="I292">
        <v>154.375</v>
      </c>
      <c r="J292">
        <v>7.4676992662001826E-2</v>
      </c>
      <c r="K292">
        <f t="shared" si="123"/>
        <v>11.528260742196531</v>
      </c>
      <c r="L292">
        <f t="shared" si="131"/>
        <v>3.4939559529723496</v>
      </c>
      <c r="M292">
        <f t="shared" si="124"/>
        <v>0.29794975983943317</v>
      </c>
      <c r="N292">
        <f t="shared" si="144"/>
        <v>1.9070572900743876</v>
      </c>
      <c r="P292">
        <v>118.33029999999999</v>
      </c>
      <c r="Q292">
        <v>0.10622268479295201</v>
      </c>
      <c r="R292">
        <f t="shared" si="125"/>
        <v>12.569362158355448</v>
      </c>
      <c r="S292">
        <f t="shared" si="132"/>
        <v>2.2710812030153127</v>
      </c>
      <c r="T292">
        <f t="shared" si="133"/>
        <v>0.92492499011760376</v>
      </c>
      <c r="U292">
        <f t="shared" si="145"/>
        <v>1.0622604651828516</v>
      </c>
      <c r="W292">
        <v>150.40039999999999</v>
      </c>
      <c r="X292">
        <v>6.3427209744892382E-2</v>
      </c>
      <c r="Y292">
        <f t="shared" si="126"/>
        <v>9.5394777165157123</v>
      </c>
      <c r="Z292">
        <f t="shared" si="134"/>
        <v>3.8199997929127871</v>
      </c>
      <c r="AA292">
        <f t="shared" si="135"/>
        <v>0.62399359977987068</v>
      </c>
      <c r="AB292">
        <f t="shared" si="146"/>
        <v>3.0543925386469661</v>
      </c>
      <c r="AD292">
        <v>168.0147</v>
      </c>
      <c r="AE292">
        <v>0.11569652907033591</v>
      </c>
      <c r="AF292">
        <f t="shared" si="127"/>
        <v>19.438717622793767</v>
      </c>
      <c r="AG292">
        <f t="shared" si="136"/>
        <v>5.3925529112145432</v>
      </c>
      <c r="AH292">
        <f t="shared" si="137"/>
        <v>2.1965467180816267</v>
      </c>
      <c r="AI292">
        <f t="shared" si="147"/>
        <v>2.1965467180816267</v>
      </c>
      <c r="AK292">
        <v>115.83110000000001</v>
      </c>
      <c r="AL292">
        <v>7.2800014770920449E-2</v>
      </c>
      <c r="AM292">
        <f t="shared" si="128"/>
        <v>8.4325057909319643</v>
      </c>
      <c r="AN292">
        <f t="shared" si="138"/>
        <v>0.45487422229082419</v>
      </c>
      <c r="AO292">
        <f t="shared" si="139"/>
        <v>2.7411319708420923</v>
      </c>
      <c r="AP292">
        <f t="shared" si="148"/>
        <v>1.1026750645156458</v>
      </c>
      <c r="AR292">
        <v>162.4479</v>
      </c>
      <c r="AS292">
        <v>0.51978954734995475</v>
      </c>
      <c r="AT292">
        <f t="shared" si="129"/>
        <v>84.438720408950715</v>
      </c>
      <c r="AU292">
        <f t="shared" si="140"/>
        <v>3.2215450835218817</v>
      </c>
      <c r="AV292">
        <f t="shared" si="141"/>
        <v>2.5538890388965285E-2</v>
      </c>
      <c r="AW292">
        <f t="shared" si="149"/>
        <v>2.5538890388965285E-2</v>
      </c>
      <c r="AY292" s="4">
        <f t="shared" si="121"/>
        <v>152.9276028994467</v>
      </c>
      <c r="AZ292">
        <f t="shared" si="142"/>
        <v>3.1960061931329165</v>
      </c>
    </row>
    <row r="293" spans="1:52" x14ac:dyDescent="0.35">
      <c r="A293" s="2">
        <v>45352</v>
      </c>
      <c r="B293">
        <v>152.4622</v>
      </c>
      <c r="C293">
        <v>4.7387021608942731E-2</v>
      </c>
      <c r="D293">
        <f t="shared" si="150"/>
        <v>7.2247295659469479</v>
      </c>
      <c r="E293">
        <f t="shared" si="130"/>
        <v>3.4978735247896298</v>
      </c>
      <c r="F293">
        <f t="shared" si="122"/>
        <v>0.45922855262354734</v>
      </c>
      <c r="G293">
        <f t="shared" si="143"/>
        <v>2.0332657551166422</v>
      </c>
      <c r="I293">
        <v>160.85319999999999</v>
      </c>
      <c r="J293">
        <v>7.4676992662001826E-2</v>
      </c>
      <c r="K293">
        <f t="shared" si="123"/>
        <v>12.01203323605951</v>
      </c>
      <c r="L293">
        <f t="shared" si="131"/>
        <v>4.1964048582995961</v>
      </c>
      <c r="M293">
        <f t="shared" si="124"/>
        <v>0.23930278088641899</v>
      </c>
      <c r="N293">
        <f t="shared" si="144"/>
        <v>5.8646978953014184E-2</v>
      </c>
      <c r="P293">
        <v>123.4314</v>
      </c>
      <c r="Q293">
        <v>0.10622268479295201</v>
      </c>
      <c r="R293">
        <f t="shared" si="125"/>
        <v>13.111214695752777</v>
      </c>
      <c r="S293">
        <f t="shared" si="132"/>
        <v>4.3108992371353683</v>
      </c>
      <c r="T293">
        <f t="shared" si="133"/>
        <v>0.35379715972219117</v>
      </c>
      <c r="U293">
        <f t="shared" si="145"/>
        <v>0.57112783039541259</v>
      </c>
      <c r="W293">
        <v>159.69980000000001</v>
      </c>
      <c r="X293">
        <v>6.3427209744892382E-2</v>
      </c>
      <c r="Y293">
        <f t="shared" si="126"/>
        <v>10.129312710817365</v>
      </c>
      <c r="Z293">
        <f t="shared" si="134"/>
        <v>6.1830952577254017</v>
      </c>
      <c r="AA293">
        <f t="shared" si="135"/>
        <v>2.2259931803122246</v>
      </c>
      <c r="AB293">
        <f t="shared" si="146"/>
        <v>2.9446462230597881E-2</v>
      </c>
      <c r="AD293">
        <v>175.9725</v>
      </c>
      <c r="AE293">
        <v>0.11569652907033591</v>
      </c>
      <c r="AF293">
        <f t="shared" si="127"/>
        <v>20.359407461829687</v>
      </c>
      <c r="AG293">
        <f t="shared" si="136"/>
        <v>4.736371281798557</v>
      </c>
      <c r="AH293">
        <f t="shared" si="137"/>
        <v>0.77926920438537994</v>
      </c>
      <c r="AI293">
        <f t="shared" si="147"/>
        <v>0.77926920438537994</v>
      </c>
      <c r="AK293">
        <v>117.9558</v>
      </c>
      <c r="AL293">
        <v>7.2800014770920449E-2</v>
      </c>
      <c r="AM293">
        <f t="shared" si="128"/>
        <v>8.5871839823157377</v>
      </c>
      <c r="AN293">
        <f t="shared" si="138"/>
        <v>1.8343087478233322</v>
      </c>
      <c r="AO293">
        <f t="shared" si="139"/>
        <v>2.1227933295898449</v>
      </c>
      <c r="AP293">
        <f t="shared" si="148"/>
        <v>1.0732128635430715</v>
      </c>
      <c r="AR293">
        <v>168.4436</v>
      </c>
      <c r="AS293">
        <v>0.51978954734995475</v>
      </c>
      <c r="AT293">
        <f t="shared" si="129"/>
        <v>87.555222597996845</v>
      </c>
      <c r="AU293">
        <f t="shared" si="140"/>
        <v>3.6908448801123317</v>
      </c>
      <c r="AV293">
        <f t="shared" si="141"/>
        <v>0.26625719730084541</v>
      </c>
      <c r="AW293">
        <f t="shared" si="149"/>
        <v>0.26625719730084541</v>
      </c>
      <c r="AY293" s="4">
        <f t="shared" si="121"/>
        <v>158.97910425071888</v>
      </c>
      <c r="AZ293">
        <f t="shared" si="142"/>
        <v>3.9571020774131771</v>
      </c>
    </row>
    <row r="294" spans="1:52" x14ac:dyDescent="0.35">
      <c r="A294" s="2">
        <v>45383</v>
      </c>
      <c r="B294">
        <v>153.24080000000001</v>
      </c>
      <c r="C294">
        <v>4.7387021608942731E-2</v>
      </c>
      <c r="D294">
        <f t="shared" si="150"/>
        <v>7.2616251009716715</v>
      </c>
      <c r="E294">
        <f t="shared" si="130"/>
        <v>0.51068395969624536</v>
      </c>
      <c r="F294">
        <f t="shared" si="122"/>
        <v>1.0252382410893879</v>
      </c>
      <c r="G294">
        <f t="shared" si="143"/>
        <v>0.56600968846584054</v>
      </c>
      <c r="I294">
        <v>160.25839999999999</v>
      </c>
      <c r="J294">
        <v>7.4676992662001826E-2</v>
      </c>
      <c r="K294">
        <f t="shared" si="123"/>
        <v>11.967615360824153</v>
      </c>
      <c r="L294">
        <f t="shared" si="131"/>
        <v>-0.36977815797261115</v>
      </c>
      <c r="M294">
        <f t="shared" si="124"/>
        <v>0.14477612342053137</v>
      </c>
      <c r="N294">
        <f t="shared" si="144"/>
        <v>9.452665746588762E-2</v>
      </c>
      <c r="P294">
        <v>123.60299999999999</v>
      </c>
      <c r="Q294">
        <v>0.10622268479295201</v>
      </c>
      <c r="R294">
        <f t="shared" si="125"/>
        <v>13.129442508463246</v>
      </c>
      <c r="S294">
        <f t="shared" si="132"/>
        <v>0.13902459179755411</v>
      </c>
      <c r="T294">
        <f t="shared" si="133"/>
        <v>0.65357887319069663</v>
      </c>
      <c r="U294">
        <f t="shared" si="145"/>
        <v>0.29978171346850546</v>
      </c>
      <c r="W294">
        <v>159.93029999999999</v>
      </c>
      <c r="X294">
        <v>6.3427209744892382E-2</v>
      </c>
      <c r="Y294">
        <f t="shared" si="126"/>
        <v>10.143932682663561</v>
      </c>
      <c r="Z294">
        <f t="shared" si="134"/>
        <v>0.14433330536418598</v>
      </c>
      <c r="AA294">
        <f t="shared" si="135"/>
        <v>0.6588875867573285</v>
      </c>
      <c r="AB294">
        <f t="shared" si="146"/>
        <v>0.12038161762805144</v>
      </c>
      <c r="AD294">
        <v>174.47380000000001</v>
      </c>
      <c r="AE294">
        <v>0.11569652907033591</v>
      </c>
      <c r="AF294">
        <f t="shared" si="127"/>
        <v>20.186013073711976</v>
      </c>
      <c r="AG294">
        <f t="shared" si="136"/>
        <v>-0.85166716390344677</v>
      </c>
      <c r="AH294">
        <f t="shared" si="137"/>
        <v>0.33711288251030425</v>
      </c>
      <c r="AI294">
        <f t="shared" si="147"/>
        <v>0.33711288251030425</v>
      </c>
      <c r="AK294">
        <v>120.9609</v>
      </c>
      <c r="AL294">
        <v>7.2800014770920449E-2</v>
      </c>
      <c r="AM294">
        <f t="shared" si="128"/>
        <v>8.8059553067038312</v>
      </c>
      <c r="AN294">
        <f t="shared" si="138"/>
        <v>2.5476492041934362</v>
      </c>
      <c r="AO294">
        <f t="shared" si="139"/>
        <v>3.0622034855865787</v>
      </c>
      <c r="AP294">
        <f t="shared" si="148"/>
        <v>0.89489859182659837</v>
      </c>
      <c r="AR294">
        <v>166.7338</v>
      </c>
      <c r="AS294">
        <v>0.51978954734995475</v>
      </c>
      <c r="AT294">
        <f t="shared" si="129"/>
        <v>86.666486429937891</v>
      </c>
      <c r="AU294">
        <f t="shared" si="140"/>
        <v>-1.0150578591291093</v>
      </c>
      <c r="AV294">
        <f t="shared" si="141"/>
        <v>0.50050357773596676</v>
      </c>
      <c r="AW294">
        <f t="shared" si="149"/>
        <v>0.50050357773596676</v>
      </c>
      <c r="AY294" s="4">
        <f t="shared" si="121"/>
        <v>158.16107046327633</v>
      </c>
      <c r="AZ294">
        <f t="shared" si="142"/>
        <v>-0.51455428139314252</v>
      </c>
    </row>
    <row r="295" spans="1:52" x14ac:dyDescent="0.35">
      <c r="A295" s="2">
        <v>45413</v>
      </c>
      <c r="B295">
        <v>155.011</v>
      </c>
      <c r="C295">
        <v>4.7387021608942731E-2</v>
      </c>
      <c r="D295">
        <f t="shared" si="150"/>
        <v>7.3455096066238212</v>
      </c>
      <c r="E295">
        <f t="shared" si="130"/>
        <v>1.1551753841013479</v>
      </c>
      <c r="F295">
        <f t="shared" si="122"/>
        <v>0.34577594440627912</v>
      </c>
      <c r="G295">
        <f t="shared" si="143"/>
        <v>0.67946229668310876</v>
      </c>
      <c r="I295">
        <v>161.4058</v>
      </c>
      <c r="J295">
        <v>7.4676992662001826E-2</v>
      </c>
      <c r="K295">
        <f t="shared" si="123"/>
        <v>12.053299742204535</v>
      </c>
      <c r="L295">
        <f t="shared" si="131"/>
        <v>0.71596871053249966</v>
      </c>
      <c r="M295">
        <f t="shared" si="124"/>
        <v>0.78498261797512736</v>
      </c>
      <c r="N295">
        <f t="shared" si="144"/>
        <v>0.640206494554596</v>
      </c>
      <c r="P295">
        <v>125.0604</v>
      </c>
      <c r="Q295">
        <v>0.10622268479295201</v>
      </c>
      <c r="R295">
        <f t="shared" si="125"/>
        <v>13.284251449280495</v>
      </c>
      <c r="S295">
        <f t="shared" si="132"/>
        <v>1.17909759471857</v>
      </c>
      <c r="T295">
        <f t="shared" si="133"/>
        <v>0.32185373378905702</v>
      </c>
      <c r="U295">
        <f t="shared" si="145"/>
        <v>0.33172513940163961</v>
      </c>
      <c r="W295">
        <v>161.60589999999999</v>
      </c>
      <c r="X295">
        <v>6.3427209744892382E-2</v>
      </c>
      <c r="Y295">
        <f t="shared" si="126"/>
        <v>10.250211315312104</v>
      </c>
      <c r="Z295">
        <f t="shared" si="134"/>
        <v>1.047706407103588</v>
      </c>
      <c r="AA295">
        <f t="shared" si="135"/>
        <v>0.45324492140403905</v>
      </c>
      <c r="AB295">
        <f t="shared" si="146"/>
        <v>0.1161320388937348</v>
      </c>
      <c r="AD295">
        <v>176.61449999999999</v>
      </c>
      <c r="AE295">
        <v>0.11569652907033591</v>
      </c>
      <c r="AF295">
        <f t="shared" si="127"/>
        <v>20.433684633492842</v>
      </c>
      <c r="AG295">
        <f t="shared" si="136"/>
        <v>1.2269463953900051</v>
      </c>
      <c r="AH295">
        <f t="shared" si="137"/>
        <v>0.27400493311762197</v>
      </c>
      <c r="AI295">
        <f t="shared" si="147"/>
        <v>0.27400493311762197</v>
      </c>
      <c r="AK295">
        <v>126.2393</v>
      </c>
      <c r="AL295">
        <v>7.2800014770920449E-2</v>
      </c>
      <c r="AM295">
        <f t="shared" si="128"/>
        <v>9.1902229046706569</v>
      </c>
      <c r="AN295">
        <f t="shared" si="138"/>
        <v>4.3637241455710019</v>
      </c>
      <c r="AO295">
        <f t="shared" si="139"/>
        <v>2.8627728170633748</v>
      </c>
      <c r="AP295">
        <f t="shared" si="148"/>
        <v>3.3773270984565174</v>
      </c>
      <c r="AR295">
        <v>169.25659999999999</v>
      </c>
      <c r="AS295">
        <v>0.51978954734995475</v>
      </c>
      <c r="AT295">
        <f t="shared" si="129"/>
        <v>87.977811499992342</v>
      </c>
      <c r="AU295">
        <f t="shared" si="140"/>
        <v>1.5130705351884099</v>
      </c>
      <c r="AV295">
        <f t="shared" si="141"/>
        <v>1.2119206680782924E-2</v>
      </c>
      <c r="AW295">
        <f t="shared" si="149"/>
        <v>1.2119206680782924E-2</v>
      </c>
      <c r="AY295" s="4">
        <f t="shared" si="121"/>
        <v>160.53499115157678</v>
      </c>
      <c r="AZ295">
        <f t="shared" si="142"/>
        <v>1.500951328507627</v>
      </c>
    </row>
    <row r="296" spans="1:52" x14ac:dyDescent="0.35">
      <c r="A296" s="2">
        <v>45444</v>
      </c>
      <c r="B296">
        <v>152.32239999999999</v>
      </c>
      <c r="C296">
        <v>4.7387021608942731E-2</v>
      </c>
      <c r="D296">
        <f t="shared" si="150"/>
        <v>7.2181048603260178</v>
      </c>
      <c r="E296">
        <f t="shared" si="130"/>
        <v>-1.7344575546251573</v>
      </c>
      <c r="F296">
        <f t="shared" si="122"/>
        <v>0.82037789212189294</v>
      </c>
      <c r="G296">
        <f t="shared" si="143"/>
        <v>0.47460194771561381</v>
      </c>
      <c r="I296">
        <v>154.19649999999999</v>
      </c>
      <c r="J296">
        <v>7.4676992662001826E-2</v>
      </c>
      <c r="K296">
        <f t="shared" si="123"/>
        <v>11.514930899006364</v>
      </c>
      <c r="L296">
        <f t="shared" si="131"/>
        <v>-4.4665681158917554</v>
      </c>
      <c r="M296">
        <f t="shared" si="124"/>
        <v>3.5524884533884911</v>
      </c>
      <c r="N296">
        <f t="shared" si="144"/>
        <v>2.7675058354133637</v>
      </c>
      <c r="P296">
        <v>122.8164</v>
      </c>
      <c r="Q296">
        <v>0.10622268479295201</v>
      </c>
      <c r="R296">
        <f t="shared" si="125"/>
        <v>13.04588774460511</v>
      </c>
      <c r="S296">
        <f t="shared" si="132"/>
        <v>-1.79433297830488</v>
      </c>
      <c r="T296">
        <f t="shared" si="133"/>
        <v>0.8802533158016157</v>
      </c>
      <c r="U296">
        <f t="shared" si="145"/>
        <v>0.55839958201255868</v>
      </c>
      <c r="W296">
        <v>158.72479999999999</v>
      </c>
      <c r="X296">
        <v>6.3427209744892382E-2</v>
      </c>
      <c r="Y296">
        <f t="shared" si="126"/>
        <v>10.067471181316094</v>
      </c>
      <c r="Z296">
        <f t="shared" si="134"/>
        <v>-1.7827938212651939</v>
      </c>
      <c r="AA296">
        <f t="shared" si="135"/>
        <v>0.86871415876192959</v>
      </c>
      <c r="AB296">
        <f t="shared" si="146"/>
        <v>0.59470922564430762</v>
      </c>
      <c r="AD296">
        <v>177.8142</v>
      </c>
      <c r="AE296">
        <v>0.11569652907033591</v>
      </c>
      <c r="AF296">
        <f t="shared" si="127"/>
        <v>20.572485759418523</v>
      </c>
      <c r="AG296">
        <f t="shared" si="136"/>
        <v>0.67927605038091698</v>
      </c>
      <c r="AH296">
        <f t="shared" si="137"/>
        <v>1.5933557128841813</v>
      </c>
      <c r="AI296">
        <f t="shared" si="147"/>
        <v>1.5933557128841813</v>
      </c>
      <c r="AK296">
        <v>124.5847</v>
      </c>
      <c r="AL296">
        <v>7.2800014770920449E-2</v>
      </c>
      <c r="AM296">
        <f t="shared" si="128"/>
        <v>9.0697680002306935</v>
      </c>
      <c r="AN296">
        <f t="shared" si="138"/>
        <v>-1.310685341252682</v>
      </c>
      <c r="AO296">
        <f t="shared" si="139"/>
        <v>0.39660567874941766</v>
      </c>
      <c r="AP296">
        <f t="shared" si="148"/>
        <v>1.1043456497582094</v>
      </c>
      <c r="AR296">
        <v>168.48920000000001</v>
      </c>
      <c r="AS296">
        <v>0.51978954734995475</v>
      </c>
      <c r="AT296">
        <f t="shared" si="129"/>
        <v>87.578925001355998</v>
      </c>
      <c r="AU296">
        <f t="shared" si="140"/>
        <v>-0.45339443188624484</v>
      </c>
      <c r="AV296">
        <f t="shared" si="141"/>
        <v>0.46068523061701949</v>
      </c>
      <c r="AW296">
        <f t="shared" si="149"/>
        <v>0.46068523061701949</v>
      </c>
      <c r="AY296" s="4">
        <f t="shared" si="121"/>
        <v>159.06757344625879</v>
      </c>
      <c r="AZ296">
        <f t="shared" si="142"/>
        <v>-0.91407966250326433</v>
      </c>
    </row>
    <row r="297" spans="1:52" x14ac:dyDescent="0.35">
      <c r="A297" s="2">
        <v>45474</v>
      </c>
      <c r="B297">
        <v>157.2388</v>
      </c>
      <c r="C297">
        <v>4.7387021608942731E-2</v>
      </c>
      <c r="D297">
        <f t="shared" si="150"/>
        <v>7.4510784133642245</v>
      </c>
      <c r="E297">
        <f t="shared" si="130"/>
        <v>3.2276277159498656</v>
      </c>
      <c r="F297">
        <f t="shared" si="122"/>
        <v>1.5932887309372701</v>
      </c>
      <c r="G297">
        <f t="shared" si="143"/>
        <v>0.77291083881537714</v>
      </c>
      <c r="I297">
        <v>150.83029999999999</v>
      </c>
      <c r="J297">
        <v>7.4676992662001826E-2</v>
      </c>
      <c r="K297">
        <f t="shared" si="123"/>
        <v>11.263553206307533</v>
      </c>
      <c r="L297">
        <f t="shared" si="131"/>
        <v>-2.1830586297354349</v>
      </c>
      <c r="M297">
        <f t="shared" si="124"/>
        <v>3.8173976147480304</v>
      </c>
      <c r="N297">
        <f t="shared" si="144"/>
        <v>0.26490916135953935</v>
      </c>
      <c r="P297">
        <v>123.5586</v>
      </c>
      <c r="Q297">
        <v>0.10622268479295201</v>
      </c>
      <c r="R297">
        <f t="shared" si="125"/>
        <v>13.12472622125844</v>
      </c>
      <c r="S297">
        <f t="shared" si="132"/>
        <v>0.60431668734794997</v>
      </c>
      <c r="T297">
        <f t="shared" si="133"/>
        <v>1.0300222976646456</v>
      </c>
      <c r="U297">
        <f t="shared" si="145"/>
        <v>0.14976898186302989</v>
      </c>
      <c r="W297">
        <v>159.40100000000001</v>
      </c>
      <c r="X297">
        <v>6.3427209744892382E-2</v>
      </c>
      <c r="Y297">
        <f t="shared" si="126"/>
        <v>10.110360660545592</v>
      </c>
      <c r="Z297">
        <f t="shared" si="134"/>
        <v>0.42602038244812235</v>
      </c>
      <c r="AA297">
        <f t="shared" si="135"/>
        <v>1.2083186025644732</v>
      </c>
      <c r="AB297">
        <f t="shared" si="146"/>
        <v>0.38503711031970811</v>
      </c>
      <c r="AD297">
        <v>183.42949999999999</v>
      </c>
      <c r="AE297">
        <v>0.11569652907033591</v>
      </c>
      <c r="AF297">
        <f t="shared" si="127"/>
        <v>21.222156479107181</v>
      </c>
      <c r="AG297">
        <f t="shared" si="136"/>
        <v>3.1579592630959663</v>
      </c>
      <c r="AH297">
        <f t="shared" si="137"/>
        <v>1.5236202780833707</v>
      </c>
      <c r="AI297">
        <f t="shared" si="147"/>
        <v>1.5236202780833707</v>
      </c>
      <c r="AK297">
        <v>124.42619999999999</v>
      </c>
      <c r="AL297">
        <v>7.2800014770920449E-2</v>
      </c>
      <c r="AM297">
        <f t="shared" si="128"/>
        <v>9.0582291978895011</v>
      </c>
      <c r="AN297">
        <f t="shared" si="138"/>
        <v>-0.12722268464747666</v>
      </c>
      <c r="AO297">
        <f t="shared" si="139"/>
        <v>1.7615616696600722</v>
      </c>
      <c r="AP297">
        <f t="shared" si="148"/>
        <v>2.6756413321633365</v>
      </c>
      <c r="AR297">
        <v>172.0642</v>
      </c>
      <c r="AS297">
        <v>0.51978954734995475</v>
      </c>
      <c r="AT297">
        <f t="shared" si="129"/>
        <v>89.437172633132079</v>
      </c>
      <c r="AU297">
        <f t="shared" si="140"/>
        <v>2.1217977175985059</v>
      </c>
      <c r="AV297">
        <f t="shared" si="141"/>
        <v>0.48745873258591033</v>
      </c>
      <c r="AW297">
        <f t="shared" si="149"/>
        <v>0.48745873258591033</v>
      </c>
      <c r="AY297" s="4">
        <f t="shared" si="121"/>
        <v>161.66727681160455</v>
      </c>
      <c r="AZ297">
        <f t="shared" si="142"/>
        <v>1.6343389850125956</v>
      </c>
    </row>
    <row r="298" spans="1:52" x14ac:dyDescent="0.35">
      <c r="A298" s="2">
        <v>45505</v>
      </c>
      <c r="B298">
        <v>158.9263</v>
      </c>
      <c r="C298">
        <v>4.7387021608942731E-2</v>
      </c>
      <c r="D298">
        <f t="shared" si="150"/>
        <v>7.531044012329315</v>
      </c>
      <c r="E298">
        <f t="shared" si="130"/>
        <v>1.0732083938569836</v>
      </c>
      <c r="F298">
        <f t="shared" si="122"/>
        <v>1.9851640355536104</v>
      </c>
      <c r="G298">
        <f t="shared" si="143"/>
        <v>0.39187530461634035</v>
      </c>
      <c r="I298">
        <v>147.70439999999999</v>
      </c>
      <c r="J298">
        <v>7.4676992662001826E-2</v>
      </c>
      <c r="K298">
        <f t="shared" si="123"/>
        <v>11.030120394945381</v>
      </c>
      <c r="L298">
        <f t="shared" si="131"/>
        <v>-2.0724615677353952</v>
      </c>
      <c r="M298">
        <f t="shared" si="124"/>
        <v>1.1605059260387685</v>
      </c>
      <c r="N298">
        <f t="shared" si="144"/>
        <v>2.656891688709262</v>
      </c>
      <c r="P298">
        <v>121.2086</v>
      </c>
      <c r="Q298">
        <v>0.10622268479295201</v>
      </c>
      <c r="R298">
        <f t="shared" si="125"/>
        <v>12.875102911995004</v>
      </c>
      <c r="S298">
        <f t="shared" si="132"/>
        <v>-1.9019315531253911</v>
      </c>
      <c r="T298">
        <f t="shared" si="133"/>
        <v>0.98997591142876429</v>
      </c>
      <c r="U298">
        <f t="shared" si="145"/>
        <v>4.0046386235881304E-2</v>
      </c>
      <c r="W298">
        <v>153.22239999999999</v>
      </c>
      <c r="X298">
        <v>6.3427209744892382E-2</v>
      </c>
      <c r="Y298">
        <f t="shared" si="126"/>
        <v>9.718469302415798</v>
      </c>
      <c r="Z298">
        <f t="shared" si="134"/>
        <v>-3.8761362852177905</v>
      </c>
      <c r="AA298">
        <f t="shared" si="135"/>
        <v>2.9641806435211637</v>
      </c>
      <c r="AB298">
        <f t="shared" si="146"/>
        <v>1.440560365437793</v>
      </c>
      <c r="AD298">
        <v>167.03739999999999</v>
      </c>
      <c r="AE298">
        <v>0.11569652907033591</v>
      </c>
      <c r="AF298">
        <f t="shared" si="127"/>
        <v>19.325647404933328</v>
      </c>
      <c r="AG298">
        <f t="shared" si="136"/>
        <v>-8.9364578761867648</v>
      </c>
      <c r="AH298">
        <f t="shared" si="137"/>
        <v>8.0245022344901376</v>
      </c>
      <c r="AI298">
        <f t="shared" si="147"/>
        <v>8.0245022344901376</v>
      </c>
      <c r="AK298">
        <v>125.2097</v>
      </c>
      <c r="AL298">
        <v>7.2800014770920449E-2</v>
      </c>
      <c r="AM298">
        <f t="shared" si="128"/>
        <v>9.1152680094625183</v>
      </c>
      <c r="AN298">
        <f t="shared" si="138"/>
        <v>0.62969053141541664</v>
      </c>
      <c r="AO298">
        <f t="shared" si="139"/>
        <v>1.5416461731120434</v>
      </c>
      <c r="AP298">
        <f t="shared" si="148"/>
        <v>9.2692811900552119E-2</v>
      </c>
      <c r="AR298">
        <v>174.2961</v>
      </c>
      <c r="AS298">
        <v>0.51978954734995475</v>
      </c>
      <c r="AT298">
        <f t="shared" si="129"/>
        <v>90.597290923862445</v>
      </c>
      <c r="AU298">
        <f t="shared" si="140"/>
        <v>1.2971321169656491</v>
      </c>
      <c r="AV298">
        <f t="shared" si="141"/>
        <v>2.2090877586622759</v>
      </c>
      <c r="AW298">
        <f t="shared" si="149"/>
        <v>2.2090877586622759</v>
      </c>
      <c r="AY298" s="4">
        <f t="shared" si="121"/>
        <v>160.19294295994382</v>
      </c>
      <c r="AZ298">
        <f t="shared" si="142"/>
        <v>-0.9119556416966268</v>
      </c>
    </row>
    <row r="299" spans="1:52" x14ac:dyDescent="0.35">
      <c r="A299" s="2">
        <v>45536</v>
      </c>
      <c r="B299">
        <v>164.0318</v>
      </c>
      <c r="C299">
        <v>4.7387021608942731E-2</v>
      </c>
      <c r="D299">
        <f t="shared" si="150"/>
        <v>7.7729784511537723</v>
      </c>
      <c r="E299">
        <f t="shared" si="130"/>
        <v>3.2124953516189603</v>
      </c>
      <c r="F299">
        <f t="shared" si="122"/>
        <v>0.60246374988823792</v>
      </c>
      <c r="G299">
        <f t="shared" si="143"/>
        <v>1.3827002856653725</v>
      </c>
      <c r="I299">
        <v>149.9538</v>
      </c>
      <c r="J299">
        <v>7.4676992662001826E-2</v>
      </c>
      <c r="K299">
        <f t="shared" si="123"/>
        <v>11.19809882223929</v>
      </c>
      <c r="L299">
        <f t="shared" si="131"/>
        <v>1.5229065620252502</v>
      </c>
      <c r="M299">
        <f t="shared" si="124"/>
        <v>1.0871250397054721</v>
      </c>
      <c r="N299">
        <f t="shared" si="144"/>
        <v>7.3380886333296313E-2</v>
      </c>
      <c r="P299">
        <v>125.55200000000001</v>
      </c>
      <c r="Q299">
        <v>0.10622268479295201</v>
      </c>
      <c r="R299">
        <f t="shared" si="125"/>
        <v>13.336470521124712</v>
      </c>
      <c r="S299">
        <f t="shared" si="132"/>
        <v>3.5834090980342959</v>
      </c>
      <c r="T299">
        <f t="shared" si="133"/>
        <v>0.97337749630357351</v>
      </c>
      <c r="U299">
        <f t="shared" si="145"/>
        <v>1.659841512519078E-2</v>
      </c>
      <c r="W299">
        <v>157.084</v>
      </c>
      <c r="X299">
        <v>6.3427209744892382E-2</v>
      </c>
      <c r="Y299">
        <f t="shared" si="126"/>
        <v>9.9633998155666745</v>
      </c>
      <c r="Z299">
        <f t="shared" si="134"/>
        <v>2.520258134580855</v>
      </c>
      <c r="AA299">
        <f t="shared" si="135"/>
        <v>8.9773467149867336E-2</v>
      </c>
      <c r="AB299">
        <f t="shared" si="146"/>
        <v>7.9347287673402702</v>
      </c>
      <c r="AD299">
        <v>169.3219</v>
      </c>
      <c r="AE299">
        <v>0.11569652907033591</v>
      </c>
      <c r="AF299">
        <f t="shared" si="127"/>
        <v>19.589956125594512</v>
      </c>
      <c r="AG299">
        <f t="shared" si="136"/>
        <v>1.367657782029652</v>
      </c>
      <c r="AH299">
        <f t="shared" si="137"/>
        <v>1.2423738197010703</v>
      </c>
      <c r="AI299">
        <f t="shared" si="147"/>
        <v>1.2423738197010703</v>
      </c>
      <c r="AK299">
        <v>125.34739999999999</v>
      </c>
      <c r="AL299">
        <v>7.2800014770920449E-2</v>
      </c>
      <c r="AM299">
        <f t="shared" si="128"/>
        <v>9.1252925714964732</v>
      </c>
      <c r="AN299">
        <f t="shared" si="138"/>
        <v>0.10997550509266318</v>
      </c>
      <c r="AO299">
        <f t="shared" si="139"/>
        <v>2.5000560966380592</v>
      </c>
      <c r="AP299">
        <f t="shared" si="148"/>
        <v>3.412011738334686</v>
      </c>
      <c r="AR299">
        <v>179.66470000000001</v>
      </c>
      <c r="AS299">
        <v>0.51978954734995475</v>
      </c>
      <c r="AT299">
        <f t="shared" si="129"/>
        <v>93.387833087765415</v>
      </c>
      <c r="AU299">
        <f t="shared" si="140"/>
        <v>3.080160715013136</v>
      </c>
      <c r="AV299">
        <f t="shared" si="141"/>
        <v>0.47012911328241369</v>
      </c>
      <c r="AW299">
        <f t="shared" si="149"/>
        <v>0.47012911328241369</v>
      </c>
      <c r="AY299" s="4">
        <f t="shared" si="121"/>
        <v>164.37402939494083</v>
      </c>
      <c r="AZ299">
        <f t="shared" si="142"/>
        <v>2.6100316017307224</v>
      </c>
    </row>
    <row r="300" spans="1:52" x14ac:dyDescent="0.35">
      <c r="A300" s="2">
        <v>45566</v>
      </c>
      <c r="B300">
        <v>170.148</v>
      </c>
      <c r="C300">
        <v>4.7387021608942731E-2</v>
      </c>
      <c r="D300">
        <f t="shared" si="150"/>
        <v>8.0628069527183879</v>
      </c>
      <c r="E300">
        <f t="shared" si="130"/>
        <v>3.7286672462290893</v>
      </c>
      <c r="F300">
        <f t="shared" si="122"/>
        <v>1.7854631204467175</v>
      </c>
      <c r="G300">
        <f t="shared" si="143"/>
        <v>1.1829993705584796</v>
      </c>
      <c r="I300">
        <v>150.05330000000001</v>
      </c>
      <c r="J300">
        <v>7.4676992662001826E-2</v>
      </c>
      <c r="K300">
        <f t="shared" si="123"/>
        <v>11.205529183009158</v>
      </c>
      <c r="L300">
        <f t="shared" si="131"/>
        <v>6.635377029458045E-2</v>
      </c>
      <c r="M300">
        <f t="shared" si="124"/>
        <v>1.8768503554877913</v>
      </c>
      <c r="N300">
        <f t="shared" si="144"/>
        <v>0.78972531578231919</v>
      </c>
      <c r="P300">
        <v>129.535</v>
      </c>
      <c r="Q300">
        <v>0.10622268479295201</v>
      </c>
      <c r="R300">
        <f t="shared" si="125"/>
        <v>13.759555474655038</v>
      </c>
      <c r="S300">
        <f t="shared" si="132"/>
        <v>3.1723907225691184</v>
      </c>
      <c r="T300">
        <f t="shared" si="133"/>
        <v>1.2291865967867466</v>
      </c>
      <c r="U300">
        <f t="shared" si="145"/>
        <v>0.25580910048317307</v>
      </c>
      <c r="W300">
        <v>159.2491</v>
      </c>
      <c r="X300">
        <v>6.3427209744892382E-2</v>
      </c>
      <c r="Y300">
        <f t="shared" si="126"/>
        <v>10.100726067385342</v>
      </c>
      <c r="Z300">
        <f t="shared" si="134"/>
        <v>1.3783071477680764</v>
      </c>
      <c r="AA300">
        <f t="shared" si="135"/>
        <v>0.56489697801429539</v>
      </c>
      <c r="AB300">
        <f t="shared" si="146"/>
        <v>0.67747684168677491</v>
      </c>
      <c r="AD300">
        <v>173.04910000000001</v>
      </c>
      <c r="AE300">
        <v>0.11569652907033591</v>
      </c>
      <c r="AF300">
        <f t="shared" si="127"/>
        <v>20.021180228745468</v>
      </c>
      <c r="AG300">
        <f t="shared" si="136"/>
        <v>2.2012509899782762</v>
      </c>
      <c r="AH300">
        <f t="shared" si="137"/>
        <v>0.25804686419590439</v>
      </c>
      <c r="AI300">
        <f t="shared" si="147"/>
        <v>0.25804686419590439</v>
      </c>
      <c r="AK300">
        <v>125.363</v>
      </c>
      <c r="AL300">
        <v>7.2800014770920449E-2</v>
      </c>
      <c r="AM300">
        <f t="shared" si="128"/>
        <v>9.1264282517268995</v>
      </c>
      <c r="AN300">
        <f t="shared" si="138"/>
        <v>1.2445411711770049E-2</v>
      </c>
      <c r="AO300">
        <f t="shared" si="139"/>
        <v>1.9307587140706017</v>
      </c>
      <c r="AP300">
        <f t="shared" si="148"/>
        <v>0.67927288766012062</v>
      </c>
      <c r="AR300">
        <v>183.3279</v>
      </c>
      <c r="AS300">
        <v>0.51978954734995475</v>
      </c>
      <c r="AT300">
        <f t="shared" si="129"/>
        <v>95.291926157617766</v>
      </c>
      <c r="AU300">
        <f t="shared" si="140"/>
        <v>2.0389091457587272</v>
      </c>
      <c r="AV300">
        <f t="shared" si="141"/>
        <v>9.5705019976355388E-2</v>
      </c>
      <c r="AW300">
        <f t="shared" si="149"/>
        <v>9.5705019976355388E-2</v>
      </c>
      <c r="AY300" s="4">
        <f t="shared" si="121"/>
        <v>167.56815231585804</v>
      </c>
      <c r="AZ300">
        <f t="shared" si="142"/>
        <v>1.9432041257823718</v>
      </c>
    </row>
    <row r="301" spans="1:52" x14ac:dyDescent="0.35">
      <c r="A301" s="2">
        <v>45597</v>
      </c>
      <c r="B301">
        <v>174.39439999999999</v>
      </c>
      <c r="C301">
        <v>4.7387021608942731E-2</v>
      </c>
      <c r="D301">
        <f t="shared" si="150"/>
        <v>8.2640312012786019</v>
      </c>
      <c r="E301">
        <f t="shared" si="130"/>
        <v>2.4957096175094673</v>
      </c>
      <c r="F301">
        <f t="shared" si="122"/>
        <v>1.9362160448902932</v>
      </c>
      <c r="G301">
        <f t="shared" si="143"/>
        <v>0.15075292444357569</v>
      </c>
      <c r="I301">
        <v>145.29740000000001</v>
      </c>
      <c r="J301">
        <v>7.4676992662001826E-2</v>
      </c>
      <c r="K301">
        <f t="shared" si="123"/>
        <v>10.850372873607945</v>
      </c>
      <c r="L301">
        <f t="shared" si="131"/>
        <v>-3.1694737803167228</v>
      </c>
      <c r="M301">
        <f t="shared" si="124"/>
        <v>3.7289673529358969</v>
      </c>
      <c r="N301">
        <f t="shared" si="144"/>
        <v>1.8521169974481055</v>
      </c>
      <c r="P301">
        <v>128.21250000000001</v>
      </c>
      <c r="Q301">
        <v>0.10622268479295201</v>
      </c>
      <c r="R301">
        <f t="shared" si="125"/>
        <v>13.61907597401636</v>
      </c>
      <c r="S301">
        <f t="shared" si="132"/>
        <v>-1.0209595862122112</v>
      </c>
      <c r="T301">
        <f t="shared" si="133"/>
        <v>1.5804531588313853</v>
      </c>
      <c r="U301">
        <f t="shared" si="145"/>
        <v>0.35126656204463869</v>
      </c>
      <c r="W301">
        <v>156.7988</v>
      </c>
      <c r="X301">
        <v>6.3427209744892382E-2</v>
      </c>
      <c r="Y301">
        <f t="shared" si="126"/>
        <v>9.9453103753474323</v>
      </c>
      <c r="Z301">
        <f t="shared" si="134"/>
        <v>-1.5386586172229544</v>
      </c>
      <c r="AA301">
        <f t="shared" si="135"/>
        <v>2.0981521898421285</v>
      </c>
      <c r="AB301">
        <f t="shared" si="146"/>
        <v>1.8401053256462241</v>
      </c>
      <c r="AD301">
        <v>173.96899999999999</v>
      </c>
      <c r="AE301">
        <v>0.11569652907033591</v>
      </c>
      <c r="AF301">
        <f t="shared" si="127"/>
        <v>20.127609465837267</v>
      </c>
      <c r="AG301">
        <f t="shared" si="136"/>
        <v>0.53158323273567731</v>
      </c>
      <c r="AH301">
        <f t="shared" si="137"/>
        <v>2.7910339883496782E-2</v>
      </c>
      <c r="AI301">
        <f t="shared" si="147"/>
        <v>2.7910339883496782E-2</v>
      </c>
      <c r="AK301">
        <v>123.711</v>
      </c>
      <c r="AL301">
        <v>7.2800014770920449E-2</v>
      </c>
      <c r="AM301">
        <f t="shared" si="128"/>
        <v>9.0061626273253399</v>
      </c>
      <c r="AN301">
        <f t="shared" si="138"/>
        <v>-1.317773186665927</v>
      </c>
      <c r="AO301">
        <f t="shared" si="139"/>
        <v>1.8772667592851011</v>
      </c>
      <c r="AP301">
        <f t="shared" si="148"/>
        <v>6.5937366497270666E-2</v>
      </c>
      <c r="AR301">
        <v>186.02359999999999</v>
      </c>
      <c r="AS301">
        <v>0.51978954734995475</v>
      </c>
      <c r="AT301">
        <f t="shared" si="129"/>
        <v>96.693122840409032</v>
      </c>
      <c r="AU301">
        <f t="shared" si="140"/>
        <v>1.4704253962435576</v>
      </c>
      <c r="AV301">
        <f t="shared" si="141"/>
        <v>0.91093182362438352</v>
      </c>
      <c r="AW301">
        <f t="shared" si="149"/>
        <v>0.91093182362438352</v>
      </c>
      <c r="AY301" s="4">
        <f t="shared" si="121"/>
        <v>168.50568535782199</v>
      </c>
      <c r="AZ301">
        <f t="shared" si="142"/>
        <v>0.5594935726191741</v>
      </c>
    </row>
    <row r="302" spans="1:52" x14ac:dyDescent="0.35">
      <c r="A302" s="2">
        <v>45627</v>
      </c>
      <c r="B302">
        <v>175.29429999999999</v>
      </c>
      <c r="C302">
        <v>4.7387021608942731E-2</v>
      </c>
      <c r="D302">
        <f t="shared" si="150"/>
        <v>8.3066747820244888</v>
      </c>
      <c r="E302">
        <f t="shared" si="130"/>
        <v>0.51601427568774838</v>
      </c>
      <c r="F302">
        <f t="shared" si="122"/>
        <v>0.60383545667985761</v>
      </c>
      <c r="G302">
        <f t="shared" si="143"/>
        <v>1.3323805882104356</v>
      </c>
      <c r="I302">
        <v>146.197</v>
      </c>
      <c r="J302">
        <v>7.4676992662001826E-2</v>
      </c>
      <c r="K302">
        <f t="shared" si="123"/>
        <v>10.917552296206681</v>
      </c>
      <c r="L302">
        <f t="shared" si="131"/>
        <v>0.61914390759916227</v>
      </c>
      <c r="M302">
        <f t="shared" si="124"/>
        <v>0.7069650885912715</v>
      </c>
      <c r="N302">
        <f t="shared" si="144"/>
        <v>3.0220022643446254</v>
      </c>
      <c r="P302">
        <v>133.04949999999999</v>
      </c>
      <c r="Q302">
        <v>0.10622268479295201</v>
      </c>
      <c r="R302">
        <f t="shared" si="125"/>
        <v>14.132875100359868</v>
      </c>
      <c r="S302">
        <f t="shared" si="132"/>
        <v>3.7726430730232963</v>
      </c>
      <c r="T302">
        <f t="shared" si="133"/>
        <v>3.8604642540154055</v>
      </c>
      <c r="U302">
        <f t="shared" si="145"/>
        <v>2.2800110951840202</v>
      </c>
      <c r="W302">
        <v>158.9811</v>
      </c>
      <c r="X302">
        <v>6.3427209744892382E-2</v>
      </c>
      <c r="Y302">
        <f t="shared" si="126"/>
        <v>10.083727575173711</v>
      </c>
      <c r="Z302">
        <f t="shared" si="134"/>
        <v>1.3917836105888481</v>
      </c>
      <c r="AA302">
        <f t="shared" si="135"/>
        <v>1.4796047915809574</v>
      </c>
      <c r="AB302">
        <f t="shared" si="146"/>
        <v>1.4516944516974606</v>
      </c>
      <c r="AD302">
        <v>176.83629999999999</v>
      </c>
      <c r="AE302">
        <v>0.11569652907033591</v>
      </c>
      <c r="AF302">
        <f t="shared" si="127"/>
        <v>20.459346123640643</v>
      </c>
      <c r="AG302">
        <f t="shared" si="136"/>
        <v>1.6481672022026883</v>
      </c>
      <c r="AH302">
        <f t="shared" si="137"/>
        <v>1.7359883831947975</v>
      </c>
      <c r="AI302">
        <f t="shared" si="147"/>
        <v>1.7359883831947975</v>
      </c>
      <c r="AK302">
        <v>124.7651</v>
      </c>
      <c r="AL302">
        <v>7.2800014770920449E-2</v>
      </c>
      <c r="AM302">
        <f t="shared" si="128"/>
        <v>9.0829011228953664</v>
      </c>
      <c r="AN302">
        <f t="shared" si="138"/>
        <v>0.85206650984956944</v>
      </c>
      <c r="AO302">
        <f t="shared" si="139"/>
        <v>0.93988769084167867</v>
      </c>
      <c r="AP302">
        <f t="shared" si="148"/>
        <v>0.38039411822250457</v>
      </c>
      <c r="AR302">
        <v>183.48699999999999</v>
      </c>
      <c r="AS302">
        <v>0.51978954734995475</v>
      </c>
      <c r="AT302">
        <f t="shared" si="129"/>
        <v>95.374624674601151</v>
      </c>
      <c r="AU302">
        <f t="shared" si="140"/>
        <v>-1.3635904261609766</v>
      </c>
      <c r="AV302">
        <f t="shared" si="141"/>
        <v>1.2757692451688674</v>
      </c>
      <c r="AW302">
        <f t="shared" si="149"/>
        <v>1.2757692451688674</v>
      </c>
      <c r="AY302" s="4">
        <f t="shared" si="121"/>
        <v>168.3577016749019</v>
      </c>
      <c r="AZ302">
        <f t="shared" si="142"/>
        <v>-8.7821180992109227E-2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7769-A961-4D81-A045-0BF8E6E62F8D}">
  <dimension ref="A1:AM302"/>
  <sheetViews>
    <sheetView topLeftCell="U1" workbookViewId="0">
      <selection activeCell="AI4" sqref="AI4:AJ302"/>
    </sheetView>
  </sheetViews>
  <sheetFormatPr defaultRowHeight="14.5" x14ac:dyDescent="0.35"/>
  <cols>
    <col min="1" max="1" width="15.1796875" bestFit="1" customWidth="1"/>
  </cols>
  <sheetData>
    <row r="1" spans="1:39" x14ac:dyDescent="0.35">
      <c r="B1" t="s">
        <v>40</v>
      </c>
      <c r="I1" t="s">
        <v>41</v>
      </c>
      <c r="P1" t="s">
        <v>42</v>
      </c>
      <c r="W1" t="s">
        <v>43</v>
      </c>
      <c r="AE1" t="s">
        <v>44</v>
      </c>
    </row>
    <row r="2" spans="1:39" x14ac:dyDescent="0.35">
      <c r="B2" t="s">
        <v>27</v>
      </c>
      <c r="C2" t="s">
        <v>28</v>
      </c>
      <c r="D2" t="s">
        <v>29</v>
      </c>
      <c r="E2" s="3" t="s">
        <v>30</v>
      </c>
      <c r="F2" t="s">
        <v>38</v>
      </c>
      <c r="G2" t="s">
        <v>39</v>
      </c>
      <c r="I2" t="s">
        <v>27</v>
      </c>
      <c r="J2" t="s">
        <v>28</v>
      </c>
      <c r="K2" t="s">
        <v>29</v>
      </c>
      <c r="L2" s="3" t="s">
        <v>30</v>
      </c>
      <c r="M2" t="s">
        <v>38</v>
      </c>
      <c r="N2" t="s">
        <v>39</v>
      </c>
      <c r="P2" t="s">
        <v>27</v>
      </c>
      <c r="Q2" t="s">
        <v>28</v>
      </c>
      <c r="R2" t="s">
        <v>29</v>
      </c>
      <c r="S2" s="3" t="s">
        <v>30</v>
      </c>
      <c r="T2" t="s">
        <v>38</v>
      </c>
      <c r="U2" t="s">
        <v>39</v>
      </c>
      <c r="W2" t="s">
        <v>27</v>
      </c>
      <c r="X2" t="s">
        <v>28</v>
      </c>
      <c r="Y2" t="s">
        <v>29</v>
      </c>
      <c r="Z2" s="3" t="s">
        <v>30</v>
      </c>
      <c r="AA2" t="s">
        <v>38</v>
      </c>
      <c r="AB2" t="s">
        <v>39</v>
      </c>
      <c r="AE2" t="s">
        <v>27</v>
      </c>
      <c r="AF2" t="s">
        <v>28</v>
      </c>
      <c r="AG2" t="s">
        <v>29</v>
      </c>
      <c r="AH2" s="3" t="s">
        <v>30</v>
      </c>
      <c r="AI2" t="s">
        <v>38</v>
      </c>
      <c r="AJ2" t="s">
        <v>39</v>
      </c>
      <c r="AL2" t="s">
        <v>45</v>
      </c>
      <c r="AM2" t="s">
        <v>37</v>
      </c>
    </row>
    <row r="3" spans="1:39" x14ac:dyDescent="0.35">
      <c r="A3" s="2">
        <v>36526</v>
      </c>
      <c r="B3">
        <v>29.004370000000002</v>
      </c>
      <c r="C3">
        <v>0.23786553307981059</v>
      </c>
      <c r="D3">
        <f>B3*C3</f>
        <v>6.8991399316940667</v>
      </c>
      <c r="I3">
        <v>168.45240000000001</v>
      </c>
      <c r="J3">
        <v>0.18809266946028108</v>
      </c>
      <c r="K3">
        <f>I3*J3</f>
        <v>31.684661592991056</v>
      </c>
      <c r="P3">
        <v>135.38800000000001</v>
      </c>
      <c r="Q3">
        <v>1.063752872175003E-2</v>
      </c>
      <c r="R3">
        <f>P3*Q3</f>
        <v>1.440193738580293</v>
      </c>
      <c r="W3">
        <v>27.263030000000001</v>
      </c>
      <c r="X3">
        <v>0.23510154975116984</v>
      </c>
      <c r="Y3">
        <f>W3*X3</f>
        <v>6.4095806039126364</v>
      </c>
      <c r="AE3">
        <v>63.496850000000002</v>
      </c>
      <c r="AF3">
        <v>0.32830271898698848</v>
      </c>
      <c r="AG3">
        <f>AE3*AF3</f>
        <v>20.846188502108962</v>
      </c>
      <c r="AL3">
        <f>AG3+Y3+R3+K3+D3</f>
        <v>67.279764369287022</v>
      </c>
    </row>
    <row r="4" spans="1:39" x14ac:dyDescent="0.35">
      <c r="A4" s="2">
        <v>36557</v>
      </c>
      <c r="B4">
        <v>30.305140000000002</v>
      </c>
      <c r="C4">
        <v>0.23786553307981059</v>
      </c>
      <c r="D4">
        <f t="shared" ref="D4:D67" si="0">B4*C4</f>
        <v>7.2085482811582917</v>
      </c>
      <c r="E4">
        <f>((B4/B3)-1)*100</f>
        <v>4.4847379894822792</v>
      </c>
      <c r="F4">
        <f>ABS(E4-$AM4)</f>
        <v>5.2883473945807049</v>
      </c>
      <c r="I4">
        <v>186.89519999999999</v>
      </c>
      <c r="J4">
        <v>0.18809266946028108</v>
      </c>
      <c r="K4">
        <f t="shared" ref="K4:K67" si="1">I4*J4</f>
        <v>35.153617077313122</v>
      </c>
      <c r="L4">
        <f>((I4/I3)-1)*100</f>
        <v>10.948374733752676</v>
      </c>
      <c r="M4">
        <f>ABS(L4-$AM4)</f>
        <v>1.1752893496896917</v>
      </c>
      <c r="P4">
        <v>147.78739999999999</v>
      </c>
      <c r="Q4">
        <v>1.063752872175003E-2</v>
      </c>
      <c r="R4">
        <f t="shared" ref="R4:R67" si="2">P4*Q4</f>
        <v>1.5720927122127604</v>
      </c>
      <c r="S4">
        <f>((P4/P3)-1)*100</f>
        <v>9.1584187668035444</v>
      </c>
      <c r="T4">
        <f>ABS(S4-$AM4)</f>
        <v>0.61466661725943972</v>
      </c>
      <c r="W4">
        <v>27.751750000000001</v>
      </c>
      <c r="X4">
        <v>0.23510154975116984</v>
      </c>
      <c r="Y4">
        <f t="shared" ref="Y4:Y67" si="3">W4*X4</f>
        <v>6.524479433307028</v>
      </c>
      <c r="Z4">
        <f>((W4/W3)-1)*100</f>
        <v>1.7926107259538027</v>
      </c>
      <c r="AA4">
        <f>ABS(Z4-$AM4)</f>
        <v>7.9804746581091814</v>
      </c>
      <c r="AE4">
        <v>71.264520000000005</v>
      </c>
      <c r="AF4">
        <v>0.32830271898698848</v>
      </c>
      <c r="AG4">
        <f t="shared" ref="AG4:AG67" si="4">AE4*AF4</f>
        <v>23.39633568330262</v>
      </c>
      <c r="AH4">
        <f>((AE4/AE3)-1)*100</f>
        <v>12.233158022799561</v>
      </c>
      <c r="AI4">
        <f>ABS(AH4-$AM4)</f>
        <v>2.4600726387365768</v>
      </c>
      <c r="AL4">
        <f t="shared" ref="AL4:AL67" si="5">AG4+Y4+R4+K4+D4</f>
        <v>73.855073187293826</v>
      </c>
      <c r="AM4">
        <f>((AL4/AL3)-1)*100</f>
        <v>9.7730853840629841</v>
      </c>
    </row>
    <row r="5" spans="1:39" x14ac:dyDescent="0.35">
      <c r="A5" s="2">
        <v>36586</v>
      </c>
      <c r="B5">
        <v>32.458179999999999</v>
      </c>
      <c r="C5">
        <v>0.23786553307981059</v>
      </c>
      <c r="D5">
        <f t="shared" si="0"/>
        <v>7.7206822885004467</v>
      </c>
      <c r="E5">
        <f t="shared" ref="E5:E68" si="6">((B5/B4)-1)*100</f>
        <v>7.1045373821074564</v>
      </c>
      <c r="F5">
        <f t="shared" ref="F5:F68" si="7">ABS(E5-$AM5)</f>
        <v>0.37746824703908111</v>
      </c>
      <c r="G5">
        <f>ABS(F5-F4)</f>
        <v>4.9108791475416238</v>
      </c>
      <c r="I5">
        <v>201.34620000000001</v>
      </c>
      <c r="J5">
        <v>0.18809266946028108</v>
      </c>
      <c r="K5">
        <f t="shared" si="1"/>
        <v>37.871744243683651</v>
      </c>
      <c r="L5">
        <f t="shared" ref="L5:L68" si="8">((I5/I4)-1)*100</f>
        <v>7.732140793343012</v>
      </c>
      <c r="M5">
        <f t="shared" ref="M5:M68" si="9">ABS(L5-$AM5)</f>
        <v>1.0050716582746366</v>
      </c>
      <c r="N5">
        <f>ABS(M5-M4)</f>
        <v>0.17021769141505505</v>
      </c>
      <c r="P5">
        <v>150.56800000000001</v>
      </c>
      <c r="Q5">
        <v>1.063752872175003E-2</v>
      </c>
      <c r="R5">
        <f t="shared" si="2"/>
        <v>1.6016714245764587</v>
      </c>
      <c r="S5">
        <f t="shared" ref="S5:S68" si="10">((P5/P4)-1)*100</f>
        <v>1.8814865137352754</v>
      </c>
      <c r="T5">
        <f t="shared" ref="T5:T68" si="11">ABS(S5-$AM5)</f>
        <v>4.8455826213330999</v>
      </c>
      <c r="U5">
        <f>ABS(T5-T4)</f>
        <v>4.2309160040736602</v>
      </c>
      <c r="W5">
        <v>28.12735</v>
      </c>
      <c r="X5">
        <v>0.23510154975116984</v>
      </c>
      <c r="Y5">
        <f t="shared" si="3"/>
        <v>6.6127835753935669</v>
      </c>
      <c r="Z5">
        <f t="shared" ref="Z5:Z68" si="12">((W5/W4)-1)*100</f>
        <v>1.3534281621879751</v>
      </c>
      <c r="AA5">
        <f t="shared" ref="AA5:AA68" si="13">ABS(Z5-$AM5)</f>
        <v>5.3736409728804002</v>
      </c>
      <c r="AB5">
        <f>ABS(AA5-AA4)</f>
        <v>2.6068336852287812</v>
      </c>
      <c r="AE5">
        <v>76.19941</v>
      </c>
      <c r="AF5">
        <v>0.32830271898698848</v>
      </c>
      <c r="AG5">
        <f t="shared" si="4"/>
        <v>25.016473488204319</v>
      </c>
      <c r="AH5">
        <f t="shared" ref="AH5:AH68" si="14">((AE5/AE4)-1)*100</f>
        <v>6.9247502123076066</v>
      </c>
      <c r="AI5">
        <f t="shared" ref="AI5:AI68" si="15">ABS(AH5-$AM5)</f>
        <v>0.19768107723923123</v>
      </c>
      <c r="AJ5">
        <f>ABS(AI5-AI4)</f>
        <v>2.2623915614973455</v>
      </c>
      <c r="AL5">
        <f t="shared" si="5"/>
        <v>78.823355020358434</v>
      </c>
      <c r="AM5">
        <f t="shared" ref="AM5:AM68" si="16">((AL5/AL4)-1)*100</f>
        <v>6.7270691350683753</v>
      </c>
    </row>
    <row r="6" spans="1:39" x14ac:dyDescent="0.35">
      <c r="A6" s="2">
        <v>36617</v>
      </c>
      <c r="B6">
        <v>31.236000000000001</v>
      </c>
      <c r="C6">
        <v>0.23786553307981059</v>
      </c>
      <c r="D6">
        <f t="shared" si="0"/>
        <v>7.4299677912809639</v>
      </c>
      <c r="E6">
        <f t="shared" si="6"/>
        <v>-3.7653990457875319</v>
      </c>
      <c r="F6">
        <f t="shared" si="7"/>
        <v>3.4863307442932201</v>
      </c>
      <c r="G6">
        <f t="shared" ref="G6:G69" si="17">ABS(F6-F5)</f>
        <v>3.108862497254139</v>
      </c>
      <c r="I6">
        <v>186.21530000000001</v>
      </c>
      <c r="J6">
        <v>0.18809266946028108</v>
      </c>
      <c r="K6">
        <f t="shared" si="1"/>
        <v>35.025732871347081</v>
      </c>
      <c r="L6">
        <f t="shared" si="8"/>
        <v>-7.5148674273465277</v>
      </c>
      <c r="M6">
        <f t="shared" si="9"/>
        <v>0.26313763726577566</v>
      </c>
      <c r="N6">
        <f t="shared" ref="N6:N69" si="18">ABS(M6-M5)</f>
        <v>0.74193402100886097</v>
      </c>
      <c r="P6">
        <v>152.68729999999999</v>
      </c>
      <c r="Q6">
        <v>1.063752872175003E-2</v>
      </c>
      <c r="R6">
        <f t="shared" si="2"/>
        <v>1.6242155391964632</v>
      </c>
      <c r="S6">
        <f t="shared" si="10"/>
        <v>1.4075367940066918</v>
      </c>
      <c r="T6">
        <f t="shared" si="11"/>
        <v>8.6592665840874439</v>
      </c>
      <c r="U6">
        <f t="shared" ref="U6:U69" si="19">ABS(T6-T5)</f>
        <v>3.813683962754344</v>
      </c>
      <c r="W6">
        <v>26.18451</v>
      </c>
      <c r="X6">
        <v>0.23510154975116984</v>
      </c>
      <c r="Y6">
        <f t="shared" si="3"/>
        <v>6.1560188804750045</v>
      </c>
      <c r="Z6">
        <f t="shared" si="12"/>
        <v>-6.9072984123993209</v>
      </c>
      <c r="AA6">
        <f t="shared" si="13"/>
        <v>0.34443137768143117</v>
      </c>
      <c r="AB6">
        <f t="shared" ref="AB6:AB69" si="20">ABS(AA6-AA5)</f>
        <v>5.029209595198969</v>
      </c>
      <c r="AE6">
        <v>69.665469999999999</v>
      </c>
      <c r="AF6">
        <v>0.32830271898698848</v>
      </c>
      <c r="AG6">
        <f t="shared" si="4"/>
        <v>22.871363220506478</v>
      </c>
      <c r="AH6">
        <f t="shared" si="14"/>
        <v>-8.5747908021860049</v>
      </c>
      <c r="AI6">
        <f t="shared" si="15"/>
        <v>1.3230610121052528</v>
      </c>
      <c r="AJ6">
        <f t="shared" ref="AJ6:AJ69" si="21">ABS(AI6-AI5)</f>
        <v>1.1253799348660216</v>
      </c>
      <c r="AL6">
        <f t="shared" si="5"/>
        <v>73.107298302805987</v>
      </c>
      <c r="AM6">
        <f t="shared" si="16"/>
        <v>-7.251729790080752</v>
      </c>
    </row>
    <row r="7" spans="1:39" x14ac:dyDescent="0.35">
      <c r="A7" s="2">
        <v>36647</v>
      </c>
      <c r="B7">
        <v>31.8918</v>
      </c>
      <c r="C7">
        <v>0.23786553307981059</v>
      </c>
      <c r="D7">
        <f t="shared" si="0"/>
        <v>7.5859600078747036</v>
      </c>
      <c r="E7">
        <f t="shared" si="6"/>
        <v>2.099500576258162</v>
      </c>
      <c r="F7">
        <f t="shared" si="7"/>
        <v>0.55578696006939321</v>
      </c>
      <c r="G7">
        <f t="shared" si="17"/>
        <v>2.9305437842238269</v>
      </c>
      <c r="I7">
        <v>193.2414</v>
      </c>
      <c r="J7">
        <v>0.18809266946028108</v>
      </c>
      <c r="K7">
        <f t="shared" si="1"/>
        <v>36.347290776241962</v>
      </c>
      <c r="L7">
        <f t="shared" si="8"/>
        <v>3.7731056470655222</v>
      </c>
      <c r="M7">
        <f t="shared" si="9"/>
        <v>1.117818110737967</v>
      </c>
      <c r="N7">
        <f t="shared" si="18"/>
        <v>0.85468047347219134</v>
      </c>
      <c r="P7">
        <v>141.9649</v>
      </c>
      <c r="Q7">
        <v>1.063752872175003E-2</v>
      </c>
      <c r="R7">
        <f t="shared" si="2"/>
        <v>1.5101557012303708</v>
      </c>
      <c r="S7">
        <f t="shared" si="10"/>
        <v>-7.0224570085396731</v>
      </c>
      <c r="T7">
        <f t="shared" si="11"/>
        <v>9.6777445448672275</v>
      </c>
      <c r="U7">
        <f t="shared" si="19"/>
        <v>1.0184779607797836</v>
      </c>
      <c r="W7">
        <v>27.652190000000001</v>
      </c>
      <c r="X7">
        <v>0.23510154975116984</v>
      </c>
      <c r="Y7">
        <f t="shared" si="3"/>
        <v>6.5010727230138015</v>
      </c>
      <c r="Z7">
        <f t="shared" si="12"/>
        <v>5.6051459431549544</v>
      </c>
      <c r="AA7">
        <f t="shared" si="13"/>
        <v>2.9498584068273992</v>
      </c>
      <c r="AB7">
        <f t="shared" si="20"/>
        <v>2.605427029145968</v>
      </c>
      <c r="AE7">
        <v>70.374160000000003</v>
      </c>
      <c r="AF7">
        <v>0.32830271898698848</v>
      </c>
      <c r="AG7">
        <f t="shared" si="4"/>
        <v>23.104028074425365</v>
      </c>
      <c r="AH7">
        <f t="shared" si="14"/>
        <v>1.0172758469870535</v>
      </c>
      <c r="AI7">
        <f t="shared" si="15"/>
        <v>1.6380116893405017</v>
      </c>
      <c r="AJ7">
        <f t="shared" si="21"/>
        <v>0.31495067723524883</v>
      </c>
      <c r="AL7">
        <f t="shared" si="5"/>
        <v>75.048507282786204</v>
      </c>
      <c r="AM7">
        <f t="shared" si="16"/>
        <v>2.6552875363275552</v>
      </c>
    </row>
    <row r="8" spans="1:39" x14ac:dyDescent="0.35">
      <c r="A8" s="2">
        <v>36678</v>
      </c>
      <c r="B8">
        <v>32.260350000000003</v>
      </c>
      <c r="C8">
        <v>0.23786553307981059</v>
      </c>
      <c r="D8">
        <f t="shared" si="0"/>
        <v>7.6736253500912683</v>
      </c>
      <c r="E8">
        <f t="shared" si="6"/>
        <v>1.1556262111263704</v>
      </c>
      <c r="F8">
        <f t="shared" si="7"/>
        <v>0.97049797677746241</v>
      </c>
      <c r="G8">
        <f t="shared" si="17"/>
        <v>0.4147110167080692</v>
      </c>
      <c r="I8">
        <v>195.23439999999999</v>
      </c>
      <c r="J8">
        <v>0.18809266946028108</v>
      </c>
      <c r="K8">
        <f t="shared" si="1"/>
        <v>36.722159466476299</v>
      </c>
      <c r="L8">
        <f t="shared" si="8"/>
        <v>1.0313524948587505</v>
      </c>
      <c r="M8">
        <f t="shared" si="9"/>
        <v>0.84622426050984245</v>
      </c>
      <c r="N8">
        <f t="shared" si="18"/>
        <v>0.27159385022812454</v>
      </c>
      <c r="P8">
        <v>135.91300000000001</v>
      </c>
      <c r="Q8">
        <v>1.063752872175003E-2</v>
      </c>
      <c r="R8">
        <f t="shared" si="2"/>
        <v>1.4457784411592118</v>
      </c>
      <c r="S8">
        <f t="shared" si="10"/>
        <v>-4.2629551389110842</v>
      </c>
      <c r="T8">
        <f t="shared" si="11"/>
        <v>4.4480833732599923</v>
      </c>
      <c r="U8">
        <f t="shared" si="19"/>
        <v>5.2296611716072352</v>
      </c>
      <c r="W8">
        <v>27.926729999999999</v>
      </c>
      <c r="X8">
        <v>0.23510154975116984</v>
      </c>
      <c r="Y8">
        <f t="shared" si="3"/>
        <v>6.5656175024824872</v>
      </c>
      <c r="Z8">
        <f t="shared" si="12"/>
        <v>0.99283275574193475</v>
      </c>
      <c r="AA8">
        <f t="shared" si="13"/>
        <v>0.80770452139302673</v>
      </c>
      <c r="AB8">
        <f t="shared" si="20"/>
        <v>2.1421538854343725</v>
      </c>
      <c r="AE8">
        <v>69.387979999999999</v>
      </c>
      <c r="AF8">
        <v>0.32830271898698848</v>
      </c>
      <c r="AG8">
        <f t="shared" si="4"/>
        <v>22.780262499014778</v>
      </c>
      <c r="AH8">
        <f t="shared" si="14"/>
        <v>-1.4013382184597356</v>
      </c>
      <c r="AI8">
        <f t="shared" si="15"/>
        <v>1.5864664528086436</v>
      </c>
      <c r="AJ8">
        <f t="shared" si="21"/>
        <v>5.1545236531858052E-2</v>
      </c>
      <c r="AL8">
        <f t="shared" si="5"/>
        <v>75.18744325922404</v>
      </c>
      <c r="AM8">
        <f t="shared" si="16"/>
        <v>0.18512823434890802</v>
      </c>
    </row>
    <row r="9" spans="1:39" x14ac:dyDescent="0.35">
      <c r="A9" s="2">
        <v>36708</v>
      </c>
      <c r="B9">
        <v>33.181730000000002</v>
      </c>
      <c r="C9">
        <v>0.23786553307981059</v>
      </c>
      <c r="D9">
        <f t="shared" si="0"/>
        <v>7.8927898949603437</v>
      </c>
      <c r="E9">
        <f t="shared" si="6"/>
        <v>2.8560756470404014</v>
      </c>
      <c r="F9">
        <f t="shared" si="7"/>
        <v>4.3918831566451377</v>
      </c>
      <c r="G9">
        <f t="shared" si="17"/>
        <v>3.4213851798676753</v>
      </c>
      <c r="I9">
        <v>186.268</v>
      </c>
      <c r="J9">
        <v>0.18809266946028108</v>
      </c>
      <c r="K9">
        <f t="shared" si="1"/>
        <v>35.03564535502764</v>
      </c>
      <c r="L9">
        <f t="shared" si="8"/>
        <v>-4.5926332654491198</v>
      </c>
      <c r="M9">
        <f t="shared" si="9"/>
        <v>3.0568257558443834</v>
      </c>
      <c r="N9">
        <f t="shared" si="18"/>
        <v>2.210601495334541</v>
      </c>
      <c r="P9">
        <v>134.95089999999999</v>
      </c>
      <c r="Q9">
        <v>1.063752872175003E-2</v>
      </c>
      <c r="R9">
        <f t="shared" si="2"/>
        <v>1.435544074776016</v>
      </c>
      <c r="S9">
        <f t="shared" si="10"/>
        <v>-0.70787930514374375</v>
      </c>
      <c r="T9">
        <f t="shared" si="11"/>
        <v>0.82792820446099258</v>
      </c>
      <c r="U9">
        <f t="shared" si="19"/>
        <v>3.6201551687989997</v>
      </c>
      <c r="W9">
        <v>29.06859</v>
      </c>
      <c r="X9">
        <v>0.23510154975116984</v>
      </c>
      <c r="Y9">
        <f t="shared" si="3"/>
        <v>6.8340705580813585</v>
      </c>
      <c r="Z9">
        <f t="shared" si="12"/>
        <v>4.088770865761937</v>
      </c>
      <c r="AA9">
        <f t="shared" si="13"/>
        <v>5.6245783753666734</v>
      </c>
      <c r="AB9">
        <f t="shared" si="20"/>
        <v>4.8168738539736466</v>
      </c>
      <c r="AE9">
        <v>69.553669999999997</v>
      </c>
      <c r="AF9">
        <v>0.32830271898698848</v>
      </c>
      <c r="AG9">
        <f t="shared" si="4"/>
        <v>22.83465897652373</v>
      </c>
      <c r="AH9">
        <f t="shared" si="14"/>
        <v>0.23878775545851383</v>
      </c>
      <c r="AI9">
        <f t="shared" si="15"/>
        <v>1.7745952650632502</v>
      </c>
      <c r="AJ9">
        <f t="shared" si="21"/>
        <v>0.18812881225460654</v>
      </c>
      <c r="AL9">
        <f t="shared" si="5"/>
        <v>74.03270885936908</v>
      </c>
      <c r="AM9">
        <f t="shared" si="16"/>
        <v>-1.5358075096047363</v>
      </c>
    </row>
    <row r="10" spans="1:39" x14ac:dyDescent="0.35">
      <c r="A10" s="2">
        <v>36739</v>
      </c>
      <c r="B10">
        <v>35.257530000000003</v>
      </c>
      <c r="C10">
        <v>0.23786553307981059</v>
      </c>
      <c r="D10">
        <f t="shared" si="0"/>
        <v>8.386551168527415</v>
      </c>
      <c r="E10">
        <f t="shared" si="6"/>
        <v>6.25585224157994</v>
      </c>
      <c r="F10">
        <f t="shared" si="7"/>
        <v>13.703175247852496</v>
      </c>
      <c r="G10">
        <f t="shared" si="17"/>
        <v>9.311292091207358</v>
      </c>
      <c r="I10">
        <v>157.32320000000001</v>
      </c>
      <c r="J10">
        <v>0.18809266946028108</v>
      </c>
      <c r="K10">
        <f t="shared" si="1"/>
        <v>29.591340656033694</v>
      </c>
      <c r="L10">
        <f t="shared" si="8"/>
        <v>-15.539330427126497</v>
      </c>
      <c r="M10">
        <f t="shared" si="9"/>
        <v>8.0920074208539425</v>
      </c>
      <c r="N10">
        <f t="shared" si="18"/>
        <v>5.0351816650095591</v>
      </c>
      <c r="P10">
        <v>134.18940000000001</v>
      </c>
      <c r="Q10">
        <v>1.063752872175003E-2</v>
      </c>
      <c r="R10">
        <f t="shared" si="2"/>
        <v>1.4274435966544035</v>
      </c>
      <c r="S10">
        <f t="shared" si="10"/>
        <v>-0.564279304547044</v>
      </c>
      <c r="T10">
        <f t="shared" si="11"/>
        <v>6.8830437017255104</v>
      </c>
      <c r="U10">
        <f t="shared" si="19"/>
        <v>6.0551154972645183</v>
      </c>
      <c r="W10">
        <v>31.01294</v>
      </c>
      <c r="X10">
        <v>0.23510154975116984</v>
      </c>
      <c r="Y10">
        <f t="shared" si="3"/>
        <v>7.2911902563400455</v>
      </c>
      <c r="Z10">
        <f t="shared" si="12"/>
        <v>6.6888349245697754</v>
      </c>
      <c r="AA10">
        <f t="shared" si="13"/>
        <v>14.13615793084233</v>
      </c>
      <c r="AB10">
        <f t="shared" si="20"/>
        <v>8.5115795554756559</v>
      </c>
      <c r="AE10">
        <v>66.471360000000004</v>
      </c>
      <c r="AF10">
        <v>0.32830271898698848</v>
      </c>
      <c r="AG10">
        <f t="shared" si="4"/>
        <v>21.822728222762947</v>
      </c>
      <c r="AH10">
        <f t="shared" si="14"/>
        <v>-4.4315562356378795</v>
      </c>
      <c r="AI10">
        <f t="shared" si="15"/>
        <v>3.0157667706346754</v>
      </c>
      <c r="AJ10">
        <f t="shared" si="21"/>
        <v>1.2411715055714252</v>
      </c>
      <c r="AL10">
        <f t="shared" si="5"/>
        <v>68.519253900318503</v>
      </c>
      <c r="AM10">
        <f t="shared" si="16"/>
        <v>-7.4473230062725548</v>
      </c>
    </row>
    <row r="11" spans="1:39" x14ac:dyDescent="0.35">
      <c r="A11" s="2">
        <v>36770</v>
      </c>
      <c r="B11">
        <v>36.490549999999999</v>
      </c>
      <c r="C11">
        <v>0.23786553307981059</v>
      </c>
      <c r="D11">
        <f t="shared" si="0"/>
        <v>8.6798441281254828</v>
      </c>
      <c r="E11">
        <f t="shared" si="6"/>
        <v>3.4971820204081183</v>
      </c>
      <c r="F11">
        <f t="shared" si="7"/>
        <v>8.075334384567423E-2</v>
      </c>
      <c r="G11">
        <f t="shared" si="17"/>
        <v>13.622421904006821</v>
      </c>
      <c r="I11">
        <v>166.15110000000001</v>
      </c>
      <c r="J11">
        <v>0.18809266946028108</v>
      </c>
      <c r="K11">
        <f t="shared" si="1"/>
        <v>31.251803932762112</v>
      </c>
      <c r="L11">
        <f t="shared" si="8"/>
        <v>5.6113147965462185</v>
      </c>
      <c r="M11">
        <f t="shared" si="9"/>
        <v>2.0333794322924259</v>
      </c>
      <c r="N11">
        <f t="shared" si="18"/>
        <v>6.0586279885615166</v>
      </c>
      <c r="P11">
        <v>131.32339999999999</v>
      </c>
      <c r="Q11">
        <v>1.063752872175003E-2</v>
      </c>
      <c r="R11">
        <f t="shared" si="2"/>
        <v>1.3969564393378677</v>
      </c>
      <c r="S11">
        <f t="shared" si="10"/>
        <v>-2.1357871784209559</v>
      </c>
      <c r="T11">
        <f t="shared" si="11"/>
        <v>5.7137225426747484</v>
      </c>
      <c r="U11">
        <f t="shared" si="19"/>
        <v>1.1693211590507619</v>
      </c>
      <c r="W11">
        <v>31.988880000000002</v>
      </c>
      <c r="X11">
        <v>0.23510154975116984</v>
      </c>
      <c r="Y11">
        <f t="shared" si="3"/>
        <v>7.5206352628042019</v>
      </c>
      <c r="Z11">
        <f t="shared" si="12"/>
        <v>3.1468799797761848</v>
      </c>
      <c r="AA11">
        <f t="shared" si="13"/>
        <v>0.43105538447760772</v>
      </c>
      <c r="AB11">
        <f t="shared" si="20"/>
        <v>13.705102546364722</v>
      </c>
      <c r="AE11">
        <v>67.381680000000003</v>
      </c>
      <c r="AF11">
        <v>0.32830271898698848</v>
      </c>
      <c r="AG11">
        <f t="shared" si="4"/>
        <v>22.121588753911183</v>
      </c>
      <c r="AH11">
        <f t="shared" si="14"/>
        <v>1.3694920639505392</v>
      </c>
      <c r="AI11">
        <f t="shared" si="15"/>
        <v>2.2084433003032533</v>
      </c>
      <c r="AJ11">
        <f t="shared" si="21"/>
        <v>0.80732347033142204</v>
      </c>
      <c r="AL11">
        <f t="shared" si="5"/>
        <v>70.970828516940841</v>
      </c>
      <c r="AM11">
        <f t="shared" si="16"/>
        <v>3.5779353642537925</v>
      </c>
    </row>
    <row r="12" spans="1:39" x14ac:dyDescent="0.35">
      <c r="A12" s="2">
        <v>36800</v>
      </c>
      <c r="B12">
        <v>37.340110000000003</v>
      </c>
      <c r="C12">
        <v>0.23786553307981059</v>
      </c>
      <c r="D12">
        <f t="shared" si="0"/>
        <v>8.8819251704087669</v>
      </c>
      <c r="E12">
        <f t="shared" si="6"/>
        <v>2.3281644151705194</v>
      </c>
      <c r="F12">
        <f t="shared" si="7"/>
        <v>11.085916456296395</v>
      </c>
      <c r="G12">
        <f t="shared" si="17"/>
        <v>11.00516311245072</v>
      </c>
      <c r="I12">
        <v>144.9426</v>
      </c>
      <c r="J12">
        <v>0.18809266946028108</v>
      </c>
      <c r="K12">
        <f t="shared" si="1"/>
        <v>27.262640552513737</v>
      </c>
      <c r="L12">
        <f t="shared" si="8"/>
        <v>-12.764585970240351</v>
      </c>
      <c r="M12">
        <f t="shared" si="9"/>
        <v>4.0068339291144746</v>
      </c>
      <c r="N12">
        <f t="shared" si="18"/>
        <v>1.9734544968220487</v>
      </c>
      <c r="P12">
        <v>127.1604</v>
      </c>
      <c r="Q12">
        <v>1.063752872175003E-2</v>
      </c>
      <c r="R12">
        <f t="shared" si="2"/>
        <v>1.3526724072692224</v>
      </c>
      <c r="S12">
        <f t="shared" si="10"/>
        <v>-3.170036718513225</v>
      </c>
      <c r="T12">
        <f t="shared" si="11"/>
        <v>5.5877153226126506</v>
      </c>
      <c r="U12">
        <f t="shared" si="19"/>
        <v>0.12600722006209786</v>
      </c>
      <c r="W12">
        <v>30.662980000000001</v>
      </c>
      <c r="X12">
        <v>0.23510154975116984</v>
      </c>
      <c r="Y12">
        <f t="shared" si="3"/>
        <v>7.2089141179891261</v>
      </c>
      <c r="Z12">
        <f t="shared" si="12"/>
        <v>-4.1448778450511536</v>
      </c>
      <c r="AA12">
        <f t="shared" si="13"/>
        <v>4.6128741960747224</v>
      </c>
      <c r="AB12">
        <f t="shared" si="20"/>
        <v>4.1818188115971147</v>
      </c>
      <c r="AE12">
        <v>61.069330000000001</v>
      </c>
      <c r="AF12">
        <v>0.32830271898698848</v>
      </c>
      <c r="AG12">
        <f t="shared" si="4"/>
        <v>20.049227085713667</v>
      </c>
      <c r="AH12">
        <f t="shared" si="14"/>
        <v>-9.368050781755521</v>
      </c>
      <c r="AI12">
        <f t="shared" si="15"/>
        <v>0.61029874062964495</v>
      </c>
      <c r="AJ12">
        <f t="shared" si="21"/>
        <v>1.5981445596736084</v>
      </c>
      <c r="AL12">
        <f t="shared" si="5"/>
        <v>64.75537933389451</v>
      </c>
      <c r="AM12">
        <f t="shared" si="16"/>
        <v>-8.757752041125876</v>
      </c>
    </row>
    <row r="13" spans="1:39" x14ac:dyDescent="0.35">
      <c r="A13" s="2">
        <v>36831</v>
      </c>
      <c r="B13">
        <v>35.472969999999997</v>
      </c>
      <c r="C13">
        <v>0.23786553307981059</v>
      </c>
      <c r="D13">
        <f t="shared" si="0"/>
        <v>8.4377969189741275</v>
      </c>
      <c r="E13">
        <f t="shared" si="6"/>
        <v>-5.0003602024739742</v>
      </c>
      <c r="F13">
        <f t="shared" si="7"/>
        <v>6.0599278924348461</v>
      </c>
      <c r="G13">
        <f t="shared" si="17"/>
        <v>5.0259885638615494</v>
      </c>
      <c r="I13">
        <v>155.43700000000001</v>
      </c>
      <c r="J13">
        <v>0.18809266946028108</v>
      </c>
      <c r="K13">
        <f t="shared" si="1"/>
        <v>29.236560262897711</v>
      </c>
      <c r="L13">
        <f t="shared" si="8"/>
        <v>7.2403834345458273</v>
      </c>
      <c r="M13">
        <f t="shared" si="9"/>
        <v>6.1808157445849554</v>
      </c>
      <c r="N13">
        <f t="shared" si="18"/>
        <v>2.1739818154704809</v>
      </c>
      <c r="P13">
        <v>118.50020000000001</v>
      </c>
      <c r="Q13">
        <v>1.063752872175003E-2</v>
      </c>
      <c r="R13">
        <f t="shared" si="2"/>
        <v>1.2605492810331229</v>
      </c>
      <c r="S13">
        <f t="shared" si="10"/>
        <v>-6.8104535688783496</v>
      </c>
      <c r="T13">
        <f t="shared" si="11"/>
        <v>7.8700212588392215</v>
      </c>
      <c r="U13">
        <f t="shared" si="19"/>
        <v>2.282305936226571</v>
      </c>
      <c r="W13">
        <v>30.306999999999999</v>
      </c>
      <c r="X13">
        <v>0.23510154975116984</v>
      </c>
      <c r="Y13">
        <f t="shared" si="3"/>
        <v>7.1252226683087043</v>
      </c>
      <c r="Z13">
        <f t="shared" si="12"/>
        <v>-1.1609439134748212</v>
      </c>
      <c r="AA13">
        <f t="shared" si="13"/>
        <v>2.2205116034356931</v>
      </c>
      <c r="AB13">
        <f t="shared" si="20"/>
        <v>2.3923625926390293</v>
      </c>
      <c r="AE13">
        <v>59.035080000000001</v>
      </c>
      <c r="AF13">
        <v>0.32830271898698848</v>
      </c>
      <c r="AG13">
        <f t="shared" si="4"/>
        <v>19.381377279614384</v>
      </c>
      <c r="AH13">
        <f t="shared" si="14"/>
        <v>-3.3310501359684164</v>
      </c>
      <c r="AI13">
        <f t="shared" si="15"/>
        <v>4.3906178259292883</v>
      </c>
      <c r="AJ13">
        <f t="shared" si="21"/>
        <v>3.7803190852996433</v>
      </c>
      <c r="AL13">
        <f t="shared" si="5"/>
        <v>65.441506410828055</v>
      </c>
      <c r="AM13">
        <f t="shared" si="16"/>
        <v>1.0595676899608719</v>
      </c>
    </row>
    <row r="14" spans="1:39" x14ac:dyDescent="0.35">
      <c r="A14" s="2">
        <v>36861</v>
      </c>
      <c r="B14">
        <v>33.813139999999997</v>
      </c>
      <c r="C14">
        <v>0.23786553307981059</v>
      </c>
      <c r="D14">
        <f t="shared" si="0"/>
        <v>8.0429805712022659</v>
      </c>
      <c r="E14">
        <f t="shared" si="6"/>
        <v>-4.6791402016803207</v>
      </c>
      <c r="F14">
        <f t="shared" si="7"/>
        <v>3.8283501668726072</v>
      </c>
      <c r="G14">
        <f t="shared" si="17"/>
        <v>2.2315777255622389</v>
      </c>
      <c r="I14">
        <v>162.27719999999999</v>
      </c>
      <c r="J14">
        <v>0.18809266946028108</v>
      </c>
      <c r="K14">
        <f t="shared" si="1"/>
        <v>30.523151740539923</v>
      </c>
      <c r="L14">
        <f t="shared" si="8"/>
        <v>4.4006253337364853</v>
      </c>
      <c r="M14">
        <f t="shared" si="9"/>
        <v>5.2514153685441993</v>
      </c>
      <c r="N14">
        <f t="shared" si="18"/>
        <v>0.92940037604075609</v>
      </c>
      <c r="P14">
        <v>111.05</v>
      </c>
      <c r="Q14">
        <v>1.063752872175003E-2</v>
      </c>
      <c r="R14">
        <f t="shared" si="2"/>
        <v>1.1812975645503407</v>
      </c>
      <c r="S14">
        <f t="shared" si="10"/>
        <v>-6.2870779964928403</v>
      </c>
      <c r="T14">
        <f t="shared" si="11"/>
        <v>5.4362879616851263</v>
      </c>
      <c r="U14">
        <f t="shared" si="19"/>
        <v>2.4337332971540953</v>
      </c>
      <c r="W14">
        <v>27.599399999999999</v>
      </c>
      <c r="X14">
        <v>0.23510154975116984</v>
      </c>
      <c r="Y14">
        <f t="shared" si="3"/>
        <v>6.488661712202437</v>
      </c>
      <c r="Z14">
        <f t="shared" si="12"/>
        <v>-8.9339096578348265</v>
      </c>
      <c r="AA14">
        <f t="shared" si="13"/>
        <v>8.0831196230271125</v>
      </c>
      <c r="AB14">
        <f t="shared" si="20"/>
        <v>5.8626080195914199</v>
      </c>
      <c r="AE14">
        <v>56.803199999999997</v>
      </c>
      <c r="AF14">
        <v>0.32830271898698848</v>
      </c>
      <c r="AG14">
        <f t="shared" si="4"/>
        <v>18.648645007161704</v>
      </c>
      <c r="AH14">
        <f t="shared" si="14"/>
        <v>-3.78059960281244</v>
      </c>
      <c r="AI14">
        <f t="shared" si="15"/>
        <v>2.9298095680047265</v>
      </c>
      <c r="AJ14">
        <f t="shared" si="21"/>
        <v>1.4608082579245618</v>
      </c>
      <c r="AL14">
        <f t="shared" si="5"/>
        <v>64.884736595656676</v>
      </c>
      <c r="AM14">
        <f t="shared" si="16"/>
        <v>-0.85079003480771354</v>
      </c>
    </row>
    <row r="15" spans="1:39" x14ac:dyDescent="0.35">
      <c r="A15" s="2">
        <v>36892</v>
      </c>
      <c r="B15">
        <v>35.516330000000004</v>
      </c>
      <c r="C15">
        <v>0.10226076436619386</v>
      </c>
      <c r="D15">
        <f t="shared" si="0"/>
        <v>3.6319270532819821</v>
      </c>
      <c r="E15">
        <f t="shared" si="6"/>
        <v>5.0370654721803687</v>
      </c>
      <c r="F15">
        <f t="shared" si="7"/>
        <v>63.955652762591718</v>
      </c>
      <c r="G15">
        <f t="shared" si="17"/>
        <v>60.127302595719108</v>
      </c>
      <c r="I15">
        <v>141.30420000000001</v>
      </c>
      <c r="J15">
        <v>8.22960293118601E-2</v>
      </c>
      <c r="K15">
        <f t="shared" si="1"/>
        <v>11.628774585088943</v>
      </c>
      <c r="L15">
        <f t="shared" si="8"/>
        <v>-12.924181585583183</v>
      </c>
      <c r="M15">
        <f t="shared" si="9"/>
        <v>45.994405704828168</v>
      </c>
      <c r="N15">
        <f t="shared" si="18"/>
        <v>40.742990336283967</v>
      </c>
      <c r="P15">
        <v>109.3678</v>
      </c>
      <c r="Q15">
        <v>4.7178886729749951E-3</v>
      </c>
      <c r="R15">
        <f t="shared" si="2"/>
        <v>0.51598510480819471</v>
      </c>
      <c r="S15">
        <f t="shared" si="10"/>
        <v>-1.5148131472309756</v>
      </c>
      <c r="T15">
        <f t="shared" si="11"/>
        <v>57.403774143180378</v>
      </c>
      <c r="U15">
        <f t="shared" si="19"/>
        <v>51.967486181495254</v>
      </c>
      <c r="W15">
        <v>28.287240000000001</v>
      </c>
      <c r="X15">
        <v>0.10231955433752929</v>
      </c>
      <c r="Y15">
        <f t="shared" si="3"/>
        <v>2.8943377902387319</v>
      </c>
      <c r="Z15">
        <f t="shared" si="12"/>
        <v>2.4922280919150497</v>
      </c>
      <c r="AA15">
        <f t="shared" si="13"/>
        <v>61.410815382326405</v>
      </c>
      <c r="AB15">
        <f t="shared" si="20"/>
        <v>53.327695759299289</v>
      </c>
      <c r="AE15">
        <v>56.222270000000002</v>
      </c>
      <c r="AF15">
        <v>0.14201742286416688</v>
      </c>
      <c r="AG15">
        <f t="shared" si="4"/>
        <v>7.9845418929733638</v>
      </c>
      <c r="AH15">
        <f t="shared" si="14"/>
        <v>-1.0227064672412745</v>
      </c>
      <c r="AI15">
        <f t="shared" si="15"/>
        <v>57.895880823170074</v>
      </c>
      <c r="AJ15">
        <f t="shared" si="21"/>
        <v>54.966071255165346</v>
      </c>
      <c r="AL15">
        <f t="shared" si="5"/>
        <v>26.655566426391214</v>
      </c>
      <c r="AM15">
        <f t="shared" si="16"/>
        <v>-58.918587290411352</v>
      </c>
    </row>
    <row r="16" spans="1:39" x14ac:dyDescent="0.35">
      <c r="A16" s="2">
        <v>36923</v>
      </c>
      <c r="B16">
        <v>35.64235</v>
      </c>
      <c r="C16">
        <v>0.10226076436619386</v>
      </c>
      <c r="D16">
        <f t="shared" si="0"/>
        <v>3.6448139548074097</v>
      </c>
      <c r="E16">
        <f t="shared" si="6"/>
        <v>0.35482269705231495</v>
      </c>
      <c r="F16">
        <f t="shared" si="7"/>
        <v>11.081656296686571</v>
      </c>
      <c r="G16">
        <f t="shared" si="17"/>
        <v>52.873996465905151</v>
      </c>
      <c r="I16">
        <v>109.3558</v>
      </c>
      <c r="J16">
        <v>8.22960293118601E-2</v>
      </c>
      <c r="K16">
        <f t="shared" si="1"/>
        <v>8.9995481222219116</v>
      </c>
      <c r="L16">
        <f t="shared" si="8"/>
        <v>-22.609660576260293</v>
      </c>
      <c r="M16">
        <f t="shared" si="9"/>
        <v>11.882826976626037</v>
      </c>
      <c r="N16">
        <f t="shared" si="18"/>
        <v>34.111578728202133</v>
      </c>
      <c r="P16">
        <v>107.3601</v>
      </c>
      <c r="Q16">
        <v>4.7178886729749951E-3</v>
      </c>
      <c r="R16">
        <f t="shared" si="2"/>
        <v>0.50651299971946273</v>
      </c>
      <c r="S16">
        <f t="shared" si="10"/>
        <v>-1.8357322722044378</v>
      </c>
      <c r="T16">
        <f t="shared" si="11"/>
        <v>8.8911013274298192</v>
      </c>
      <c r="U16">
        <f t="shared" si="19"/>
        <v>48.512672815750562</v>
      </c>
      <c r="W16">
        <v>29.06709</v>
      </c>
      <c r="X16">
        <v>0.10231955433752929</v>
      </c>
      <c r="Y16">
        <f t="shared" si="3"/>
        <v>2.9741316946888543</v>
      </c>
      <c r="Z16">
        <f t="shared" si="12"/>
        <v>2.7568967492056506</v>
      </c>
      <c r="AA16">
        <f t="shared" si="13"/>
        <v>13.483730348839906</v>
      </c>
      <c r="AB16">
        <f t="shared" si="20"/>
        <v>47.927085033486499</v>
      </c>
      <c r="AE16">
        <v>54.01634</v>
      </c>
      <c r="AF16">
        <v>0.14201742286416688</v>
      </c>
      <c r="AG16">
        <f t="shared" si="4"/>
        <v>7.6712613993546119</v>
      </c>
      <c r="AH16">
        <f t="shared" si="14"/>
        <v>-3.9235875748168891</v>
      </c>
      <c r="AI16">
        <f t="shared" si="15"/>
        <v>6.8032460248173674</v>
      </c>
      <c r="AJ16">
        <f t="shared" si="21"/>
        <v>51.092634798352705</v>
      </c>
      <c r="AL16">
        <f t="shared" si="5"/>
        <v>23.796268170792253</v>
      </c>
      <c r="AM16">
        <f t="shared" si="16"/>
        <v>-10.726833599634256</v>
      </c>
    </row>
    <row r="17" spans="1:39" x14ac:dyDescent="0.35">
      <c r="A17" s="2">
        <v>36951</v>
      </c>
      <c r="B17">
        <v>32.619419999999998</v>
      </c>
      <c r="C17">
        <v>0.10226076436619386</v>
      </c>
      <c r="D17">
        <f t="shared" si="0"/>
        <v>3.3356868223819109</v>
      </c>
      <c r="E17">
        <f t="shared" si="6"/>
        <v>-8.4812870082921048</v>
      </c>
      <c r="F17">
        <f t="shared" si="7"/>
        <v>0.36516367258340132</v>
      </c>
      <c r="G17">
        <f t="shared" si="17"/>
        <v>10.71649262410317</v>
      </c>
      <c r="I17">
        <v>100.7941</v>
      </c>
      <c r="J17">
        <v>8.22960293118601E-2</v>
      </c>
      <c r="K17">
        <f t="shared" si="1"/>
        <v>8.294954208062558</v>
      </c>
      <c r="L17">
        <f t="shared" si="8"/>
        <v>-7.8292143626584103</v>
      </c>
      <c r="M17">
        <f t="shared" si="9"/>
        <v>0.28690897305029317</v>
      </c>
      <c r="N17">
        <f t="shared" si="18"/>
        <v>11.595918003575743</v>
      </c>
      <c r="P17">
        <v>105.95659999999999</v>
      </c>
      <c r="Q17">
        <v>4.7178886729749951E-3</v>
      </c>
      <c r="R17">
        <f t="shared" si="2"/>
        <v>0.49989144296694232</v>
      </c>
      <c r="S17">
        <f t="shared" si="10"/>
        <v>-1.3072826869572673</v>
      </c>
      <c r="T17">
        <f t="shared" si="11"/>
        <v>6.8088406487514366</v>
      </c>
      <c r="U17">
        <f t="shared" si="19"/>
        <v>2.0822606786783826</v>
      </c>
      <c r="W17">
        <v>27.478729999999999</v>
      </c>
      <c r="X17">
        <v>0.10231955433752929</v>
      </c>
      <c r="Y17">
        <f t="shared" si="3"/>
        <v>2.8116114073612959</v>
      </c>
      <c r="Z17">
        <f t="shared" si="12"/>
        <v>-5.4644616987803101</v>
      </c>
      <c r="AA17">
        <f t="shared" si="13"/>
        <v>2.6516616369283934</v>
      </c>
      <c r="AB17">
        <f t="shared" si="20"/>
        <v>10.832068711911512</v>
      </c>
      <c r="AE17">
        <v>48.74606</v>
      </c>
      <c r="AF17">
        <v>0.14201742286416688</v>
      </c>
      <c r="AG17">
        <f t="shared" si="4"/>
        <v>6.9227898159820507</v>
      </c>
      <c r="AH17">
        <f t="shared" si="14"/>
        <v>-9.7568254346740204</v>
      </c>
      <c r="AI17">
        <f t="shared" si="15"/>
        <v>1.6407020989653169</v>
      </c>
      <c r="AJ17">
        <f t="shared" si="21"/>
        <v>5.1625439258520505</v>
      </c>
      <c r="AL17">
        <f t="shared" si="5"/>
        <v>21.864933696754761</v>
      </c>
      <c r="AM17">
        <f t="shared" si="16"/>
        <v>-8.1161233357087035</v>
      </c>
    </row>
    <row r="18" spans="1:39" x14ac:dyDescent="0.35">
      <c r="A18" s="2">
        <v>36982</v>
      </c>
      <c r="B18">
        <v>31.622160000000001</v>
      </c>
      <c r="C18">
        <v>0.10226076436619386</v>
      </c>
      <c r="D18">
        <f t="shared" si="0"/>
        <v>3.233706252510081</v>
      </c>
      <c r="E18">
        <f t="shared" si="6"/>
        <v>-3.0572585288150322</v>
      </c>
      <c r="F18">
        <f t="shared" si="7"/>
        <v>3.5766383470063778</v>
      </c>
      <c r="G18">
        <f t="shared" si="17"/>
        <v>3.2114746744229765</v>
      </c>
      <c r="I18">
        <v>107.0656</v>
      </c>
      <c r="J18">
        <v>8.22960293118601E-2</v>
      </c>
      <c r="K18">
        <f t="shared" si="1"/>
        <v>8.8110737558918881</v>
      </c>
      <c r="L18">
        <f t="shared" si="8"/>
        <v>6.2220903802901129</v>
      </c>
      <c r="M18">
        <f t="shared" si="9"/>
        <v>5.7027105620987673</v>
      </c>
      <c r="N18">
        <f t="shared" si="18"/>
        <v>5.4158015890484741</v>
      </c>
      <c r="P18">
        <v>100.8509</v>
      </c>
      <c r="Q18">
        <v>4.7178886729749951E-3</v>
      </c>
      <c r="R18">
        <f t="shared" si="2"/>
        <v>0.47580331876933391</v>
      </c>
      <c r="S18">
        <f t="shared" si="10"/>
        <v>-4.8186710407846167</v>
      </c>
      <c r="T18">
        <f t="shared" si="11"/>
        <v>5.3380508589759623</v>
      </c>
      <c r="U18">
        <f t="shared" si="19"/>
        <v>1.4707897897754743</v>
      </c>
      <c r="W18">
        <v>27.419899999999998</v>
      </c>
      <c r="X18">
        <v>0.10231955433752929</v>
      </c>
      <c r="Y18">
        <f t="shared" si="3"/>
        <v>2.8055919479796194</v>
      </c>
      <c r="Z18">
        <f t="shared" si="12"/>
        <v>-0.21409286382595427</v>
      </c>
      <c r="AA18">
        <f t="shared" si="13"/>
        <v>0.73347268201729987</v>
      </c>
      <c r="AB18">
        <f t="shared" si="20"/>
        <v>1.9181889549110935</v>
      </c>
      <c r="AE18">
        <v>46.84158</v>
      </c>
      <c r="AF18">
        <v>0.14201742286416688</v>
      </c>
      <c r="AG18">
        <f t="shared" si="4"/>
        <v>6.6523204744857019</v>
      </c>
      <c r="AH18">
        <f t="shared" si="14"/>
        <v>-3.9069414020333149</v>
      </c>
      <c r="AI18">
        <f t="shared" si="15"/>
        <v>4.4263212202246605</v>
      </c>
      <c r="AJ18">
        <f t="shared" si="21"/>
        <v>2.7856191212593435</v>
      </c>
      <c r="AL18">
        <f t="shared" si="5"/>
        <v>21.978495749636625</v>
      </c>
      <c r="AM18">
        <f t="shared" si="16"/>
        <v>0.5193798181913456</v>
      </c>
    </row>
    <row r="19" spans="1:39" x14ac:dyDescent="0.35">
      <c r="A19" s="2">
        <v>37012</v>
      </c>
      <c r="B19">
        <v>33.051650000000002</v>
      </c>
      <c r="C19">
        <v>0.10226076436619386</v>
      </c>
      <c r="D19">
        <f t="shared" si="0"/>
        <v>3.3798869925639115</v>
      </c>
      <c r="E19">
        <f t="shared" si="6"/>
        <v>4.5205324367468824</v>
      </c>
      <c r="F19">
        <f t="shared" si="7"/>
        <v>5.4804938260278222</v>
      </c>
      <c r="G19">
        <f t="shared" si="17"/>
        <v>1.9038554790214444</v>
      </c>
      <c r="I19">
        <v>124.48950000000001</v>
      </c>
      <c r="J19">
        <v>8.22960293118601E-2</v>
      </c>
      <c r="K19">
        <f t="shared" si="1"/>
        <v>10.244991541018809</v>
      </c>
      <c r="L19">
        <f t="shared" si="8"/>
        <v>16.274041335405578</v>
      </c>
      <c r="M19">
        <f t="shared" si="9"/>
        <v>6.2730150726308729</v>
      </c>
      <c r="N19">
        <f t="shared" si="18"/>
        <v>0.57030451053210562</v>
      </c>
      <c r="P19">
        <v>97.080939999999998</v>
      </c>
      <c r="Q19">
        <v>4.7178886729749951E-3</v>
      </c>
      <c r="R19">
        <f t="shared" si="2"/>
        <v>0.45801706718776514</v>
      </c>
      <c r="S19">
        <f t="shared" si="10"/>
        <v>-3.7381520640866861</v>
      </c>
      <c r="T19">
        <f t="shared" si="11"/>
        <v>13.73917832686139</v>
      </c>
      <c r="U19">
        <f t="shared" si="19"/>
        <v>8.4011274678854271</v>
      </c>
      <c r="W19">
        <v>28.828759999999999</v>
      </c>
      <c r="X19">
        <v>0.10231955433752929</v>
      </c>
      <c r="Y19">
        <f t="shared" si="3"/>
        <v>2.9497458753035906</v>
      </c>
      <c r="Z19">
        <f t="shared" si="12"/>
        <v>5.1380931367364546</v>
      </c>
      <c r="AA19">
        <f t="shared" si="13"/>
        <v>4.86293312603825</v>
      </c>
      <c r="AB19">
        <f t="shared" si="20"/>
        <v>4.1294604440209497</v>
      </c>
      <c r="AE19">
        <v>50.303190000000001</v>
      </c>
      <c r="AF19">
        <v>0.14201742286416688</v>
      </c>
      <c r="AG19">
        <f t="shared" si="4"/>
        <v>7.1439294056465306</v>
      </c>
      <c r="AH19">
        <f t="shared" si="14"/>
        <v>7.3900368006373895</v>
      </c>
      <c r="AI19">
        <f t="shared" si="15"/>
        <v>2.6109894621373151</v>
      </c>
      <c r="AJ19">
        <f t="shared" si="21"/>
        <v>1.8153317580873454</v>
      </c>
      <c r="AL19">
        <f t="shared" si="5"/>
        <v>24.176570881720608</v>
      </c>
      <c r="AM19">
        <f t="shared" si="16"/>
        <v>10.001026262774705</v>
      </c>
    </row>
    <row r="20" spans="1:39" x14ac:dyDescent="0.35">
      <c r="A20" s="2">
        <v>37043</v>
      </c>
      <c r="B20">
        <v>33.33484</v>
      </c>
      <c r="C20">
        <v>0.10226076436619386</v>
      </c>
      <c r="D20">
        <f t="shared" si="0"/>
        <v>3.4088462184247734</v>
      </c>
      <c r="E20">
        <f t="shared" si="6"/>
        <v>0.85681047693533241</v>
      </c>
      <c r="F20">
        <f t="shared" si="7"/>
        <v>8.9642938265108931</v>
      </c>
      <c r="G20">
        <f t="shared" si="17"/>
        <v>3.4838000004830709</v>
      </c>
      <c r="I20">
        <v>105.7227</v>
      </c>
      <c r="J20">
        <v>8.22960293118601E-2</v>
      </c>
      <c r="K20">
        <f t="shared" si="1"/>
        <v>8.7005584181289919</v>
      </c>
      <c r="L20">
        <f t="shared" si="8"/>
        <v>-15.075006325834705</v>
      </c>
      <c r="M20">
        <f t="shared" si="9"/>
        <v>6.9675229762591435</v>
      </c>
      <c r="N20">
        <f t="shared" si="18"/>
        <v>0.69450790362827064</v>
      </c>
      <c r="P20">
        <v>94.279210000000006</v>
      </c>
      <c r="Q20">
        <v>4.7178886729749951E-3</v>
      </c>
      <c r="R20">
        <f t="shared" si="2"/>
        <v>0.44479881695603091</v>
      </c>
      <c r="S20">
        <f t="shared" si="10"/>
        <v>-2.8859732919767733</v>
      </c>
      <c r="T20">
        <f t="shared" si="11"/>
        <v>5.2215100575987883</v>
      </c>
      <c r="U20">
        <f t="shared" si="19"/>
        <v>8.517668269262602</v>
      </c>
      <c r="W20">
        <v>28.142430000000001</v>
      </c>
      <c r="X20">
        <v>0.10231955433752929</v>
      </c>
      <c r="Y20">
        <f t="shared" si="3"/>
        <v>2.8795208955751144</v>
      </c>
      <c r="Z20">
        <f t="shared" si="12"/>
        <v>-2.3807128714519732</v>
      </c>
      <c r="AA20">
        <f t="shared" si="13"/>
        <v>5.7267704781235889</v>
      </c>
      <c r="AB20">
        <f t="shared" si="20"/>
        <v>0.86383735208533885</v>
      </c>
      <c r="AE20">
        <v>47.759880000000003</v>
      </c>
      <c r="AF20">
        <v>0.14201742286416688</v>
      </c>
      <c r="AG20">
        <f t="shared" si="4"/>
        <v>6.7827350739018666</v>
      </c>
      <c r="AH20">
        <f t="shared" si="14"/>
        <v>-5.0559616596879797</v>
      </c>
      <c r="AI20">
        <f t="shared" si="15"/>
        <v>3.0515216898875819</v>
      </c>
      <c r="AJ20">
        <f t="shared" si="21"/>
        <v>0.44053222775026679</v>
      </c>
      <c r="AL20">
        <f t="shared" si="5"/>
        <v>22.216459422986777</v>
      </c>
      <c r="AM20">
        <f t="shared" si="16"/>
        <v>-8.1074833495755616</v>
      </c>
    </row>
    <row r="21" spans="1:39" x14ac:dyDescent="0.35">
      <c r="A21" s="2">
        <v>37073</v>
      </c>
      <c r="B21">
        <v>32.922930000000001</v>
      </c>
      <c r="C21">
        <v>0.10226076436619386</v>
      </c>
      <c r="D21">
        <f t="shared" si="0"/>
        <v>3.3667239869746948</v>
      </c>
      <c r="E21">
        <f t="shared" si="6"/>
        <v>-1.2356741475285316</v>
      </c>
      <c r="F21">
        <f t="shared" si="7"/>
        <v>7.4047893023667211</v>
      </c>
      <c r="G21">
        <f t="shared" si="17"/>
        <v>1.5595045241441721</v>
      </c>
      <c r="I21">
        <v>88.921180000000007</v>
      </c>
      <c r="J21">
        <v>8.22960293118601E-2</v>
      </c>
      <c r="K21">
        <f t="shared" si="1"/>
        <v>7.3178600357251886</v>
      </c>
      <c r="L21">
        <f t="shared" si="8"/>
        <v>-15.892064807274121</v>
      </c>
      <c r="M21">
        <f t="shared" si="9"/>
        <v>7.2516013573788687</v>
      </c>
      <c r="N21">
        <f t="shared" si="18"/>
        <v>0.28407838111972517</v>
      </c>
      <c r="P21">
        <v>92.021820000000005</v>
      </c>
      <c r="Q21">
        <v>4.7178886729749951E-3</v>
      </c>
      <c r="R21">
        <f t="shared" si="2"/>
        <v>0.43414870224454388</v>
      </c>
      <c r="S21">
        <f t="shared" si="10"/>
        <v>-2.3943666901748539</v>
      </c>
      <c r="T21">
        <f t="shared" si="11"/>
        <v>6.2460967597203982</v>
      </c>
      <c r="U21">
        <f t="shared" si="19"/>
        <v>1.02458670212161</v>
      </c>
      <c r="W21">
        <v>26.727540000000001</v>
      </c>
      <c r="X21">
        <v>0.10231955433752929</v>
      </c>
      <c r="Y21">
        <f t="shared" si="3"/>
        <v>2.7347499813384877</v>
      </c>
      <c r="Z21">
        <f t="shared" si="12"/>
        <v>-5.0276042260742893</v>
      </c>
      <c r="AA21">
        <f t="shared" si="13"/>
        <v>3.6128592238209629</v>
      </c>
      <c r="AB21">
        <f t="shared" si="20"/>
        <v>2.1139112543026259</v>
      </c>
      <c r="AE21">
        <v>45.370289999999997</v>
      </c>
      <c r="AF21">
        <v>0.14201742286416688</v>
      </c>
      <c r="AG21">
        <f t="shared" si="4"/>
        <v>6.4433716603998814</v>
      </c>
      <c r="AH21">
        <f t="shared" si="14"/>
        <v>-5.0033417169390031</v>
      </c>
      <c r="AI21">
        <f t="shared" si="15"/>
        <v>3.6371217329562491</v>
      </c>
      <c r="AJ21">
        <f t="shared" si="21"/>
        <v>0.5856000430686672</v>
      </c>
      <c r="AL21">
        <f t="shared" si="5"/>
        <v>20.296854366682794</v>
      </c>
      <c r="AM21">
        <f t="shared" si="16"/>
        <v>-8.6404634498952522</v>
      </c>
    </row>
    <row r="22" spans="1:39" x14ac:dyDescent="0.35">
      <c r="A22" s="2">
        <v>37104</v>
      </c>
      <c r="B22">
        <v>32.095050000000001</v>
      </c>
      <c r="C22">
        <v>0.10226076436619386</v>
      </c>
      <c r="D22">
        <f t="shared" si="0"/>
        <v>3.2820643453712104</v>
      </c>
      <c r="E22">
        <f t="shared" si="6"/>
        <v>-2.5146000067430174</v>
      </c>
      <c r="F22">
        <f t="shared" si="7"/>
        <v>0.98373583765047901</v>
      </c>
      <c r="G22">
        <f t="shared" si="17"/>
        <v>6.4210534647162421</v>
      </c>
      <c r="I22">
        <v>83.469080000000005</v>
      </c>
      <c r="J22">
        <v>8.22960293118601E-2</v>
      </c>
      <c r="K22">
        <f t="shared" si="1"/>
        <v>6.8691738543139964</v>
      </c>
      <c r="L22">
        <f t="shared" si="8"/>
        <v>-6.1313851210701431</v>
      </c>
      <c r="M22">
        <f t="shared" si="9"/>
        <v>2.6330492766766467</v>
      </c>
      <c r="N22">
        <f t="shared" si="18"/>
        <v>4.618552080702222</v>
      </c>
      <c r="P22">
        <v>90.77749</v>
      </c>
      <c r="Q22">
        <v>4.7178886729749951E-3</v>
      </c>
      <c r="R22">
        <f t="shared" si="2"/>
        <v>0.42827809183210092</v>
      </c>
      <c r="S22">
        <f t="shared" si="10"/>
        <v>-1.352211899308231</v>
      </c>
      <c r="T22">
        <f t="shared" si="11"/>
        <v>2.1461239450852654</v>
      </c>
      <c r="U22">
        <f t="shared" si="19"/>
        <v>4.0999728146351329</v>
      </c>
      <c r="W22">
        <v>25.994450000000001</v>
      </c>
      <c r="X22">
        <v>0.10231955433752929</v>
      </c>
      <c r="Y22">
        <f t="shared" si="3"/>
        <v>2.6597405392491882</v>
      </c>
      <c r="Z22">
        <f t="shared" si="12"/>
        <v>-2.7428263132334707</v>
      </c>
      <c r="AA22">
        <f t="shared" si="13"/>
        <v>0.75550953116002573</v>
      </c>
      <c r="AB22">
        <f t="shared" si="20"/>
        <v>2.8573496926609372</v>
      </c>
      <c r="AE22">
        <v>44.695540000000001</v>
      </c>
      <c r="AF22">
        <v>0.14201742286416688</v>
      </c>
      <c r="AG22">
        <f t="shared" si="4"/>
        <v>6.3475454043222852</v>
      </c>
      <c r="AH22">
        <f t="shared" si="14"/>
        <v>-1.4872067161131097</v>
      </c>
      <c r="AI22">
        <f t="shared" si="15"/>
        <v>2.0111291282803867</v>
      </c>
      <c r="AJ22">
        <f t="shared" si="21"/>
        <v>1.6259926046758624</v>
      </c>
      <c r="AL22">
        <f t="shared" si="5"/>
        <v>19.586802235088783</v>
      </c>
      <c r="AM22">
        <f t="shared" si="16"/>
        <v>-3.4983358443934964</v>
      </c>
    </row>
    <row r="23" spans="1:39" x14ac:dyDescent="0.35">
      <c r="A23" s="2">
        <v>37135</v>
      </c>
      <c r="B23">
        <v>27.9055</v>
      </c>
      <c r="C23">
        <v>0.10226076436619386</v>
      </c>
      <c r="D23">
        <f t="shared" si="0"/>
        <v>2.8536377600208227</v>
      </c>
      <c r="E23">
        <f t="shared" si="6"/>
        <v>-13.053570566177653</v>
      </c>
      <c r="F23">
        <f t="shared" si="7"/>
        <v>0.5146013013413544</v>
      </c>
      <c r="G23">
        <f t="shared" si="17"/>
        <v>0.46913453630912461</v>
      </c>
      <c r="I23">
        <v>70.703569999999999</v>
      </c>
      <c r="J23">
        <v>8.22960293118601E-2</v>
      </c>
      <c r="K23">
        <f t="shared" si="1"/>
        <v>5.8186230691731522</v>
      </c>
      <c r="L23">
        <f t="shared" si="8"/>
        <v>-15.293699175790609</v>
      </c>
      <c r="M23">
        <f t="shared" si="9"/>
        <v>1.7255273082716016</v>
      </c>
      <c r="N23">
        <f t="shared" si="18"/>
        <v>0.90752196840504507</v>
      </c>
      <c r="P23">
        <v>91.535520000000005</v>
      </c>
      <c r="Q23">
        <v>4.7178886729749951E-3</v>
      </c>
      <c r="R23">
        <f t="shared" si="2"/>
        <v>0.43185439298287615</v>
      </c>
      <c r="S23">
        <f t="shared" si="10"/>
        <v>0.83504181488165408</v>
      </c>
      <c r="T23">
        <f t="shared" si="11"/>
        <v>14.403213682400661</v>
      </c>
      <c r="U23">
        <f t="shared" si="19"/>
        <v>12.257089737315397</v>
      </c>
      <c r="W23">
        <v>22.927849999999999</v>
      </c>
      <c r="X23">
        <v>0.10231955433752929</v>
      </c>
      <c r="Y23">
        <f t="shared" si="3"/>
        <v>2.345967393917721</v>
      </c>
      <c r="Z23">
        <f t="shared" si="12"/>
        <v>-11.797133618907118</v>
      </c>
      <c r="AA23">
        <f t="shared" si="13"/>
        <v>1.7710382486118892</v>
      </c>
      <c r="AB23">
        <f t="shared" si="20"/>
        <v>1.0155287174518635</v>
      </c>
      <c r="AE23">
        <v>38.580820000000003</v>
      </c>
      <c r="AF23">
        <v>0.14201742286416688</v>
      </c>
      <c r="AG23">
        <f t="shared" si="4"/>
        <v>5.4791486283863069</v>
      </c>
      <c r="AH23">
        <f t="shared" si="14"/>
        <v>-13.680828109471321</v>
      </c>
      <c r="AI23">
        <f t="shared" si="15"/>
        <v>0.11265624195231361</v>
      </c>
      <c r="AJ23">
        <f t="shared" si="21"/>
        <v>1.8984728863280731</v>
      </c>
      <c r="AL23">
        <f t="shared" si="5"/>
        <v>16.929231244480881</v>
      </c>
      <c r="AM23">
        <f t="shared" si="16"/>
        <v>-13.568171867519007</v>
      </c>
    </row>
    <row r="24" spans="1:39" x14ac:dyDescent="0.35">
      <c r="A24" s="2">
        <v>37165</v>
      </c>
      <c r="B24">
        <v>27.786259999999999</v>
      </c>
      <c r="C24">
        <v>0.10226076436619386</v>
      </c>
      <c r="D24">
        <f t="shared" si="0"/>
        <v>2.8414441864777977</v>
      </c>
      <c r="E24">
        <f t="shared" si="6"/>
        <v>-0.42729927792012345</v>
      </c>
      <c r="F24">
        <f t="shared" si="7"/>
        <v>6.4564184424229403</v>
      </c>
      <c r="G24">
        <f t="shared" si="17"/>
        <v>5.9418171410815859</v>
      </c>
      <c r="I24">
        <v>81.647469999999998</v>
      </c>
      <c r="J24">
        <v>8.22960293118601E-2</v>
      </c>
      <c r="K24">
        <f t="shared" si="1"/>
        <v>6.7192625843592184</v>
      </c>
      <c r="L24">
        <f t="shared" si="8"/>
        <v>15.478567772461837</v>
      </c>
      <c r="M24">
        <f t="shared" si="9"/>
        <v>9.4494486079590203</v>
      </c>
      <c r="N24">
        <f t="shared" si="18"/>
        <v>7.7239212996874187</v>
      </c>
      <c r="P24">
        <v>97.324529999999996</v>
      </c>
      <c r="Q24">
        <v>4.7178886729749951E-3</v>
      </c>
      <c r="R24">
        <f t="shared" si="2"/>
        <v>0.45916629768961509</v>
      </c>
      <c r="S24">
        <f t="shared" si="10"/>
        <v>6.3243318003765037</v>
      </c>
      <c r="T24">
        <f t="shared" si="11"/>
        <v>0.29521263587368729</v>
      </c>
      <c r="U24">
        <f t="shared" si="19"/>
        <v>14.108001046526974</v>
      </c>
      <c r="W24">
        <v>21.639669999999999</v>
      </c>
      <c r="X24">
        <v>0.10231955433752929</v>
      </c>
      <c r="Y24">
        <f t="shared" si="3"/>
        <v>2.2141613904112023</v>
      </c>
      <c r="Z24">
        <f t="shared" si="12"/>
        <v>-5.6184073081427144</v>
      </c>
      <c r="AA24">
        <f t="shared" si="13"/>
        <v>11.647526472645531</v>
      </c>
      <c r="AB24">
        <f t="shared" si="20"/>
        <v>9.8764882240336416</v>
      </c>
      <c r="AE24">
        <v>40.24774</v>
      </c>
      <c r="AF24">
        <v>0.14201742286416688</v>
      </c>
      <c r="AG24">
        <f t="shared" si="4"/>
        <v>5.7158803109070444</v>
      </c>
      <c r="AH24">
        <f t="shared" si="14"/>
        <v>4.3205924601913637</v>
      </c>
      <c r="AI24">
        <f t="shared" si="15"/>
        <v>1.7085267043114527</v>
      </c>
      <c r="AJ24">
        <f t="shared" si="21"/>
        <v>1.5958704623591391</v>
      </c>
      <c r="AL24">
        <f t="shared" si="5"/>
        <v>17.949914769844877</v>
      </c>
      <c r="AM24">
        <f t="shared" si="16"/>
        <v>6.0291191645028164</v>
      </c>
    </row>
    <row r="25" spans="1:39" x14ac:dyDescent="0.35">
      <c r="A25" s="2">
        <v>37196</v>
      </c>
      <c r="B25">
        <v>28.040990000000001</v>
      </c>
      <c r="C25">
        <v>0.10226076436619386</v>
      </c>
      <c r="D25">
        <f t="shared" si="0"/>
        <v>2.8674930709847986</v>
      </c>
      <c r="E25">
        <f t="shared" si="6"/>
        <v>0.9167480618118562</v>
      </c>
      <c r="F25">
        <f t="shared" si="7"/>
        <v>9.707566015710011</v>
      </c>
      <c r="G25">
        <f t="shared" si="17"/>
        <v>3.2511475732870707</v>
      </c>
      <c r="I25">
        <v>96.557259999999999</v>
      </c>
      <c r="J25">
        <v>8.22960293118601E-2</v>
      </c>
      <c r="K25">
        <f t="shared" si="1"/>
        <v>7.9462790992328971</v>
      </c>
      <c r="L25">
        <f t="shared" si="8"/>
        <v>18.261178209196196</v>
      </c>
      <c r="M25">
        <f t="shared" si="9"/>
        <v>7.6368641316743275</v>
      </c>
      <c r="N25">
        <f t="shared" si="18"/>
        <v>1.8125844762846928</v>
      </c>
      <c r="P25">
        <v>98.184579999999997</v>
      </c>
      <c r="Q25">
        <v>4.7178886729749951E-3</v>
      </c>
      <c r="R25">
        <f t="shared" si="2"/>
        <v>0.46322391784280725</v>
      </c>
      <c r="S25">
        <f t="shared" si="10"/>
        <v>0.88369293948813432</v>
      </c>
      <c r="T25">
        <f t="shared" si="11"/>
        <v>9.7406211380337346</v>
      </c>
      <c r="U25">
        <f t="shared" si="19"/>
        <v>9.4454085021600473</v>
      </c>
      <c r="W25">
        <v>22.826789999999999</v>
      </c>
      <c r="X25">
        <v>0.10231955433752929</v>
      </c>
      <c r="Y25">
        <f t="shared" si="3"/>
        <v>2.3356269797563702</v>
      </c>
      <c r="Z25">
        <f t="shared" si="12"/>
        <v>5.4858507546556856</v>
      </c>
      <c r="AA25">
        <f t="shared" si="13"/>
        <v>5.1384633228661825</v>
      </c>
      <c r="AB25">
        <f t="shared" si="20"/>
        <v>6.5090631497793483</v>
      </c>
      <c r="AE25">
        <v>43.968879999999999</v>
      </c>
      <c r="AF25">
        <v>0.14201742286416688</v>
      </c>
      <c r="AG25">
        <f t="shared" si="4"/>
        <v>6.2443470238238099</v>
      </c>
      <c r="AH25">
        <f t="shared" si="14"/>
        <v>9.2455874541029992</v>
      </c>
      <c r="AI25">
        <f t="shared" si="15"/>
        <v>1.3787266234188689</v>
      </c>
      <c r="AJ25">
        <f t="shared" si="21"/>
        <v>0.32980008089258384</v>
      </c>
      <c r="AL25">
        <f t="shared" si="5"/>
        <v>19.856970091640683</v>
      </c>
      <c r="AM25">
        <f t="shared" si="16"/>
        <v>10.624314077521868</v>
      </c>
    </row>
    <row r="26" spans="1:39" x14ac:dyDescent="0.35">
      <c r="A26" s="2">
        <v>37226</v>
      </c>
      <c r="B26">
        <v>27.956980000000001</v>
      </c>
      <c r="C26">
        <v>0.10226076436619386</v>
      </c>
      <c r="D26">
        <f t="shared" si="0"/>
        <v>2.8589021441703943</v>
      </c>
      <c r="E26">
        <f t="shared" si="6"/>
        <v>-0.29959712549377793</v>
      </c>
      <c r="F26">
        <f t="shared" si="7"/>
        <v>3.6522209567201425</v>
      </c>
      <c r="G26">
        <f t="shared" si="17"/>
        <v>6.0553450589898681</v>
      </c>
      <c r="I26">
        <v>100.54730000000001</v>
      </c>
      <c r="J26">
        <v>8.22960293118601E-2</v>
      </c>
      <c r="K26">
        <f t="shared" si="1"/>
        <v>8.2746435480283917</v>
      </c>
      <c r="L26">
        <f t="shared" si="8"/>
        <v>4.1323044999412861</v>
      </c>
      <c r="M26">
        <f t="shared" si="9"/>
        <v>0.77968066871492159</v>
      </c>
      <c r="N26">
        <f t="shared" si="18"/>
        <v>6.857183462959406</v>
      </c>
      <c r="P26">
        <v>100.89570000000001</v>
      </c>
      <c r="Q26">
        <v>4.7178886729749951E-3</v>
      </c>
      <c r="R26">
        <f t="shared" si="2"/>
        <v>0.47601468018188325</v>
      </c>
      <c r="S26">
        <f t="shared" si="10"/>
        <v>2.7612482530352533</v>
      </c>
      <c r="T26">
        <f t="shared" si="11"/>
        <v>0.5913755781911112</v>
      </c>
      <c r="U26">
        <f t="shared" si="19"/>
        <v>9.1492455598426226</v>
      </c>
      <c r="W26">
        <v>23.528199999999998</v>
      </c>
      <c r="X26">
        <v>0.10231955433752929</v>
      </c>
      <c r="Y26">
        <f t="shared" si="3"/>
        <v>2.4073949383642566</v>
      </c>
      <c r="Z26">
        <f t="shared" si="12"/>
        <v>3.0727491688494091</v>
      </c>
      <c r="AA26">
        <f t="shared" si="13"/>
        <v>0.27987466237695546</v>
      </c>
      <c r="AB26">
        <f t="shared" si="20"/>
        <v>4.858588660489227</v>
      </c>
      <c r="AE26">
        <v>45.809480000000001</v>
      </c>
      <c r="AF26">
        <v>0.14201742286416688</v>
      </c>
      <c r="AG26">
        <f t="shared" si="4"/>
        <v>6.5057442923475959</v>
      </c>
      <c r="AH26">
        <f t="shared" si="14"/>
        <v>4.1861425626488646</v>
      </c>
      <c r="AI26">
        <f t="shared" si="15"/>
        <v>0.8335187314225001</v>
      </c>
      <c r="AJ26">
        <f t="shared" si="21"/>
        <v>0.54520789199636877</v>
      </c>
      <c r="AL26">
        <f t="shared" si="5"/>
        <v>20.522699603092519</v>
      </c>
      <c r="AM26">
        <f t="shared" si="16"/>
        <v>3.3526238312263645</v>
      </c>
    </row>
    <row r="27" spans="1:39" x14ac:dyDescent="0.35">
      <c r="A27" s="2">
        <v>37257</v>
      </c>
      <c r="B27">
        <v>28.482710000000001</v>
      </c>
      <c r="C27">
        <v>0.2334684629838969</v>
      </c>
      <c r="D27">
        <f t="shared" si="0"/>
        <v>6.6498145253160699</v>
      </c>
      <c r="E27">
        <f t="shared" si="6"/>
        <v>1.8804963912411043</v>
      </c>
      <c r="F27">
        <f t="shared" si="7"/>
        <v>127.60366290730443</v>
      </c>
      <c r="G27">
        <f t="shared" si="17"/>
        <v>123.95144195058428</v>
      </c>
      <c r="I27">
        <v>99.271820000000005</v>
      </c>
      <c r="J27">
        <v>0.19020807322322542</v>
      </c>
      <c r="K27">
        <f t="shared" si="1"/>
        <v>18.882301607562855</v>
      </c>
      <c r="L27">
        <f t="shared" si="8"/>
        <v>-1.268537295382377</v>
      </c>
      <c r="M27">
        <f t="shared" si="9"/>
        <v>130.75269659392791</v>
      </c>
      <c r="N27">
        <f t="shared" si="18"/>
        <v>129.97301592521299</v>
      </c>
      <c r="P27">
        <v>107.682</v>
      </c>
      <c r="Q27">
        <v>1.0781258539897589E-2</v>
      </c>
      <c r="R27">
        <f t="shared" si="2"/>
        <v>1.1609474820932522</v>
      </c>
      <c r="S27">
        <f t="shared" si="10"/>
        <v>6.7260547278030547</v>
      </c>
      <c r="T27">
        <f t="shared" si="11"/>
        <v>122.75810457074247</v>
      </c>
      <c r="U27">
        <f t="shared" si="19"/>
        <v>122.16672899255137</v>
      </c>
      <c r="W27">
        <v>24.024470000000001</v>
      </c>
      <c r="X27">
        <v>0.23572141833366497</v>
      </c>
      <c r="Y27">
        <f t="shared" si="3"/>
        <v>5.6630821431145844</v>
      </c>
      <c r="Z27">
        <f t="shared" si="12"/>
        <v>2.1092561266905285</v>
      </c>
      <c r="AA27">
        <f t="shared" si="13"/>
        <v>127.37490317185501</v>
      </c>
      <c r="AB27">
        <f t="shared" si="20"/>
        <v>127.09502850947806</v>
      </c>
      <c r="AE27">
        <v>44.691540000000003</v>
      </c>
      <c r="AF27">
        <v>0.32982078691931516</v>
      </c>
      <c r="AG27">
        <f t="shared" si="4"/>
        <v>14.740198891436052</v>
      </c>
      <c r="AH27">
        <f t="shared" si="14"/>
        <v>-2.4404118972754074</v>
      </c>
      <c r="AI27">
        <f t="shared" si="15"/>
        <v>131.92457119582093</v>
      </c>
      <c r="AJ27">
        <f t="shared" si="21"/>
        <v>131.09105246439844</v>
      </c>
      <c r="AL27">
        <f t="shared" si="5"/>
        <v>47.096344649522813</v>
      </c>
      <c r="AM27">
        <f t="shared" si="16"/>
        <v>129.48415929854553</v>
      </c>
    </row>
    <row r="28" spans="1:39" x14ac:dyDescent="0.35">
      <c r="A28" s="2">
        <v>37288</v>
      </c>
      <c r="B28">
        <v>28.79842</v>
      </c>
      <c r="C28">
        <v>0.2334684629838969</v>
      </c>
      <c r="D28">
        <f t="shared" si="0"/>
        <v>6.7235228537647158</v>
      </c>
      <c r="E28">
        <f t="shared" si="6"/>
        <v>1.1084268315760593</v>
      </c>
      <c r="F28">
        <f t="shared" si="7"/>
        <v>3.2354830591279637</v>
      </c>
      <c r="G28">
        <f t="shared" si="17"/>
        <v>124.36817984817647</v>
      </c>
      <c r="I28">
        <v>96.607560000000007</v>
      </c>
      <c r="J28">
        <v>0.19020807322322542</v>
      </c>
      <c r="K28">
        <f t="shared" si="1"/>
        <v>18.375537846397144</v>
      </c>
      <c r="L28">
        <f t="shared" si="8"/>
        <v>-2.6838029160742627</v>
      </c>
      <c r="M28">
        <f t="shared" si="9"/>
        <v>0.5567466885223582</v>
      </c>
      <c r="N28">
        <f t="shared" si="18"/>
        <v>130.19594990540554</v>
      </c>
      <c r="P28">
        <v>112.9161</v>
      </c>
      <c r="Q28">
        <v>1.0781258539897589E-2</v>
      </c>
      <c r="R28">
        <f t="shared" si="2"/>
        <v>1.2173776674169301</v>
      </c>
      <c r="S28">
        <f t="shared" si="10"/>
        <v>4.8607009528054856</v>
      </c>
      <c r="T28">
        <f t="shared" si="11"/>
        <v>6.9877571803573897</v>
      </c>
      <c r="U28">
        <f t="shared" si="19"/>
        <v>115.77034739038508</v>
      </c>
      <c r="W28">
        <v>23.668479999999999</v>
      </c>
      <c r="X28">
        <v>0.23572141833366497</v>
      </c>
      <c r="Y28">
        <f t="shared" si="3"/>
        <v>5.5791676754019823</v>
      </c>
      <c r="Z28">
        <f t="shared" si="12"/>
        <v>-1.481780867590432</v>
      </c>
      <c r="AA28">
        <f t="shared" si="13"/>
        <v>0.64527535996147245</v>
      </c>
      <c r="AB28">
        <f t="shared" si="20"/>
        <v>126.72962781189354</v>
      </c>
      <c r="AE28">
        <v>43.05057</v>
      </c>
      <c r="AF28">
        <v>0.32982078691931516</v>
      </c>
      <c r="AG28">
        <f t="shared" si="4"/>
        <v>14.198972874725062</v>
      </c>
      <c r="AH28">
        <f t="shared" si="14"/>
        <v>-3.6717687508642682</v>
      </c>
      <c r="AI28">
        <f t="shared" si="15"/>
        <v>1.5447125233123637</v>
      </c>
      <c r="AJ28">
        <f t="shared" si="21"/>
        <v>130.37985867250856</v>
      </c>
      <c r="AL28">
        <f t="shared" si="5"/>
        <v>46.094578917705832</v>
      </c>
      <c r="AM28">
        <f t="shared" si="16"/>
        <v>-2.1270562275519045</v>
      </c>
    </row>
    <row r="29" spans="1:39" x14ac:dyDescent="0.35">
      <c r="A29" s="2">
        <v>37316</v>
      </c>
      <c r="B29">
        <v>29.74147</v>
      </c>
      <c r="C29">
        <v>0.2334684629838969</v>
      </c>
      <c r="D29">
        <f t="shared" si="0"/>
        <v>6.9436952877816802</v>
      </c>
      <c r="E29">
        <f t="shared" si="6"/>
        <v>3.2746588180879277</v>
      </c>
      <c r="F29">
        <f t="shared" si="7"/>
        <v>0.61198247280256357</v>
      </c>
      <c r="G29">
        <f t="shared" si="17"/>
        <v>2.6235005863254002</v>
      </c>
      <c r="I29">
        <v>98.737579999999994</v>
      </c>
      <c r="J29">
        <v>0.19020807322322542</v>
      </c>
      <c r="K29">
        <f t="shared" si="1"/>
        <v>18.780684846524075</v>
      </c>
      <c r="L29">
        <f t="shared" si="8"/>
        <v>2.204817097129852</v>
      </c>
      <c r="M29">
        <f t="shared" si="9"/>
        <v>1.6818241937606393</v>
      </c>
      <c r="N29">
        <f t="shared" si="18"/>
        <v>1.1250775052382811</v>
      </c>
      <c r="P29">
        <v>115.35639999999999</v>
      </c>
      <c r="Q29">
        <v>1.0781258539897589E-2</v>
      </c>
      <c r="R29">
        <f t="shared" si="2"/>
        <v>1.2436871726318421</v>
      </c>
      <c r="S29">
        <f t="shared" si="10"/>
        <v>2.1611621371974366</v>
      </c>
      <c r="T29">
        <f t="shared" si="11"/>
        <v>1.7254791536930547</v>
      </c>
      <c r="U29">
        <f t="shared" si="19"/>
        <v>5.262278026664335</v>
      </c>
      <c r="W29">
        <v>25.54344</v>
      </c>
      <c r="X29">
        <v>0.23572141833366497</v>
      </c>
      <c r="Y29">
        <f t="shared" si="3"/>
        <v>6.0211359059208709</v>
      </c>
      <c r="Z29">
        <f t="shared" si="12"/>
        <v>7.92175923422207</v>
      </c>
      <c r="AA29">
        <f t="shared" si="13"/>
        <v>4.0351179433315787</v>
      </c>
      <c r="AB29">
        <f t="shared" si="20"/>
        <v>3.3898425833701062</v>
      </c>
      <c r="AE29">
        <v>45.166670000000003</v>
      </c>
      <c r="AF29">
        <v>0.32982078691931516</v>
      </c>
      <c r="AG29">
        <f t="shared" si="4"/>
        <v>14.896906641925025</v>
      </c>
      <c r="AH29">
        <f t="shared" si="14"/>
        <v>4.9153820727577013</v>
      </c>
      <c r="AI29">
        <f t="shared" si="15"/>
        <v>1.0287407818672101</v>
      </c>
      <c r="AJ29">
        <f t="shared" si="21"/>
        <v>0.51597174144515368</v>
      </c>
      <c r="AL29">
        <f t="shared" si="5"/>
        <v>47.886109854783491</v>
      </c>
      <c r="AM29">
        <f t="shared" si="16"/>
        <v>3.8866412908904913</v>
      </c>
    </row>
    <row r="30" spans="1:39" x14ac:dyDescent="0.35">
      <c r="A30" s="2">
        <v>37347</v>
      </c>
      <c r="B30">
        <v>28.76183</v>
      </c>
      <c r="C30">
        <v>0.2334684629838969</v>
      </c>
      <c r="D30">
        <f t="shared" si="0"/>
        <v>6.7149802427041356</v>
      </c>
      <c r="E30">
        <f t="shared" si="6"/>
        <v>-3.2938519851237968</v>
      </c>
      <c r="F30">
        <f t="shared" si="7"/>
        <v>2.6293023262171866</v>
      </c>
      <c r="G30">
        <f t="shared" si="17"/>
        <v>2.0173198534146231</v>
      </c>
      <c r="I30">
        <v>88.375399999999999</v>
      </c>
      <c r="J30">
        <v>0.19020807322322542</v>
      </c>
      <c r="K30">
        <f t="shared" si="1"/>
        <v>16.809714554331837</v>
      </c>
      <c r="L30">
        <f t="shared" si="8"/>
        <v>-10.494666772266436</v>
      </c>
      <c r="M30">
        <f t="shared" si="9"/>
        <v>4.5715124609254527</v>
      </c>
      <c r="N30">
        <f t="shared" si="18"/>
        <v>2.8896882671648134</v>
      </c>
      <c r="P30">
        <v>117.4353</v>
      </c>
      <c r="Q30">
        <v>1.0781258539897589E-2</v>
      </c>
      <c r="R30">
        <f t="shared" si="2"/>
        <v>1.2661003310104353</v>
      </c>
      <c r="S30">
        <f t="shared" si="10"/>
        <v>1.8021540200630515</v>
      </c>
      <c r="T30">
        <f t="shared" si="11"/>
        <v>7.7253083314040349</v>
      </c>
      <c r="U30">
        <f t="shared" si="19"/>
        <v>5.9998291777109802</v>
      </c>
      <c r="W30">
        <v>25.825510000000001</v>
      </c>
      <c r="X30">
        <v>0.23572141833366497</v>
      </c>
      <c r="Y30">
        <f t="shared" si="3"/>
        <v>6.0876258463902486</v>
      </c>
      <c r="Z30">
        <f t="shared" si="12"/>
        <v>1.1042756966172185</v>
      </c>
      <c r="AA30">
        <f t="shared" si="13"/>
        <v>7.0274300079582019</v>
      </c>
      <c r="AB30">
        <f t="shared" si="20"/>
        <v>2.9923120646266232</v>
      </c>
      <c r="AE30">
        <v>42.966729999999998</v>
      </c>
      <c r="AF30">
        <v>0.32982078691931516</v>
      </c>
      <c r="AG30">
        <f t="shared" si="4"/>
        <v>14.171320699949746</v>
      </c>
      <c r="AH30">
        <f t="shared" si="14"/>
        <v>-4.8707155076962882</v>
      </c>
      <c r="AI30">
        <f t="shared" si="15"/>
        <v>1.0524388036446952</v>
      </c>
      <c r="AJ30">
        <f t="shared" si="21"/>
        <v>2.3698021777485145E-2</v>
      </c>
      <c r="AL30">
        <f t="shared" si="5"/>
        <v>45.049741674386404</v>
      </c>
      <c r="AM30">
        <f t="shared" si="16"/>
        <v>-5.9231543113409835</v>
      </c>
    </row>
    <row r="31" spans="1:39" x14ac:dyDescent="0.35">
      <c r="A31" s="2">
        <v>37377</v>
      </c>
      <c r="B31">
        <v>28.475930000000002</v>
      </c>
      <c r="C31">
        <v>0.2334684629838969</v>
      </c>
      <c r="D31">
        <f t="shared" si="0"/>
        <v>6.6482316091370395</v>
      </c>
      <c r="E31">
        <f t="shared" si="6"/>
        <v>-0.99402576261662379</v>
      </c>
      <c r="F31">
        <f t="shared" si="7"/>
        <v>5.5849812975810602</v>
      </c>
      <c r="G31">
        <f t="shared" si="17"/>
        <v>2.9556789713638736</v>
      </c>
      <c r="I31">
        <v>78.359440000000006</v>
      </c>
      <c r="J31">
        <v>0.19020807322322542</v>
      </c>
      <c r="K31">
        <f t="shared" si="1"/>
        <v>14.90459810125094</v>
      </c>
      <c r="L31">
        <f t="shared" si="8"/>
        <v>-11.333425364977124</v>
      </c>
      <c r="M31">
        <f t="shared" si="9"/>
        <v>4.7544183047794402</v>
      </c>
      <c r="N31">
        <f t="shared" si="18"/>
        <v>0.18290584385398745</v>
      </c>
      <c r="P31">
        <v>116.8944</v>
      </c>
      <c r="Q31">
        <v>1.0781258539897589E-2</v>
      </c>
      <c r="R31">
        <f t="shared" si="2"/>
        <v>1.2602687482662047</v>
      </c>
      <c r="S31">
        <f t="shared" si="10"/>
        <v>-0.46059404625354849</v>
      </c>
      <c r="T31">
        <f t="shared" si="11"/>
        <v>6.1184130139441351</v>
      </c>
      <c r="U31">
        <f t="shared" si="19"/>
        <v>1.6068953174598999</v>
      </c>
      <c r="W31">
        <v>25.66713</v>
      </c>
      <c r="X31">
        <v>0.23572141833366497</v>
      </c>
      <c r="Y31">
        <f t="shared" si="3"/>
        <v>6.0502922881545622</v>
      </c>
      <c r="Z31">
        <f t="shared" si="12"/>
        <v>-0.61326959273989567</v>
      </c>
      <c r="AA31">
        <f t="shared" si="13"/>
        <v>5.9657374674577888</v>
      </c>
      <c r="AB31">
        <f t="shared" si="20"/>
        <v>1.0616925405004132</v>
      </c>
      <c r="AE31">
        <v>40.090029999999999</v>
      </c>
      <c r="AF31">
        <v>0.32982078691931516</v>
      </c>
      <c r="AG31">
        <f t="shared" si="4"/>
        <v>13.222525242218952</v>
      </c>
      <c r="AH31">
        <f t="shared" si="14"/>
        <v>-6.6951802010532298</v>
      </c>
      <c r="AI31">
        <f t="shared" si="15"/>
        <v>0.11617314085554575</v>
      </c>
      <c r="AJ31">
        <f t="shared" si="21"/>
        <v>0.93626566278914947</v>
      </c>
      <c r="AL31">
        <f t="shared" si="5"/>
        <v>42.085915989027704</v>
      </c>
      <c r="AM31">
        <f t="shared" si="16"/>
        <v>-6.579007060197684</v>
      </c>
    </row>
    <row r="32" spans="1:39" x14ac:dyDescent="0.35">
      <c r="A32" s="2">
        <v>37408</v>
      </c>
      <c r="B32">
        <v>27.130459999999999</v>
      </c>
      <c r="C32">
        <v>0.2334684629838969</v>
      </c>
      <c r="D32">
        <f t="shared" si="0"/>
        <v>6.3341067962460951</v>
      </c>
      <c r="E32">
        <f t="shared" si="6"/>
        <v>-4.7249378685788379</v>
      </c>
      <c r="F32">
        <f t="shared" si="7"/>
        <v>4.7055213731094785</v>
      </c>
      <c r="G32">
        <f t="shared" si="17"/>
        <v>0.87945992447158172</v>
      </c>
      <c r="I32">
        <v>69.54119</v>
      </c>
      <c r="J32">
        <v>0.19020807322322542</v>
      </c>
      <c r="K32">
        <f t="shared" si="1"/>
        <v>13.227295759550231</v>
      </c>
      <c r="L32">
        <f t="shared" si="8"/>
        <v>-11.253589867411007</v>
      </c>
      <c r="M32">
        <f t="shared" si="9"/>
        <v>1.8231306257226905</v>
      </c>
      <c r="N32">
        <f t="shared" si="18"/>
        <v>2.9312876790567497</v>
      </c>
      <c r="P32">
        <v>116.52249999999999</v>
      </c>
      <c r="Q32">
        <v>1.0781258539897589E-2</v>
      </c>
      <c r="R32">
        <f t="shared" si="2"/>
        <v>1.2562591982152167</v>
      </c>
      <c r="S32">
        <f t="shared" si="10"/>
        <v>-0.31815039899260045</v>
      </c>
      <c r="T32">
        <f t="shared" si="11"/>
        <v>9.1123088426957164</v>
      </c>
      <c r="U32">
        <f t="shared" si="19"/>
        <v>2.9938958287515813</v>
      </c>
      <c r="W32">
        <v>23.283840000000001</v>
      </c>
      <c r="X32">
        <v>0.23572141833366497</v>
      </c>
      <c r="Y32">
        <f t="shared" si="3"/>
        <v>5.4884997890541225</v>
      </c>
      <c r="Z32">
        <f t="shared" si="12"/>
        <v>-9.2853778353871199</v>
      </c>
      <c r="AA32">
        <f t="shared" si="13"/>
        <v>0.14508140630119648</v>
      </c>
      <c r="AB32">
        <f t="shared" si="20"/>
        <v>5.8206560611565923</v>
      </c>
      <c r="AE32">
        <v>35.809930000000001</v>
      </c>
      <c r="AF32">
        <v>0.32982078691931516</v>
      </c>
      <c r="AG32">
        <f t="shared" si="4"/>
        <v>11.810859292125592</v>
      </c>
      <c r="AH32">
        <f t="shared" si="14"/>
        <v>-10.676220496717004</v>
      </c>
      <c r="AI32">
        <f t="shared" si="15"/>
        <v>1.2457612550286878</v>
      </c>
      <c r="AJ32">
        <f t="shared" si="21"/>
        <v>1.1295881141731421</v>
      </c>
      <c r="AL32">
        <f t="shared" si="5"/>
        <v>38.117020835191262</v>
      </c>
      <c r="AM32">
        <f t="shared" si="16"/>
        <v>-9.4304592416883164</v>
      </c>
    </row>
    <row r="33" spans="1:39" x14ac:dyDescent="0.35">
      <c r="A33" s="2">
        <v>37438</v>
      </c>
      <c r="B33">
        <v>25.565470000000001</v>
      </c>
      <c r="C33">
        <v>0.2334684629838969</v>
      </c>
      <c r="D33">
        <f t="shared" si="0"/>
        <v>5.968730986360927</v>
      </c>
      <c r="E33">
        <f t="shared" si="6"/>
        <v>-5.7683872665631135</v>
      </c>
      <c r="F33">
        <f t="shared" si="7"/>
        <v>0.63125968238777475</v>
      </c>
      <c r="G33">
        <f t="shared" si="17"/>
        <v>4.0742616907217037</v>
      </c>
      <c r="I33">
        <v>66.357290000000006</v>
      </c>
      <c r="J33">
        <v>0.19020807322322542</v>
      </c>
      <c r="K33">
        <f t="shared" si="1"/>
        <v>12.621692275214805</v>
      </c>
      <c r="L33">
        <f t="shared" si="8"/>
        <v>-4.5784376137365417</v>
      </c>
      <c r="M33">
        <f t="shared" si="9"/>
        <v>1.8212093352143466</v>
      </c>
      <c r="N33">
        <f t="shared" si="18"/>
        <v>1.9212905083438869E-3</v>
      </c>
      <c r="P33">
        <v>116.16719999999999</v>
      </c>
      <c r="Q33">
        <v>1.0781258539897589E-2</v>
      </c>
      <c r="R33">
        <f t="shared" si="2"/>
        <v>1.2524286170559911</v>
      </c>
      <c r="S33">
        <f t="shared" si="10"/>
        <v>-0.30491965071123284</v>
      </c>
      <c r="T33">
        <f t="shared" si="11"/>
        <v>6.0947272982396559</v>
      </c>
      <c r="U33">
        <f t="shared" si="19"/>
        <v>3.0175815444560605</v>
      </c>
      <c r="W33">
        <v>21.500889999999998</v>
      </c>
      <c r="X33">
        <v>0.23572141833366497</v>
      </c>
      <c r="Y33">
        <f t="shared" si="3"/>
        <v>5.0682202862361132</v>
      </c>
      <c r="Z33">
        <f t="shared" si="12"/>
        <v>-7.6574568456062364</v>
      </c>
      <c r="AA33">
        <f t="shared" si="13"/>
        <v>1.2578098966553481</v>
      </c>
      <c r="AB33">
        <f t="shared" si="20"/>
        <v>1.1127284903541517</v>
      </c>
      <c r="AE33">
        <v>32.643770000000004</v>
      </c>
      <c r="AF33">
        <v>0.32982078691931516</v>
      </c>
      <c r="AG33">
        <f t="shared" si="4"/>
        <v>10.766593909413134</v>
      </c>
      <c r="AH33">
        <f t="shared" si="14"/>
        <v>-8.8415699220858457</v>
      </c>
      <c r="AI33">
        <f t="shared" si="15"/>
        <v>2.4419229731349574</v>
      </c>
      <c r="AJ33">
        <f t="shared" si="21"/>
        <v>1.1961617181062696</v>
      </c>
      <c r="AL33">
        <f t="shared" si="5"/>
        <v>35.677666074280971</v>
      </c>
      <c r="AM33">
        <f t="shared" si="16"/>
        <v>-6.3996469489508883</v>
      </c>
    </row>
    <row r="34" spans="1:39" x14ac:dyDescent="0.35">
      <c r="A34" s="2">
        <v>37469</v>
      </c>
      <c r="B34">
        <v>24.375810000000001</v>
      </c>
      <c r="C34">
        <v>0.2334684629838969</v>
      </c>
      <c r="D34">
        <f t="shared" si="0"/>
        <v>5.6909828946875045</v>
      </c>
      <c r="E34">
        <f t="shared" si="6"/>
        <v>-4.6533859929037131</v>
      </c>
      <c r="F34">
        <f t="shared" si="7"/>
        <v>7.2717940648558965E-2</v>
      </c>
      <c r="G34">
        <f t="shared" si="17"/>
        <v>0.55854174173921578</v>
      </c>
      <c r="I34">
        <v>63.512549999999997</v>
      </c>
      <c r="J34">
        <v>0.19020807322322542</v>
      </c>
      <c r="K34">
        <f t="shared" si="1"/>
        <v>12.080599760993765</v>
      </c>
      <c r="L34">
        <f t="shared" si="8"/>
        <v>-4.2870044873743467</v>
      </c>
      <c r="M34">
        <f t="shared" si="9"/>
        <v>0.29366356488080747</v>
      </c>
      <c r="N34">
        <f t="shared" si="18"/>
        <v>1.5275457703335391</v>
      </c>
      <c r="P34">
        <v>116.8065</v>
      </c>
      <c r="Q34">
        <v>1.0781258539897589E-2</v>
      </c>
      <c r="R34">
        <f t="shared" si="2"/>
        <v>1.2593210756405477</v>
      </c>
      <c r="S34">
        <f t="shared" si="10"/>
        <v>0.55032745904179947</v>
      </c>
      <c r="T34">
        <f t="shared" si="11"/>
        <v>5.1309955112969536</v>
      </c>
      <c r="U34">
        <f t="shared" si="19"/>
        <v>0.96373178694270223</v>
      </c>
      <c r="W34">
        <v>20.74971</v>
      </c>
      <c r="X34">
        <v>0.23572141833366497</v>
      </c>
      <c r="Y34">
        <f t="shared" si="3"/>
        <v>4.8911510712122315</v>
      </c>
      <c r="Z34">
        <f t="shared" si="12"/>
        <v>-3.493715841530276</v>
      </c>
      <c r="AA34">
        <f t="shared" si="13"/>
        <v>1.0869522107248781</v>
      </c>
      <c r="AB34">
        <f t="shared" si="20"/>
        <v>0.17085768593047002</v>
      </c>
      <c r="AE34">
        <v>30.687380000000001</v>
      </c>
      <c r="AF34">
        <v>0.32982078691931516</v>
      </c>
      <c r="AG34">
        <f t="shared" si="4"/>
        <v>10.121335820092053</v>
      </c>
      <c r="AH34">
        <f t="shared" si="14"/>
        <v>-5.9931496882866249</v>
      </c>
      <c r="AI34">
        <f t="shared" si="15"/>
        <v>1.4124816360314707</v>
      </c>
      <c r="AJ34">
        <f t="shared" si="21"/>
        <v>1.0294413371034867</v>
      </c>
      <c r="AL34">
        <f t="shared" si="5"/>
        <v>34.043390622626106</v>
      </c>
      <c r="AM34">
        <f t="shared" si="16"/>
        <v>-4.5806680522551542</v>
      </c>
    </row>
    <row r="35" spans="1:39" x14ac:dyDescent="0.35">
      <c r="A35" s="2">
        <v>37500</v>
      </c>
      <c r="B35">
        <v>23.504570000000001</v>
      </c>
      <c r="C35">
        <v>0.2334684629838969</v>
      </c>
      <c r="D35">
        <f t="shared" si="0"/>
        <v>5.4875758309974136</v>
      </c>
      <c r="E35">
        <f t="shared" si="6"/>
        <v>-3.5741991753299729</v>
      </c>
      <c r="F35">
        <f t="shared" si="7"/>
        <v>0.32696518081068993</v>
      </c>
      <c r="G35">
        <f t="shared" si="17"/>
        <v>0.25424724016213096</v>
      </c>
      <c r="I35">
        <v>63.450940000000003</v>
      </c>
      <c r="J35">
        <v>0.19020807322322542</v>
      </c>
      <c r="K35">
        <f t="shared" si="1"/>
        <v>12.068881041602483</v>
      </c>
      <c r="L35">
        <f t="shared" si="8"/>
        <v>-9.7004450301541034E-2</v>
      </c>
      <c r="M35">
        <f t="shared" si="9"/>
        <v>3.8041599058391218</v>
      </c>
      <c r="N35">
        <f t="shared" si="18"/>
        <v>3.5104963409583143</v>
      </c>
      <c r="P35">
        <v>119.19759999999999</v>
      </c>
      <c r="Q35">
        <v>1.0781258539897589E-2</v>
      </c>
      <c r="R35">
        <f t="shared" si="2"/>
        <v>1.2851001429352968</v>
      </c>
      <c r="S35">
        <f t="shared" si="10"/>
        <v>2.047060737202111</v>
      </c>
      <c r="T35">
        <f t="shared" si="11"/>
        <v>5.9482250933427743</v>
      </c>
      <c r="U35">
        <f t="shared" si="19"/>
        <v>0.81722958204582064</v>
      </c>
      <c r="W35">
        <v>18.714860000000002</v>
      </c>
      <c r="X35">
        <v>0.23572141833366497</v>
      </c>
      <c r="Y35">
        <f t="shared" si="3"/>
        <v>4.411493343115974</v>
      </c>
      <c r="Z35">
        <f t="shared" si="12"/>
        <v>-9.8066430807948528</v>
      </c>
      <c r="AA35">
        <f t="shared" si="13"/>
        <v>5.9054787246541895</v>
      </c>
      <c r="AB35">
        <f t="shared" si="20"/>
        <v>4.8185265139293119</v>
      </c>
      <c r="AE35">
        <v>28.689070000000001</v>
      </c>
      <c r="AF35">
        <v>0.32982078691931516</v>
      </c>
      <c r="AG35">
        <f t="shared" si="4"/>
        <v>9.4622516433833166</v>
      </c>
      <c r="AH35">
        <f t="shared" si="14"/>
        <v>-6.5118299444266619</v>
      </c>
      <c r="AI35">
        <f t="shared" si="15"/>
        <v>2.610665588285999</v>
      </c>
      <c r="AJ35">
        <f t="shared" si="21"/>
        <v>1.1981839522545283</v>
      </c>
      <c r="AL35">
        <f t="shared" si="5"/>
        <v>32.715302002034484</v>
      </c>
      <c r="AM35">
        <f t="shared" si="16"/>
        <v>-3.9011643561406628</v>
      </c>
    </row>
    <row r="36" spans="1:39" x14ac:dyDescent="0.35">
      <c r="A36" s="2">
        <v>37530</v>
      </c>
      <c r="B36">
        <v>22.179410000000001</v>
      </c>
      <c r="C36">
        <v>0.2334684629838969</v>
      </c>
      <c r="D36">
        <f t="shared" si="0"/>
        <v>5.1781927625896724</v>
      </c>
      <c r="E36">
        <f t="shared" si="6"/>
        <v>-5.6378823352224661</v>
      </c>
      <c r="F36">
        <f t="shared" si="7"/>
        <v>4.5930997124424948</v>
      </c>
      <c r="G36">
        <f t="shared" si="17"/>
        <v>4.2661345316318044</v>
      </c>
      <c r="I36">
        <v>66.441990000000004</v>
      </c>
      <c r="J36">
        <v>0.19020807322322542</v>
      </c>
      <c r="K36">
        <f t="shared" si="1"/>
        <v>12.637802899016812</v>
      </c>
      <c r="L36">
        <f t="shared" si="8"/>
        <v>4.7139569563508399</v>
      </c>
      <c r="M36">
        <f t="shared" si="9"/>
        <v>5.7587395791308111</v>
      </c>
      <c r="N36">
        <f t="shared" si="18"/>
        <v>1.9545796732916894</v>
      </c>
      <c r="P36">
        <v>120.813</v>
      </c>
      <c r="Q36">
        <v>1.0781258539897589E-2</v>
      </c>
      <c r="R36">
        <f t="shared" si="2"/>
        <v>1.3025161879806475</v>
      </c>
      <c r="S36">
        <f t="shared" si="10"/>
        <v>1.3552286287643378</v>
      </c>
      <c r="T36">
        <f t="shared" si="11"/>
        <v>2.4000112515443095</v>
      </c>
      <c r="U36">
        <f t="shared" si="19"/>
        <v>3.5482138417984648</v>
      </c>
      <c r="W36">
        <v>18.064730000000001</v>
      </c>
      <c r="X36">
        <v>0.23572141833366497</v>
      </c>
      <c r="Y36">
        <f t="shared" si="3"/>
        <v>4.2582437774147079</v>
      </c>
      <c r="Z36">
        <f t="shared" si="12"/>
        <v>-3.4738704964931699</v>
      </c>
      <c r="AA36">
        <f t="shared" si="13"/>
        <v>2.4290878737131982</v>
      </c>
      <c r="AB36">
        <f t="shared" si="20"/>
        <v>3.4763908509409913</v>
      </c>
      <c r="AE36">
        <v>27.277670000000001</v>
      </c>
      <c r="AF36">
        <v>0.32982078691931516</v>
      </c>
      <c r="AG36">
        <f t="shared" si="4"/>
        <v>8.9967425847253963</v>
      </c>
      <c r="AH36">
        <f t="shared" si="14"/>
        <v>-4.9196436134039896</v>
      </c>
      <c r="AI36">
        <f t="shared" si="15"/>
        <v>3.8748609906240179</v>
      </c>
      <c r="AJ36">
        <f t="shared" si="21"/>
        <v>1.2641954023380189</v>
      </c>
      <c r="AL36">
        <f t="shared" si="5"/>
        <v>32.373498211727238</v>
      </c>
      <c r="AM36">
        <f t="shared" si="16"/>
        <v>-1.0447826227799717</v>
      </c>
    </row>
    <row r="37" spans="1:39" x14ac:dyDescent="0.35">
      <c r="A37" s="2">
        <v>37561</v>
      </c>
      <c r="B37">
        <v>22.622489999999999</v>
      </c>
      <c r="C37">
        <v>0.2334684629838969</v>
      </c>
      <c r="D37">
        <f t="shared" si="0"/>
        <v>5.2816379691685773</v>
      </c>
      <c r="E37">
        <f t="shared" si="6"/>
        <v>1.9977086856683757</v>
      </c>
      <c r="F37">
        <f t="shared" si="7"/>
        <v>7.1591036281054334</v>
      </c>
      <c r="G37">
        <f t="shared" si="17"/>
        <v>2.5660039156629386</v>
      </c>
      <c r="I37">
        <v>74.321460000000002</v>
      </c>
      <c r="J37">
        <v>0.19020807322322542</v>
      </c>
      <c r="K37">
        <f t="shared" si="1"/>
        <v>14.136541705737018</v>
      </c>
      <c r="L37">
        <f t="shared" si="8"/>
        <v>11.859172189153266</v>
      </c>
      <c r="M37">
        <f t="shared" si="9"/>
        <v>2.7023598753794573</v>
      </c>
      <c r="N37">
        <f t="shared" si="18"/>
        <v>3.0563797037513538</v>
      </c>
      <c r="P37">
        <v>121.8621</v>
      </c>
      <c r="Q37">
        <v>1.0781258539897589E-2</v>
      </c>
      <c r="R37">
        <f t="shared" si="2"/>
        <v>1.3138268063148539</v>
      </c>
      <c r="S37">
        <f t="shared" si="10"/>
        <v>0.86836681482953537</v>
      </c>
      <c r="T37">
        <f t="shared" si="11"/>
        <v>8.2884454989442737</v>
      </c>
      <c r="U37">
        <f t="shared" si="19"/>
        <v>5.8884342473999638</v>
      </c>
      <c r="W37">
        <v>18.278929999999999</v>
      </c>
      <c r="X37">
        <v>0.23572141833366497</v>
      </c>
      <c r="Y37">
        <f t="shared" si="3"/>
        <v>4.3087353052217781</v>
      </c>
      <c r="Z37">
        <f t="shared" si="12"/>
        <v>1.1857359617331475</v>
      </c>
      <c r="AA37">
        <f t="shared" si="13"/>
        <v>7.9710763520406616</v>
      </c>
      <c r="AB37">
        <f t="shared" si="20"/>
        <v>5.5419884783274629</v>
      </c>
      <c r="AE37">
        <v>31.220400000000001</v>
      </c>
      <c r="AF37">
        <v>0.32982078691931516</v>
      </c>
      <c r="AG37">
        <f t="shared" si="4"/>
        <v>10.297136895935788</v>
      </c>
      <c r="AH37">
        <f t="shared" si="14"/>
        <v>14.454057109716478</v>
      </c>
      <c r="AI37">
        <f t="shared" si="15"/>
        <v>5.2972447959426692</v>
      </c>
      <c r="AJ37">
        <f t="shared" si="21"/>
        <v>1.4223838053186513</v>
      </c>
      <c r="AL37">
        <f t="shared" si="5"/>
        <v>35.337878682378019</v>
      </c>
      <c r="AM37">
        <f t="shared" si="16"/>
        <v>9.1568123137738091</v>
      </c>
    </row>
    <row r="38" spans="1:39" x14ac:dyDescent="0.35">
      <c r="A38" s="2">
        <v>37591</v>
      </c>
      <c r="B38">
        <v>22.458539999999999</v>
      </c>
      <c r="C38">
        <v>0.2334684629838969</v>
      </c>
      <c r="D38">
        <f t="shared" si="0"/>
        <v>5.2433608146623678</v>
      </c>
      <c r="E38">
        <f t="shared" si="6"/>
        <v>-0.72472128399658775</v>
      </c>
      <c r="F38">
        <f t="shared" si="7"/>
        <v>0.85008312977763456</v>
      </c>
      <c r="G38">
        <f t="shared" si="17"/>
        <v>6.3090204983277989</v>
      </c>
      <c r="I38">
        <v>72.545320000000004</v>
      </c>
      <c r="J38">
        <v>0.19020807322322542</v>
      </c>
      <c r="K38">
        <f t="shared" si="1"/>
        <v>13.79870553856232</v>
      </c>
      <c r="L38">
        <f t="shared" si="8"/>
        <v>-2.3898077352086489</v>
      </c>
      <c r="M38">
        <f t="shared" si="9"/>
        <v>0.81500332143442655</v>
      </c>
      <c r="N38">
        <f t="shared" si="18"/>
        <v>1.8873565539450308</v>
      </c>
      <c r="P38">
        <v>123.9515</v>
      </c>
      <c r="Q38">
        <v>1.0781258539897589E-2</v>
      </c>
      <c r="R38">
        <f t="shared" si="2"/>
        <v>1.336353167908116</v>
      </c>
      <c r="S38">
        <f t="shared" si="10"/>
        <v>1.7145609668633544</v>
      </c>
      <c r="T38">
        <f t="shared" si="11"/>
        <v>3.2893653806375767</v>
      </c>
      <c r="U38">
        <f t="shared" si="19"/>
        <v>4.9990801183066971</v>
      </c>
      <c r="W38">
        <v>18.328700000000001</v>
      </c>
      <c r="X38">
        <v>0.23572141833366497</v>
      </c>
      <c r="Y38">
        <f t="shared" si="3"/>
        <v>4.3204671602122451</v>
      </c>
      <c r="Z38">
        <f t="shared" si="12"/>
        <v>0.2722807078970213</v>
      </c>
      <c r="AA38">
        <f t="shared" si="13"/>
        <v>1.8470851216712436</v>
      </c>
      <c r="AB38">
        <f t="shared" si="20"/>
        <v>6.1239912303694179</v>
      </c>
      <c r="AE38">
        <v>30.569600000000001</v>
      </c>
      <c r="AF38">
        <v>0.32982078691931516</v>
      </c>
      <c r="AG38">
        <f t="shared" si="4"/>
        <v>10.082489527808697</v>
      </c>
      <c r="AH38">
        <f t="shared" si="14"/>
        <v>-2.0845344710509806</v>
      </c>
      <c r="AI38">
        <f t="shared" si="15"/>
        <v>0.50973005727675824</v>
      </c>
      <c r="AJ38">
        <f t="shared" si="21"/>
        <v>4.7875147386659105</v>
      </c>
      <c r="AL38">
        <f t="shared" si="5"/>
        <v>34.781376209153748</v>
      </c>
      <c r="AM38">
        <f t="shared" si="16"/>
        <v>-1.5748044137742223</v>
      </c>
    </row>
    <row r="39" spans="1:39" x14ac:dyDescent="0.35">
      <c r="A39" s="2">
        <v>37622</v>
      </c>
      <c r="B39">
        <v>22.699719999999999</v>
      </c>
      <c r="C39">
        <v>0.23096121913066661</v>
      </c>
      <c r="D39">
        <f t="shared" si="0"/>
        <v>5.2427550051247751</v>
      </c>
      <c r="E39">
        <f t="shared" si="6"/>
        <v>1.0738899322930262</v>
      </c>
      <c r="F39">
        <f t="shared" si="7"/>
        <v>4.6797063022764096</v>
      </c>
      <c r="G39">
        <f t="shared" si="17"/>
        <v>3.829623172498775</v>
      </c>
      <c r="I39">
        <v>67.438860000000005</v>
      </c>
      <c r="J39">
        <v>0.19119008295184839</v>
      </c>
      <c r="K39">
        <f t="shared" si="1"/>
        <v>12.893641237578091</v>
      </c>
      <c r="L39">
        <f t="shared" si="8"/>
        <v>-7.0389930046486748</v>
      </c>
      <c r="M39">
        <f t="shared" si="9"/>
        <v>3.4331766346652914</v>
      </c>
      <c r="N39">
        <f t="shared" si="18"/>
        <v>2.6181733132308649</v>
      </c>
      <c r="P39">
        <v>125.107</v>
      </c>
      <c r="Q39">
        <v>1.0851677450762194E-2</v>
      </c>
      <c r="R39">
        <f t="shared" si="2"/>
        <v>1.3576208108325059</v>
      </c>
      <c r="S39">
        <f t="shared" si="10"/>
        <v>0.93221945680366236</v>
      </c>
      <c r="T39">
        <f t="shared" si="11"/>
        <v>4.5380358267870458</v>
      </c>
      <c r="U39">
        <f t="shared" si="19"/>
        <v>1.2486704461494691</v>
      </c>
      <c r="W39">
        <v>18.102440000000001</v>
      </c>
      <c r="X39">
        <v>0.23447880910079963</v>
      </c>
      <c r="Y39">
        <f t="shared" si="3"/>
        <v>4.2446385730186798</v>
      </c>
      <c r="Z39">
        <f t="shared" si="12"/>
        <v>-1.2344574356064508</v>
      </c>
      <c r="AA39">
        <f t="shared" si="13"/>
        <v>2.3713589343769326</v>
      </c>
      <c r="AB39">
        <f t="shared" si="20"/>
        <v>0.52427381270568896</v>
      </c>
      <c r="AE39">
        <v>29.43769</v>
      </c>
      <c r="AF39">
        <v>0.33251821136592319</v>
      </c>
      <c r="AG39">
        <f t="shared" si="4"/>
        <v>9.7885680255445227</v>
      </c>
      <c r="AH39">
        <f t="shared" si="14"/>
        <v>-3.7027308175442308</v>
      </c>
      <c r="AI39">
        <f t="shared" si="15"/>
        <v>9.6914447560847439E-2</v>
      </c>
      <c r="AJ39">
        <f t="shared" si="21"/>
        <v>0.4128156097159108</v>
      </c>
      <c r="AL39">
        <f t="shared" si="5"/>
        <v>33.527223652098577</v>
      </c>
      <c r="AM39">
        <f t="shared" si="16"/>
        <v>-3.6058163699833834</v>
      </c>
    </row>
    <row r="40" spans="1:39" x14ac:dyDescent="0.35">
      <c r="A40" s="2">
        <v>37653</v>
      </c>
      <c r="B40">
        <v>20.945039999999999</v>
      </c>
      <c r="C40">
        <v>0.23096121913066661</v>
      </c>
      <c r="D40">
        <f t="shared" si="0"/>
        <v>4.837491973140577</v>
      </c>
      <c r="E40">
        <f t="shared" si="6"/>
        <v>-7.7299631889732545</v>
      </c>
      <c r="F40">
        <f t="shared" si="7"/>
        <v>8.5464691608494903E-2</v>
      </c>
      <c r="G40">
        <f t="shared" si="17"/>
        <v>4.5942416106679147</v>
      </c>
      <c r="I40">
        <v>60.648260000000001</v>
      </c>
      <c r="J40">
        <v>0.19119008295184839</v>
      </c>
      <c r="K40">
        <f t="shared" si="1"/>
        <v>11.595345860285269</v>
      </c>
      <c r="L40">
        <f t="shared" si="8"/>
        <v>-10.069268667946051</v>
      </c>
      <c r="M40">
        <f t="shared" si="9"/>
        <v>2.253840787364302</v>
      </c>
      <c r="N40">
        <f t="shared" si="18"/>
        <v>1.1793358473009894</v>
      </c>
      <c r="P40">
        <v>126.39619999999999</v>
      </c>
      <c r="Q40">
        <v>1.0851677450762194E-2</v>
      </c>
      <c r="R40">
        <f t="shared" si="2"/>
        <v>1.3716107934020283</v>
      </c>
      <c r="S40">
        <f t="shared" si="10"/>
        <v>1.0304779109082673</v>
      </c>
      <c r="T40">
        <f t="shared" si="11"/>
        <v>8.8459057914900168</v>
      </c>
      <c r="U40">
        <f t="shared" si="19"/>
        <v>4.307869964702971</v>
      </c>
      <c r="W40">
        <v>16.627220000000001</v>
      </c>
      <c r="X40">
        <v>0.23447880910079963</v>
      </c>
      <c r="Y40">
        <f t="shared" si="3"/>
        <v>3.8987307442569978</v>
      </c>
      <c r="Z40">
        <f t="shared" si="12"/>
        <v>-8.1492881622587952</v>
      </c>
      <c r="AA40">
        <f t="shared" si="13"/>
        <v>0.33386028167704573</v>
      </c>
      <c r="AB40">
        <f t="shared" si="20"/>
        <v>2.0374986526998868</v>
      </c>
      <c r="AE40">
        <v>27.678930000000001</v>
      </c>
      <c r="AF40">
        <v>0.33251821136592319</v>
      </c>
      <c r="AG40">
        <f t="shared" si="4"/>
        <v>9.2037482961225923</v>
      </c>
      <c r="AH40">
        <f t="shared" si="14"/>
        <v>-5.9745177016267252</v>
      </c>
      <c r="AI40">
        <f t="shared" si="15"/>
        <v>1.8409101789550242</v>
      </c>
      <c r="AJ40">
        <f t="shared" si="21"/>
        <v>1.7439957313941767</v>
      </c>
      <c r="AL40">
        <f t="shared" si="5"/>
        <v>30.906927667207466</v>
      </c>
      <c r="AM40">
        <f t="shared" si="16"/>
        <v>-7.8154278805817494</v>
      </c>
    </row>
    <row r="41" spans="1:39" x14ac:dyDescent="0.35">
      <c r="A41" s="2">
        <v>37681</v>
      </c>
      <c r="B41">
        <v>20.951820000000001</v>
      </c>
      <c r="C41">
        <v>0.23096121913066661</v>
      </c>
      <c r="D41">
        <f t="shared" si="0"/>
        <v>4.8390578902062833</v>
      </c>
      <c r="E41">
        <f t="shared" si="6"/>
        <v>3.237043233148551E-2</v>
      </c>
      <c r="F41">
        <f t="shared" si="7"/>
        <v>0.54144389767670775</v>
      </c>
      <c r="G41">
        <f t="shared" si="17"/>
        <v>0.45597920606821285</v>
      </c>
      <c r="I41">
        <v>60.100119999999997</v>
      </c>
      <c r="J41">
        <v>0.19119008295184839</v>
      </c>
      <c r="K41">
        <f t="shared" si="1"/>
        <v>11.490546928216041</v>
      </c>
      <c r="L41">
        <f t="shared" si="8"/>
        <v>-0.90380169191993653</v>
      </c>
      <c r="M41">
        <f t="shared" si="9"/>
        <v>0.39472822657471429</v>
      </c>
      <c r="N41">
        <f t="shared" si="18"/>
        <v>1.8591125607895878</v>
      </c>
      <c r="P41">
        <v>128.71080000000001</v>
      </c>
      <c r="Q41">
        <v>1.0851677450762194E-2</v>
      </c>
      <c r="R41">
        <f t="shared" si="2"/>
        <v>1.3967280860295626</v>
      </c>
      <c r="S41">
        <f t="shared" si="10"/>
        <v>1.8312259387544882</v>
      </c>
      <c r="T41">
        <f t="shared" si="11"/>
        <v>2.3402994040997105</v>
      </c>
      <c r="U41">
        <f t="shared" si="19"/>
        <v>6.5056063873903067</v>
      </c>
      <c r="W41">
        <v>16.65738</v>
      </c>
      <c r="X41">
        <v>0.23447880910079963</v>
      </c>
      <c r="Y41">
        <f t="shared" si="3"/>
        <v>3.9058026251394775</v>
      </c>
      <c r="Z41">
        <f t="shared" si="12"/>
        <v>0.18138931222415611</v>
      </c>
      <c r="AA41">
        <f t="shared" si="13"/>
        <v>0.69046277756937835</v>
      </c>
      <c r="AB41">
        <f t="shared" si="20"/>
        <v>0.35660249589233262</v>
      </c>
      <c r="AE41">
        <v>27.419409999999999</v>
      </c>
      <c r="AF41">
        <v>0.33251821136592319</v>
      </c>
      <c r="AG41">
        <f t="shared" si="4"/>
        <v>9.1174531699089076</v>
      </c>
      <c r="AH41">
        <f t="shared" si="14"/>
        <v>-0.93760849859442219</v>
      </c>
      <c r="AI41">
        <f t="shared" si="15"/>
        <v>0.42853503324919995</v>
      </c>
      <c r="AJ41">
        <f t="shared" si="21"/>
        <v>1.4123751457058242</v>
      </c>
      <c r="AL41">
        <f t="shared" si="5"/>
        <v>30.749588699500272</v>
      </c>
      <c r="AM41">
        <f t="shared" si="16"/>
        <v>-0.50907346534522224</v>
      </c>
    </row>
    <row r="42" spans="1:39" x14ac:dyDescent="0.35">
      <c r="A42" s="2">
        <v>37712</v>
      </c>
      <c r="B42">
        <v>23.121120000000001</v>
      </c>
      <c r="C42">
        <v>0.23096121913066661</v>
      </c>
      <c r="D42">
        <f t="shared" si="0"/>
        <v>5.3400820628664389</v>
      </c>
      <c r="E42">
        <f t="shared" si="6"/>
        <v>10.353754470971976</v>
      </c>
      <c r="F42">
        <f t="shared" si="7"/>
        <v>4.5085092120209946</v>
      </c>
      <c r="G42">
        <f t="shared" si="17"/>
        <v>3.9670653143442869</v>
      </c>
      <c r="I42">
        <v>63.37979</v>
      </c>
      <c r="J42">
        <v>0.19119008295184839</v>
      </c>
      <c r="K42">
        <f t="shared" si="1"/>
        <v>12.11758730757073</v>
      </c>
      <c r="L42">
        <f t="shared" si="8"/>
        <v>5.4570107347539532</v>
      </c>
      <c r="M42">
        <f t="shared" si="9"/>
        <v>0.38823452419702864</v>
      </c>
      <c r="N42">
        <f t="shared" si="18"/>
        <v>6.4937023776856506E-3</v>
      </c>
      <c r="P42">
        <v>130.43170000000001</v>
      </c>
      <c r="Q42">
        <v>1.0851677450762194E-2</v>
      </c>
      <c r="R42">
        <f t="shared" si="2"/>
        <v>1.4154027377545793</v>
      </c>
      <c r="S42">
        <f t="shared" si="10"/>
        <v>1.3370284389499609</v>
      </c>
      <c r="T42">
        <f t="shared" si="11"/>
        <v>4.5082168200010209</v>
      </c>
      <c r="U42">
        <f t="shared" si="19"/>
        <v>2.1679174159013104</v>
      </c>
      <c r="W42">
        <v>17.72232</v>
      </c>
      <c r="X42">
        <v>0.23447880910079963</v>
      </c>
      <c r="Y42">
        <f t="shared" si="3"/>
        <v>4.1555084881032833</v>
      </c>
      <c r="Z42">
        <f t="shared" si="12"/>
        <v>6.3932022923172793</v>
      </c>
      <c r="AA42">
        <f t="shared" si="13"/>
        <v>0.54795703336629753</v>
      </c>
      <c r="AB42">
        <f t="shared" si="20"/>
        <v>0.14250574420308082</v>
      </c>
      <c r="AE42">
        <v>28.62519</v>
      </c>
      <c r="AF42">
        <v>0.33251821136592319</v>
      </c>
      <c r="AG42">
        <f t="shared" si="4"/>
        <v>9.5183969788097116</v>
      </c>
      <c r="AH42">
        <f t="shared" si="14"/>
        <v>4.3975417414160223</v>
      </c>
      <c r="AI42">
        <f t="shared" si="15"/>
        <v>1.4477035175349595</v>
      </c>
      <c r="AJ42">
        <f t="shared" si="21"/>
        <v>1.0191684842857596</v>
      </c>
      <c r="AL42">
        <f t="shared" si="5"/>
        <v>32.546977575104741</v>
      </c>
      <c r="AM42">
        <f t="shared" si="16"/>
        <v>5.8452452589509818</v>
      </c>
    </row>
    <row r="43" spans="1:39" x14ac:dyDescent="0.35">
      <c r="A43" s="2">
        <v>37742</v>
      </c>
      <c r="B43">
        <v>24.100760000000001</v>
      </c>
      <c r="C43">
        <v>0.23096121913066661</v>
      </c>
      <c r="D43">
        <f t="shared" si="0"/>
        <v>5.5663409115756046</v>
      </c>
      <c r="E43">
        <f t="shared" si="6"/>
        <v>4.2369919796272804</v>
      </c>
      <c r="F43">
        <f t="shared" si="7"/>
        <v>0.35658422364224229</v>
      </c>
      <c r="G43">
        <f t="shared" si="17"/>
        <v>4.1519249883787523</v>
      </c>
      <c r="I43">
        <v>65.105379999999997</v>
      </c>
      <c r="J43">
        <v>0.19119008295184839</v>
      </c>
      <c r="K43">
        <f t="shared" si="1"/>
        <v>12.44750300281161</v>
      </c>
      <c r="L43">
        <f t="shared" si="8"/>
        <v>2.7226186770262117</v>
      </c>
      <c r="M43">
        <f t="shared" si="9"/>
        <v>1.1577890789588263</v>
      </c>
      <c r="N43">
        <f t="shared" si="18"/>
        <v>0.76955455476179768</v>
      </c>
      <c r="P43">
        <v>131.0341</v>
      </c>
      <c r="Q43">
        <v>1.0851677450762194E-2</v>
      </c>
      <c r="R43">
        <f t="shared" si="2"/>
        <v>1.4219397882509184</v>
      </c>
      <c r="S43">
        <f t="shared" si="10"/>
        <v>0.46185091507662257</v>
      </c>
      <c r="T43">
        <f t="shared" si="11"/>
        <v>3.4185568409084155</v>
      </c>
      <c r="U43">
        <f t="shared" si="19"/>
        <v>1.0896599790926054</v>
      </c>
      <c r="W43">
        <v>19.233750000000001</v>
      </c>
      <c r="X43">
        <v>0.23447880910079963</v>
      </c>
      <c r="Y43">
        <f t="shared" si="3"/>
        <v>4.5099067945425046</v>
      </c>
      <c r="Z43">
        <f t="shared" si="12"/>
        <v>8.5283980878350096</v>
      </c>
      <c r="AA43">
        <f t="shared" si="13"/>
        <v>4.6479903318499716</v>
      </c>
      <c r="AB43">
        <f t="shared" si="20"/>
        <v>4.100033298483674</v>
      </c>
      <c r="AE43">
        <v>29.66527</v>
      </c>
      <c r="AF43">
        <v>0.33251821136592319</v>
      </c>
      <c r="AG43">
        <f t="shared" si="4"/>
        <v>9.8642425200871795</v>
      </c>
      <c r="AH43">
        <f t="shared" si="14"/>
        <v>3.6334431317311733</v>
      </c>
      <c r="AI43">
        <f t="shared" si="15"/>
        <v>0.24696462425386478</v>
      </c>
      <c r="AJ43">
        <f t="shared" si="21"/>
        <v>1.2007388932810947</v>
      </c>
      <c r="AL43">
        <f t="shared" si="5"/>
        <v>33.809933017267817</v>
      </c>
      <c r="AM43">
        <f t="shared" si="16"/>
        <v>3.8804077559850381</v>
      </c>
    </row>
    <row r="44" spans="1:39" x14ac:dyDescent="0.35">
      <c r="A44" s="2">
        <v>37773</v>
      </c>
      <c r="B44">
        <v>25.302610000000001</v>
      </c>
      <c r="C44">
        <v>0.23096121913066661</v>
      </c>
      <c r="D44">
        <f t="shared" si="0"/>
        <v>5.8439216527877971</v>
      </c>
      <c r="E44">
        <f t="shared" si="6"/>
        <v>4.9867722013745563</v>
      </c>
      <c r="F44">
        <f t="shared" si="7"/>
        <v>1.0123791819306005</v>
      </c>
      <c r="G44">
        <f t="shared" si="17"/>
        <v>0.65579495828835821</v>
      </c>
      <c r="I44">
        <v>66.377319999999997</v>
      </c>
      <c r="J44">
        <v>0.19119008295184839</v>
      </c>
      <c r="K44">
        <f t="shared" si="1"/>
        <v>12.690685316921385</v>
      </c>
      <c r="L44">
        <f t="shared" si="8"/>
        <v>1.953663429965391</v>
      </c>
      <c r="M44">
        <f t="shared" si="9"/>
        <v>2.0207295894785648</v>
      </c>
      <c r="N44">
        <f t="shared" si="18"/>
        <v>0.86294051051973852</v>
      </c>
      <c r="P44">
        <v>133.4991</v>
      </c>
      <c r="Q44">
        <v>1.0851677450762194E-2</v>
      </c>
      <c r="R44">
        <f t="shared" si="2"/>
        <v>1.4486891731670473</v>
      </c>
      <c r="S44">
        <f t="shared" si="10"/>
        <v>1.8811897055804661</v>
      </c>
      <c r="T44">
        <f t="shared" si="11"/>
        <v>2.0932033138634898</v>
      </c>
      <c r="U44">
        <f t="shared" si="19"/>
        <v>1.3253535270449257</v>
      </c>
      <c r="W44">
        <v>20.95636</v>
      </c>
      <c r="X44">
        <v>0.23447880910079963</v>
      </c>
      <c r="Y44">
        <f t="shared" si="3"/>
        <v>4.913822335887633</v>
      </c>
      <c r="Z44">
        <f t="shared" si="12"/>
        <v>8.9561837915123057</v>
      </c>
      <c r="AA44">
        <f t="shared" si="13"/>
        <v>4.9817907720683499</v>
      </c>
      <c r="AB44">
        <f t="shared" si="20"/>
        <v>0.33380044021837829</v>
      </c>
      <c r="AE44">
        <v>30.845089999999999</v>
      </c>
      <c r="AF44">
        <v>0.33251821136592319</v>
      </c>
      <c r="AG44">
        <f t="shared" si="4"/>
        <v>10.256554156220924</v>
      </c>
      <c r="AH44">
        <f t="shared" si="14"/>
        <v>3.9771085852243981</v>
      </c>
      <c r="AI44">
        <f t="shared" si="15"/>
        <v>2.7155657804422972E-3</v>
      </c>
      <c r="AJ44">
        <f t="shared" si="21"/>
        <v>0.24424905847342249</v>
      </c>
      <c r="AL44">
        <f t="shared" si="5"/>
        <v>35.153672634984787</v>
      </c>
      <c r="AM44">
        <f t="shared" si="16"/>
        <v>3.9743930194439558</v>
      </c>
    </row>
    <row r="45" spans="1:39" x14ac:dyDescent="0.35">
      <c r="A45" s="2">
        <v>37803</v>
      </c>
      <c r="B45">
        <v>25.431329999999999</v>
      </c>
      <c r="C45">
        <v>0.23096121913066661</v>
      </c>
      <c r="D45">
        <f t="shared" si="0"/>
        <v>5.8736509809142952</v>
      </c>
      <c r="E45">
        <f t="shared" si="6"/>
        <v>0.50872222272722034</v>
      </c>
      <c r="F45">
        <f t="shared" si="7"/>
        <v>1.3394136437785864</v>
      </c>
      <c r="G45">
        <f t="shared" si="17"/>
        <v>0.3270344618479859</v>
      </c>
      <c r="I45">
        <v>66.222399999999993</v>
      </c>
      <c r="J45">
        <v>0.19119008295184839</v>
      </c>
      <c r="K45">
        <f t="shared" si="1"/>
        <v>12.661066149270484</v>
      </c>
      <c r="L45">
        <f t="shared" si="8"/>
        <v>-0.23339297217784827</v>
      </c>
      <c r="M45">
        <f t="shared" si="9"/>
        <v>2.081528838683655</v>
      </c>
      <c r="N45">
        <f t="shared" si="18"/>
        <v>6.0799249205090167E-2</v>
      </c>
      <c r="P45">
        <v>135.49090000000001</v>
      </c>
      <c r="Q45">
        <v>1.0851677450762194E-2</v>
      </c>
      <c r="R45">
        <f t="shared" si="2"/>
        <v>1.4703035443134755</v>
      </c>
      <c r="S45">
        <f t="shared" si="10"/>
        <v>1.4919950771203894</v>
      </c>
      <c r="T45">
        <f t="shared" si="11"/>
        <v>0.35614078938541738</v>
      </c>
      <c r="U45">
        <f t="shared" si="19"/>
        <v>1.7370625244780724</v>
      </c>
      <c r="W45">
        <v>21.73771</v>
      </c>
      <c r="X45">
        <v>0.23447880910079963</v>
      </c>
      <c r="Y45">
        <f t="shared" si="3"/>
        <v>5.0970323533785429</v>
      </c>
      <c r="Z45">
        <f t="shared" si="12"/>
        <v>3.7284623856433052</v>
      </c>
      <c r="AA45">
        <f t="shared" si="13"/>
        <v>1.8803265191374985</v>
      </c>
      <c r="AB45">
        <f t="shared" si="20"/>
        <v>3.1014642529308514</v>
      </c>
      <c r="AE45">
        <v>32.18262</v>
      </c>
      <c r="AF45">
        <v>0.33251821136592319</v>
      </c>
      <c r="AG45">
        <f t="shared" si="4"/>
        <v>10.701307239469187</v>
      </c>
      <c r="AH45">
        <f t="shared" si="14"/>
        <v>4.3362817226339834</v>
      </c>
      <c r="AI45">
        <f t="shared" si="15"/>
        <v>2.4881458561281766</v>
      </c>
      <c r="AJ45">
        <f t="shared" si="21"/>
        <v>2.4854302903477343</v>
      </c>
      <c r="AL45">
        <f t="shared" si="5"/>
        <v>35.80336026734598</v>
      </c>
      <c r="AM45">
        <f t="shared" si="16"/>
        <v>1.8481358665058067</v>
      </c>
    </row>
    <row r="46" spans="1:39" x14ac:dyDescent="0.35">
      <c r="A46" s="2">
        <v>37834</v>
      </c>
      <c r="B46">
        <v>27.238849999999999</v>
      </c>
      <c r="C46">
        <v>0.23096121913066661</v>
      </c>
      <c r="D46">
        <f t="shared" si="0"/>
        <v>6.291118003717358</v>
      </c>
      <c r="E46">
        <f t="shared" si="6"/>
        <v>7.1074536801653654</v>
      </c>
      <c r="F46">
        <f t="shared" si="7"/>
        <v>3.3415214216868439</v>
      </c>
      <c r="G46">
        <f t="shared" si="17"/>
        <v>2.0021077779082574</v>
      </c>
      <c r="I46">
        <v>65.921180000000007</v>
      </c>
      <c r="J46">
        <v>0.19119008295184839</v>
      </c>
      <c r="K46">
        <f t="shared" si="1"/>
        <v>12.603475872483731</v>
      </c>
      <c r="L46">
        <f t="shared" si="8"/>
        <v>-0.45486119500348643</v>
      </c>
      <c r="M46">
        <f t="shared" si="9"/>
        <v>4.220793453482008</v>
      </c>
      <c r="N46">
        <f t="shared" si="18"/>
        <v>2.1392646147983529</v>
      </c>
      <c r="P46">
        <v>143.89689999999999</v>
      </c>
      <c r="Q46">
        <v>1.0851677450762194E-2</v>
      </c>
      <c r="R46">
        <f t="shared" si="2"/>
        <v>1.5615227449645821</v>
      </c>
      <c r="S46">
        <f t="shared" si="10"/>
        <v>6.2041066964644731</v>
      </c>
      <c r="T46">
        <f t="shared" si="11"/>
        <v>2.4381744379859516</v>
      </c>
      <c r="U46">
        <f t="shared" si="19"/>
        <v>2.0820336486005342</v>
      </c>
      <c r="W46">
        <v>23.19182</v>
      </c>
      <c r="X46">
        <v>0.23447880910079963</v>
      </c>
      <c r="Y46">
        <f t="shared" si="3"/>
        <v>5.4379903344801068</v>
      </c>
      <c r="Z46">
        <f t="shared" si="12"/>
        <v>6.6893430816769461</v>
      </c>
      <c r="AA46">
        <f t="shared" si="13"/>
        <v>2.9234108231984246</v>
      </c>
      <c r="AB46">
        <f t="shared" si="20"/>
        <v>1.0430843040609261</v>
      </c>
      <c r="AE46">
        <v>33.855539999999998</v>
      </c>
      <c r="AF46">
        <v>0.33251821136592319</v>
      </c>
      <c r="AG46">
        <f t="shared" si="4"/>
        <v>11.257583605627467</v>
      </c>
      <c r="AH46">
        <f t="shared" si="14"/>
        <v>5.1982094683403535</v>
      </c>
      <c r="AI46">
        <f t="shared" si="15"/>
        <v>1.4322772098618319</v>
      </c>
      <c r="AJ46">
        <f t="shared" si="21"/>
        <v>1.0558686462663447</v>
      </c>
      <c r="AL46">
        <f t="shared" si="5"/>
        <v>37.151690561273242</v>
      </c>
      <c r="AM46">
        <f t="shared" si="16"/>
        <v>3.7659322584785215</v>
      </c>
    </row>
    <row r="47" spans="1:39" x14ac:dyDescent="0.35">
      <c r="A47" s="2">
        <v>37865</v>
      </c>
      <c r="B47">
        <v>29.31466</v>
      </c>
      <c r="C47">
        <v>0.23096121913066661</v>
      </c>
      <c r="D47">
        <f t="shared" si="0"/>
        <v>6.7705496120009876</v>
      </c>
      <c r="E47">
        <f t="shared" si="6"/>
        <v>7.6207695993039337</v>
      </c>
      <c r="F47">
        <f t="shared" si="7"/>
        <v>2.9522930690534022</v>
      </c>
      <c r="G47">
        <f t="shared" si="17"/>
        <v>0.38922835263344169</v>
      </c>
      <c r="I47">
        <v>69.095179999999999</v>
      </c>
      <c r="J47">
        <v>0.19119008295184839</v>
      </c>
      <c r="K47">
        <f t="shared" si="1"/>
        <v>13.210313195772896</v>
      </c>
      <c r="L47">
        <f t="shared" si="8"/>
        <v>4.8148409964748673</v>
      </c>
      <c r="M47">
        <f t="shared" si="9"/>
        <v>0.14636446622433574</v>
      </c>
      <c r="N47">
        <f t="shared" si="18"/>
        <v>4.0744289872576722</v>
      </c>
      <c r="P47">
        <v>157.99350000000001</v>
      </c>
      <c r="Q47">
        <v>1.0851677450762194E-2</v>
      </c>
      <c r="R47">
        <f t="shared" si="2"/>
        <v>1.7144945013169968</v>
      </c>
      <c r="S47">
        <f t="shared" si="10"/>
        <v>9.7963194481604621</v>
      </c>
      <c r="T47">
        <f t="shared" si="11"/>
        <v>5.1278429179099305</v>
      </c>
      <c r="U47">
        <f t="shared" si="19"/>
        <v>2.6896684799239789</v>
      </c>
      <c r="W47">
        <v>23.511610000000001</v>
      </c>
      <c r="X47">
        <v>0.23447880910079963</v>
      </c>
      <c r="Y47">
        <f t="shared" si="3"/>
        <v>5.5129743128424522</v>
      </c>
      <c r="Z47">
        <f t="shared" si="12"/>
        <v>1.3788913504847899</v>
      </c>
      <c r="AA47">
        <f t="shared" si="13"/>
        <v>3.2895851797657416</v>
      </c>
      <c r="AB47">
        <f t="shared" si="20"/>
        <v>0.36617435656731701</v>
      </c>
      <c r="AE47">
        <v>35.119210000000002</v>
      </c>
      <c r="AF47">
        <v>0.33251821136592319</v>
      </c>
      <c r="AG47">
        <f t="shared" si="4"/>
        <v>11.677776893784245</v>
      </c>
      <c r="AH47">
        <f t="shared" si="14"/>
        <v>3.7325353546273421</v>
      </c>
      <c r="AI47">
        <f t="shared" si="15"/>
        <v>0.93594117562318946</v>
      </c>
      <c r="AJ47">
        <f t="shared" si="21"/>
        <v>0.49633603423864248</v>
      </c>
      <c r="AL47">
        <f t="shared" si="5"/>
        <v>38.886108515717581</v>
      </c>
      <c r="AM47">
        <f t="shared" si="16"/>
        <v>4.6684765302505316</v>
      </c>
    </row>
    <row r="48" spans="1:39" x14ac:dyDescent="0.35">
      <c r="A48" s="2">
        <v>37895</v>
      </c>
      <c r="B48">
        <v>29.90813</v>
      </c>
      <c r="C48">
        <v>0.23096121913066661</v>
      </c>
      <c r="D48">
        <f t="shared" si="0"/>
        <v>6.9076181667184642</v>
      </c>
      <c r="E48">
        <f t="shared" si="6"/>
        <v>2.0244819486223031</v>
      </c>
      <c r="F48">
        <f t="shared" si="7"/>
        <v>0.39022424048065218</v>
      </c>
      <c r="G48">
        <f t="shared" si="17"/>
        <v>2.56206882857275</v>
      </c>
      <c r="I48">
        <v>70.469840000000005</v>
      </c>
      <c r="J48">
        <v>0.19119008295184839</v>
      </c>
      <c r="K48">
        <f t="shared" si="1"/>
        <v>13.473134555203485</v>
      </c>
      <c r="L48">
        <f t="shared" si="8"/>
        <v>1.9895164901517104</v>
      </c>
      <c r="M48">
        <f t="shared" si="9"/>
        <v>0.35525878201005945</v>
      </c>
      <c r="N48">
        <f t="shared" si="18"/>
        <v>0.20889431578572371</v>
      </c>
      <c r="P48">
        <v>164.35769999999999</v>
      </c>
      <c r="Q48">
        <v>1.0851677450762194E-2</v>
      </c>
      <c r="R48">
        <f t="shared" si="2"/>
        <v>1.7835567469491374</v>
      </c>
      <c r="S48">
        <f t="shared" si="10"/>
        <v>4.0281403981809349</v>
      </c>
      <c r="T48">
        <f t="shared" si="11"/>
        <v>2.393882690039284</v>
      </c>
      <c r="U48">
        <f t="shared" si="19"/>
        <v>2.7339602278706465</v>
      </c>
      <c r="W48">
        <v>23.80575</v>
      </c>
      <c r="X48">
        <v>0.23447880910079963</v>
      </c>
      <c r="Y48">
        <f t="shared" si="3"/>
        <v>5.5819439097513603</v>
      </c>
      <c r="Z48">
        <f t="shared" si="12"/>
        <v>1.2510415067279457</v>
      </c>
      <c r="AA48">
        <f t="shared" si="13"/>
        <v>0.38321620141370527</v>
      </c>
      <c r="AB48">
        <f t="shared" si="20"/>
        <v>2.9063689783520363</v>
      </c>
      <c r="AE48">
        <v>35.412660000000002</v>
      </c>
      <c r="AF48">
        <v>0.33251821136592319</v>
      </c>
      <c r="AG48">
        <f t="shared" si="4"/>
        <v>11.775354362909574</v>
      </c>
      <c r="AH48">
        <f t="shared" si="14"/>
        <v>0.83558257717073481</v>
      </c>
      <c r="AI48">
        <f t="shared" si="15"/>
        <v>0.79867513097091614</v>
      </c>
      <c r="AJ48">
        <f t="shared" si="21"/>
        <v>0.13726604465227332</v>
      </c>
      <c r="AL48">
        <f t="shared" si="5"/>
        <v>39.521607741532023</v>
      </c>
      <c r="AM48">
        <f t="shared" si="16"/>
        <v>1.6342577081416509</v>
      </c>
    </row>
    <row r="49" spans="1:39" x14ac:dyDescent="0.35">
      <c r="A49" s="2">
        <v>37926</v>
      </c>
      <c r="B49">
        <v>29.798380000000002</v>
      </c>
      <c r="C49">
        <v>0.23096121913066661</v>
      </c>
      <c r="D49">
        <f t="shared" si="0"/>
        <v>6.882270172918874</v>
      </c>
      <c r="E49">
        <f t="shared" si="6"/>
        <v>-0.36695707822588242</v>
      </c>
      <c r="F49">
        <f t="shared" si="7"/>
        <v>4.0524334180050197</v>
      </c>
      <c r="G49">
        <f t="shared" si="17"/>
        <v>3.6622091775243675</v>
      </c>
      <c r="I49">
        <v>74.397090000000006</v>
      </c>
      <c r="J49">
        <v>0.19119008295184839</v>
      </c>
      <c r="K49">
        <f t="shared" si="1"/>
        <v>14.223985808476131</v>
      </c>
      <c r="L49">
        <f t="shared" si="8"/>
        <v>5.5729514924398815</v>
      </c>
      <c r="M49">
        <f t="shared" si="9"/>
        <v>1.8874751526607447</v>
      </c>
      <c r="N49">
        <f t="shared" si="18"/>
        <v>1.5322163706506853</v>
      </c>
      <c r="P49">
        <v>171.7938</v>
      </c>
      <c r="Q49">
        <v>1.0851677450762194E-2</v>
      </c>
      <c r="R49">
        <f t="shared" si="2"/>
        <v>1.8642509056407501</v>
      </c>
      <c r="S49">
        <f t="shared" si="10"/>
        <v>4.5243392916790803</v>
      </c>
      <c r="T49">
        <f t="shared" si="11"/>
        <v>0.83886295189994353</v>
      </c>
      <c r="U49">
        <f t="shared" si="19"/>
        <v>1.5550197381393405</v>
      </c>
      <c r="W49">
        <v>25.149740000000001</v>
      </c>
      <c r="X49">
        <v>0.23447880910079963</v>
      </c>
      <c r="Y49">
        <f t="shared" si="3"/>
        <v>5.8970810843947445</v>
      </c>
      <c r="Z49">
        <f t="shared" si="12"/>
        <v>5.6456528359745128</v>
      </c>
      <c r="AA49">
        <f t="shared" si="13"/>
        <v>1.960176496195376</v>
      </c>
      <c r="AB49">
        <f t="shared" si="20"/>
        <v>1.5769602947816708</v>
      </c>
      <c r="AE49">
        <v>36.4208</v>
      </c>
      <c r="AF49">
        <v>0.33251821136592319</v>
      </c>
      <c r="AG49">
        <f t="shared" si="4"/>
        <v>12.110579272516015</v>
      </c>
      <c r="AH49">
        <f t="shared" si="14"/>
        <v>2.8468350019456246</v>
      </c>
      <c r="AI49">
        <f t="shared" si="15"/>
        <v>0.83864133783351225</v>
      </c>
      <c r="AJ49">
        <f t="shared" si="21"/>
        <v>3.996620686259611E-2</v>
      </c>
      <c r="AL49">
        <f t="shared" si="5"/>
        <v>40.978167243946508</v>
      </c>
      <c r="AM49">
        <f t="shared" si="16"/>
        <v>3.6854763397791368</v>
      </c>
    </row>
    <row r="50" spans="1:39" x14ac:dyDescent="0.35">
      <c r="A50" s="2">
        <v>37956</v>
      </c>
      <c r="B50">
        <v>29.183229999999998</v>
      </c>
      <c r="C50">
        <v>0.23096121913066661</v>
      </c>
      <c r="D50">
        <f t="shared" si="0"/>
        <v>6.7401943789706431</v>
      </c>
      <c r="E50">
        <f t="shared" si="6"/>
        <v>-2.0643739693231744</v>
      </c>
      <c r="F50">
        <f t="shared" si="7"/>
        <v>2.0120679485290727</v>
      </c>
      <c r="G50">
        <f t="shared" si="17"/>
        <v>2.040365469475947</v>
      </c>
      <c r="I50">
        <v>72.603629999999995</v>
      </c>
      <c r="J50">
        <v>0.19119008295184839</v>
      </c>
      <c r="K50">
        <f t="shared" si="1"/>
        <v>13.881094042305307</v>
      </c>
      <c r="L50">
        <f t="shared" si="8"/>
        <v>-2.4106588039935595</v>
      </c>
      <c r="M50">
        <f t="shared" si="9"/>
        <v>2.3583527831994577</v>
      </c>
      <c r="N50">
        <f t="shared" si="18"/>
        <v>0.47087763053871301</v>
      </c>
      <c r="P50">
        <v>179.9255</v>
      </c>
      <c r="Q50">
        <v>1.0851677450762194E-2</v>
      </c>
      <c r="R50">
        <f t="shared" si="2"/>
        <v>1.952493491167113</v>
      </c>
      <c r="S50">
        <f t="shared" si="10"/>
        <v>4.7334071427490354</v>
      </c>
      <c r="T50">
        <f t="shared" si="11"/>
        <v>4.7857131635431376</v>
      </c>
      <c r="U50">
        <f t="shared" si="19"/>
        <v>3.9468502116431941</v>
      </c>
      <c r="W50">
        <v>26.062329999999999</v>
      </c>
      <c r="X50">
        <v>0.23447880910079963</v>
      </c>
      <c r="Y50">
        <f t="shared" si="3"/>
        <v>6.111064100792043</v>
      </c>
      <c r="Z50">
        <f t="shared" si="12"/>
        <v>3.6286259818192779</v>
      </c>
      <c r="AA50">
        <f t="shared" si="13"/>
        <v>3.6809320026133796</v>
      </c>
      <c r="AB50">
        <f t="shared" si="20"/>
        <v>1.7207555064180036</v>
      </c>
      <c r="AE50">
        <v>36.905909999999999</v>
      </c>
      <c r="AF50">
        <v>0.33251821136592319</v>
      </c>
      <c r="AG50">
        <f t="shared" si="4"/>
        <v>12.271887182031739</v>
      </c>
      <c r="AH50">
        <f t="shared" si="14"/>
        <v>1.3319586609849221</v>
      </c>
      <c r="AI50">
        <f t="shared" si="15"/>
        <v>1.3842646817790238</v>
      </c>
      <c r="AJ50">
        <f t="shared" si="21"/>
        <v>0.5456233439455116</v>
      </c>
      <c r="AL50">
        <f t="shared" si="5"/>
        <v>40.95673319526685</v>
      </c>
      <c r="AM50">
        <f t="shared" si="16"/>
        <v>-5.2306020794101737E-2</v>
      </c>
    </row>
    <row r="51" spans="1:39" x14ac:dyDescent="0.35">
      <c r="A51" s="2">
        <v>37987</v>
      </c>
      <c r="B51">
        <v>31.202120000000001</v>
      </c>
      <c r="C51">
        <v>0.22833824669550409</v>
      </c>
      <c r="D51">
        <f t="shared" si="0"/>
        <v>7.124637373982722</v>
      </c>
      <c r="E51">
        <f t="shared" si="6"/>
        <v>6.9179799494435867</v>
      </c>
      <c r="F51">
        <f t="shared" si="7"/>
        <v>0.12543008676288991</v>
      </c>
      <c r="G51">
        <f t="shared" si="17"/>
        <v>1.8866378617661828</v>
      </c>
      <c r="I51">
        <v>77.517009999999999</v>
      </c>
      <c r="J51">
        <v>0.19145611536327223</v>
      </c>
      <c r="K51">
        <f t="shared" si="1"/>
        <v>14.841105609175926</v>
      </c>
      <c r="L51">
        <f t="shared" si="8"/>
        <v>6.767402676698131</v>
      </c>
      <c r="M51">
        <f t="shared" si="9"/>
        <v>0.27600735950834565</v>
      </c>
      <c r="N51">
        <f t="shared" si="18"/>
        <v>2.0823454236911121</v>
      </c>
      <c r="P51">
        <v>193.9579</v>
      </c>
      <c r="Q51">
        <v>1.1264939755066693E-2</v>
      </c>
      <c r="R51">
        <f t="shared" si="2"/>
        <v>2.18492405851925</v>
      </c>
      <c r="S51">
        <f t="shared" si="10"/>
        <v>7.7990056995812074</v>
      </c>
      <c r="T51">
        <f t="shared" si="11"/>
        <v>0.75559566337473072</v>
      </c>
      <c r="U51">
        <f t="shared" si="19"/>
        <v>4.0301175001684069</v>
      </c>
      <c r="W51">
        <v>28.364170000000001</v>
      </c>
      <c r="X51">
        <v>0.23485587147733442</v>
      </c>
      <c r="Y51">
        <f t="shared" si="3"/>
        <v>6.661491864081265</v>
      </c>
      <c r="Z51">
        <f t="shared" si="12"/>
        <v>8.8320576095844103</v>
      </c>
      <c r="AA51">
        <f t="shared" si="13"/>
        <v>1.7886475733779337</v>
      </c>
      <c r="AB51">
        <f t="shared" si="20"/>
        <v>1.8922844292354459</v>
      </c>
      <c r="AE51">
        <v>39.000050000000002</v>
      </c>
      <c r="AF51">
        <v>0.33408482670882256</v>
      </c>
      <c r="AG51">
        <f t="shared" si="4"/>
        <v>13.029324945885415</v>
      </c>
      <c r="AH51">
        <f t="shared" si="14"/>
        <v>5.674267346341022</v>
      </c>
      <c r="AI51">
        <f t="shared" si="15"/>
        <v>1.3691426898654546</v>
      </c>
      <c r="AJ51">
        <f t="shared" si="21"/>
        <v>1.5121991913569222E-2</v>
      </c>
      <c r="AL51">
        <f t="shared" si="5"/>
        <v>43.841483851644583</v>
      </c>
      <c r="AM51">
        <f t="shared" si="16"/>
        <v>7.0434100362064767</v>
      </c>
    </row>
    <row r="52" spans="1:39" x14ac:dyDescent="0.35">
      <c r="A52" s="2">
        <v>38018</v>
      </c>
      <c r="B52">
        <v>32.698009999999996</v>
      </c>
      <c r="C52">
        <v>0.22833824669550409</v>
      </c>
      <c r="D52">
        <f t="shared" si="0"/>
        <v>7.4662062738320589</v>
      </c>
      <c r="E52">
        <f t="shared" si="6"/>
        <v>4.7941934714692325</v>
      </c>
      <c r="F52">
        <f t="shared" si="7"/>
        <v>0.15072683679071552</v>
      </c>
      <c r="G52">
        <f t="shared" si="17"/>
        <v>2.529675002782561E-2</v>
      </c>
      <c r="I52">
        <v>81.301119999999997</v>
      </c>
      <c r="J52">
        <v>0.19145611536327223</v>
      </c>
      <c r="K52">
        <f t="shared" si="1"/>
        <v>15.565596609883238</v>
      </c>
      <c r="L52">
        <f t="shared" si="8"/>
        <v>4.8816511369569104</v>
      </c>
      <c r="M52">
        <f t="shared" si="9"/>
        <v>6.3269171303037552E-2</v>
      </c>
      <c r="N52">
        <f t="shared" si="18"/>
        <v>0.2127381882053081</v>
      </c>
      <c r="P52">
        <v>208.28489999999999</v>
      </c>
      <c r="Q52">
        <v>1.1264939755066693E-2</v>
      </c>
      <c r="R52">
        <f t="shared" si="2"/>
        <v>2.3463168503900906</v>
      </c>
      <c r="S52">
        <f t="shared" si="10"/>
        <v>7.3866545265750982</v>
      </c>
      <c r="T52">
        <f t="shared" si="11"/>
        <v>2.4417342183151503</v>
      </c>
      <c r="U52">
        <f t="shared" si="19"/>
        <v>1.6861385549404195</v>
      </c>
      <c r="W52">
        <v>29.84693</v>
      </c>
      <c r="X52">
        <v>0.23485587147733442</v>
      </c>
      <c r="Y52">
        <f t="shared" si="3"/>
        <v>7.0097267560729968</v>
      </c>
      <c r="Z52">
        <f t="shared" si="12"/>
        <v>5.2275811349318468</v>
      </c>
      <c r="AA52">
        <f t="shared" si="13"/>
        <v>0.28266082667189885</v>
      </c>
      <c r="AB52">
        <f t="shared" si="20"/>
        <v>1.5059867467060348</v>
      </c>
      <c r="AE52">
        <v>40.772770000000001</v>
      </c>
      <c r="AF52">
        <v>0.33408482670882256</v>
      </c>
      <c r="AG52">
        <f t="shared" si="4"/>
        <v>13.62156379988868</v>
      </c>
      <c r="AH52">
        <f t="shared" si="14"/>
        <v>4.5454300699614425</v>
      </c>
      <c r="AI52">
        <f t="shared" si="15"/>
        <v>0.3994902382985055</v>
      </c>
      <c r="AJ52">
        <f t="shared" si="21"/>
        <v>0.96965245156694913</v>
      </c>
      <c r="AL52">
        <f t="shared" si="5"/>
        <v>46.009410290067059</v>
      </c>
      <c r="AM52">
        <f t="shared" si="16"/>
        <v>4.944920308259948</v>
      </c>
    </row>
    <row r="53" spans="1:39" x14ac:dyDescent="0.35">
      <c r="A53" s="2">
        <v>38047</v>
      </c>
      <c r="B53">
        <v>32.657359999999997</v>
      </c>
      <c r="C53">
        <v>0.22833824669550409</v>
      </c>
      <c r="D53">
        <f t="shared" si="0"/>
        <v>7.4569243241038867</v>
      </c>
      <c r="E53">
        <f t="shared" si="6"/>
        <v>-0.12431949222597716</v>
      </c>
      <c r="F53">
        <f t="shared" si="7"/>
        <v>0.96448836185745179</v>
      </c>
      <c r="G53">
        <f t="shared" si="17"/>
        <v>0.81376152506673627</v>
      </c>
      <c r="I53">
        <v>81.431659999999994</v>
      </c>
      <c r="J53">
        <v>0.19145611536327223</v>
      </c>
      <c r="K53">
        <f t="shared" si="1"/>
        <v>15.590589291182759</v>
      </c>
      <c r="L53">
        <f t="shared" si="8"/>
        <v>0.16056359371185991</v>
      </c>
      <c r="M53">
        <f t="shared" si="9"/>
        <v>0.67960527591961473</v>
      </c>
      <c r="N53">
        <f t="shared" si="18"/>
        <v>0.61633610461657717</v>
      </c>
      <c r="P53">
        <v>216.7921</v>
      </c>
      <c r="Q53">
        <v>1.1264939755066693E-2</v>
      </c>
      <c r="R53">
        <f t="shared" si="2"/>
        <v>2.442149945874394</v>
      </c>
      <c r="S53">
        <f t="shared" si="10"/>
        <v>4.0844055426005443</v>
      </c>
      <c r="T53">
        <f t="shared" si="11"/>
        <v>3.2442366729690697</v>
      </c>
      <c r="U53">
        <f t="shared" si="19"/>
        <v>0.80250245465391945</v>
      </c>
      <c r="W53">
        <v>31.049140000000001</v>
      </c>
      <c r="X53">
        <v>0.23485587147733442</v>
      </c>
      <c r="Y53">
        <f t="shared" si="3"/>
        <v>7.2920728333217637</v>
      </c>
      <c r="Z53">
        <f t="shared" si="12"/>
        <v>4.0279184492341358</v>
      </c>
      <c r="AA53">
        <f t="shared" si="13"/>
        <v>3.1877495796026611</v>
      </c>
      <c r="AB53">
        <f t="shared" si="20"/>
        <v>2.9050887529307623</v>
      </c>
      <c r="AE53">
        <v>40.750819999999997</v>
      </c>
      <c r="AF53">
        <v>0.33408482670882256</v>
      </c>
      <c r="AG53">
        <f t="shared" si="4"/>
        <v>13.61423063794242</v>
      </c>
      <c r="AH53">
        <f t="shared" si="14"/>
        <v>-5.3834949158482193E-2</v>
      </c>
      <c r="AI53">
        <f t="shared" si="15"/>
        <v>0.89400381878995683</v>
      </c>
      <c r="AJ53">
        <f t="shared" si="21"/>
        <v>0.49451358049145133</v>
      </c>
      <c r="AL53">
        <f t="shared" si="5"/>
        <v>46.395967032425226</v>
      </c>
      <c r="AM53">
        <f t="shared" si="16"/>
        <v>0.84016886963147464</v>
      </c>
    </row>
    <row r="54" spans="1:39" x14ac:dyDescent="0.35">
      <c r="A54" s="2">
        <v>38078</v>
      </c>
      <c r="B54">
        <v>31.94736</v>
      </c>
      <c r="C54">
        <v>0.22833824669550409</v>
      </c>
      <c r="D54">
        <f t="shared" si="0"/>
        <v>7.2948041689500798</v>
      </c>
      <c r="E54">
        <f t="shared" si="6"/>
        <v>-2.1740887812119469</v>
      </c>
      <c r="F54">
        <f t="shared" si="7"/>
        <v>0.56633471193352491</v>
      </c>
      <c r="G54">
        <f t="shared" si="17"/>
        <v>0.39815364992392688</v>
      </c>
      <c r="I54">
        <v>72.84572</v>
      </c>
      <c r="J54">
        <v>0.19145611536327223</v>
      </c>
      <c r="K54">
        <f t="shared" si="1"/>
        <v>13.946758572040627</v>
      </c>
      <c r="L54">
        <f t="shared" si="8"/>
        <v>-10.543736920013657</v>
      </c>
      <c r="M54">
        <f t="shared" si="9"/>
        <v>7.8033134268681854</v>
      </c>
      <c r="N54">
        <f t="shared" si="18"/>
        <v>7.1237081509485707</v>
      </c>
      <c r="P54">
        <v>226.0652</v>
      </c>
      <c r="Q54">
        <v>1.1264939755066693E-2</v>
      </c>
      <c r="R54">
        <f t="shared" si="2"/>
        <v>2.546610858717103</v>
      </c>
      <c r="S54">
        <f t="shared" si="10"/>
        <v>4.2774160128528749</v>
      </c>
      <c r="T54">
        <f t="shared" si="11"/>
        <v>7.0178395059983467</v>
      </c>
      <c r="U54">
        <f t="shared" si="19"/>
        <v>3.773602833029277</v>
      </c>
      <c r="W54">
        <v>31.184889999999999</v>
      </c>
      <c r="X54">
        <v>0.23485587147733442</v>
      </c>
      <c r="Y54">
        <f t="shared" si="3"/>
        <v>7.3239545178748111</v>
      </c>
      <c r="Z54">
        <f t="shared" si="12"/>
        <v>0.43721017715787625</v>
      </c>
      <c r="AA54">
        <f t="shared" si="13"/>
        <v>3.1776336703033481</v>
      </c>
      <c r="AB54">
        <f t="shared" si="20"/>
        <v>1.0115909299313053E-2</v>
      </c>
      <c r="AE54">
        <v>41.942619999999998</v>
      </c>
      <c r="AF54">
        <v>0.33408482670882256</v>
      </c>
      <c r="AG54">
        <f t="shared" si="4"/>
        <v>14.012392934413995</v>
      </c>
      <c r="AH54">
        <f t="shared" si="14"/>
        <v>2.9246037257655288</v>
      </c>
      <c r="AI54">
        <f t="shared" si="15"/>
        <v>5.6650272189110007</v>
      </c>
      <c r="AJ54">
        <f t="shared" si="21"/>
        <v>4.7710234001210434</v>
      </c>
      <c r="AL54">
        <f t="shared" si="5"/>
        <v>45.124521051996616</v>
      </c>
      <c r="AM54">
        <f t="shared" si="16"/>
        <v>-2.7404234931454718</v>
      </c>
    </row>
    <row r="55" spans="1:39" x14ac:dyDescent="0.35">
      <c r="A55" s="2">
        <v>38108</v>
      </c>
      <c r="B55">
        <v>30.950099999999999</v>
      </c>
      <c r="C55">
        <v>0.22833824669550409</v>
      </c>
      <c r="D55">
        <f t="shared" si="0"/>
        <v>7.0670915690505209</v>
      </c>
      <c r="E55">
        <f t="shared" si="6"/>
        <v>-3.1215724867406869</v>
      </c>
      <c r="F55">
        <f t="shared" si="7"/>
        <v>2.7569605494780824</v>
      </c>
      <c r="G55">
        <f t="shared" si="17"/>
        <v>2.1906258375445575</v>
      </c>
      <c r="I55">
        <v>65.835660000000004</v>
      </c>
      <c r="J55">
        <v>0.19145611536327223</v>
      </c>
      <c r="K55">
        <f t="shared" si="1"/>
        <v>12.604639715977168</v>
      </c>
      <c r="L55">
        <f t="shared" si="8"/>
        <v>-9.6231597408879992</v>
      </c>
      <c r="M55">
        <f t="shared" si="9"/>
        <v>3.7446267046692299</v>
      </c>
      <c r="N55">
        <f t="shared" si="18"/>
        <v>4.0586867221989555</v>
      </c>
      <c r="P55">
        <v>227.21279999999999</v>
      </c>
      <c r="Q55">
        <v>1.1264939755066693E-2</v>
      </c>
      <c r="R55">
        <f t="shared" si="2"/>
        <v>2.5595385035800176</v>
      </c>
      <c r="S55">
        <f t="shared" si="10"/>
        <v>0.50764115839145862</v>
      </c>
      <c r="T55">
        <f t="shared" si="11"/>
        <v>6.3861741946102279</v>
      </c>
      <c r="U55">
        <f t="shared" si="19"/>
        <v>0.63166531138811877</v>
      </c>
      <c r="W55">
        <v>29.80771</v>
      </c>
      <c r="X55">
        <v>0.23485587147733442</v>
      </c>
      <c r="Y55">
        <f t="shared" si="3"/>
        <v>7.0005157087936558</v>
      </c>
      <c r="Z55">
        <f t="shared" si="12"/>
        <v>-4.4161771935062095</v>
      </c>
      <c r="AA55">
        <f t="shared" si="13"/>
        <v>1.4623558427125598</v>
      </c>
      <c r="AB55">
        <f t="shared" si="20"/>
        <v>1.7152778275907883</v>
      </c>
      <c r="AE55">
        <v>39.630879999999998</v>
      </c>
      <c r="AF55">
        <v>0.33408482670882256</v>
      </c>
      <c r="AG55">
        <f t="shared" si="4"/>
        <v>13.24007567711814</v>
      </c>
      <c r="AH55">
        <f t="shared" si="14"/>
        <v>-5.5116728521012792</v>
      </c>
      <c r="AI55">
        <f t="shared" si="15"/>
        <v>0.36686018411749011</v>
      </c>
      <c r="AJ55">
        <f t="shared" si="21"/>
        <v>5.2981670347935106</v>
      </c>
      <c r="AL55">
        <f t="shared" si="5"/>
        <v>42.471861174519503</v>
      </c>
      <c r="AM55">
        <f t="shared" si="16"/>
        <v>-5.8785330362187693</v>
      </c>
    </row>
    <row r="56" spans="1:39" x14ac:dyDescent="0.35">
      <c r="A56" s="2">
        <v>38139</v>
      </c>
      <c r="B56">
        <v>31.864699999999999</v>
      </c>
      <c r="C56">
        <v>0.22833824669550409</v>
      </c>
      <c r="D56">
        <f t="shared" si="0"/>
        <v>7.2759297294782295</v>
      </c>
      <c r="E56">
        <f t="shared" si="6"/>
        <v>2.955079305074948</v>
      </c>
      <c r="F56">
        <f t="shared" si="7"/>
        <v>3.9757178456500952E-2</v>
      </c>
      <c r="G56">
        <f t="shared" si="17"/>
        <v>2.7172033710215815</v>
      </c>
      <c r="I56">
        <v>67.528270000000006</v>
      </c>
      <c r="J56">
        <v>0.19145611536327223</v>
      </c>
      <c r="K56">
        <f t="shared" si="1"/>
        <v>12.928700251402196</v>
      </c>
      <c r="L56">
        <f t="shared" si="8"/>
        <v>2.5709623021930694</v>
      </c>
      <c r="M56">
        <f t="shared" si="9"/>
        <v>0.42387418133837951</v>
      </c>
      <c r="N56">
        <f t="shared" si="18"/>
        <v>3.3207525233308504</v>
      </c>
      <c r="P56">
        <v>236.22649999999999</v>
      </c>
      <c r="Q56">
        <v>1.1264939755066693E-2</v>
      </c>
      <c r="R56">
        <f t="shared" si="2"/>
        <v>2.6610772910502618</v>
      </c>
      <c r="S56">
        <f t="shared" si="10"/>
        <v>3.9670740380823633</v>
      </c>
      <c r="T56">
        <f t="shared" si="11"/>
        <v>0.97223755455091432</v>
      </c>
      <c r="U56">
        <f t="shared" si="19"/>
        <v>5.4139366400593136</v>
      </c>
      <c r="W56">
        <v>31.278420000000001</v>
      </c>
      <c r="X56">
        <v>0.23485587147733442</v>
      </c>
      <c r="Y56">
        <f t="shared" si="3"/>
        <v>7.3459205875340867</v>
      </c>
      <c r="Z56">
        <f t="shared" si="12"/>
        <v>4.93399191014674</v>
      </c>
      <c r="AA56">
        <f t="shared" si="13"/>
        <v>1.9391554266152911</v>
      </c>
      <c r="AB56">
        <f t="shared" si="20"/>
        <v>0.47679958390273125</v>
      </c>
      <c r="AE56">
        <v>40.505270000000003</v>
      </c>
      <c r="AF56">
        <v>0.33408482670882256</v>
      </c>
      <c r="AG56">
        <f t="shared" si="4"/>
        <v>13.532196108744071</v>
      </c>
      <c r="AH56">
        <f t="shared" si="14"/>
        <v>2.2063350599330844</v>
      </c>
      <c r="AI56">
        <f t="shared" si="15"/>
        <v>0.7885014235983645</v>
      </c>
      <c r="AJ56">
        <f t="shared" si="21"/>
        <v>0.4216412394808744</v>
      </c>
      <c r="AL56">
        <f t="shared" si="5"/>
        <v>43.743823968208844</v>
      </c>
      <c r="AM56">
        <f t="shared" si="16"/>
        <v>2.9948364835314489</v>
      </c>
    </row>
    <row r="57" spans="1:39" x14ac:dyDescent="0.35">
      <c r="A57" s="2">
        <v>38169</v>
      </c>
      <c r="B57">
        <v>32.608580000000003</v>
      </c>
      <c r="C57">
        <v>0.22833824669550409</v>
      </c>
      <c r="D57">
        <f t="shared" si="0"/>
        <v>7.4457859844300813</v>
      </c>
      <c r="E57">
        <f t="shared" si="6"/>
        <v>2.3344955389506428</v>
      </c>
      <c r="F57">
        <f t="shared" si="7"/>
        <v>2.5922740582930315</v>
      </c>
      <c r="G57">
        <f t="shared" si="17"/>
        <v>2.5525168798365305</v>
      </c>
      <c r="I57">
        <v>65.398250000000004</v>
      </c>
      <c r="J57">
        <v>0.19145611536327223</v>
      </c>
      <c r="K57">
        <f t="shared" si="1"/>
        <v>12.520894896556118</v>
      </c>
      <c r="L57">
        <f t="shared" si="8"/>
        <v>-3.1542641326365972</v>
      </c>
      <c r="M57">
        <f t="shared" si="9"/>
        <v>2.8964856132942085</v>
      </c>
      <c r="N57">
        <f t="shared" si="18"/>
        <v>2.472611431955829</v>
      </c>
      <c r="P57">
        <v>251.68879999999999</v>
      </c>
      <c r="Q57">
        <v>1.1264939755066693E-2</v>
      </c>
      <c r="R57">
        <f t="shared" si="2"/>
        <v>2.8352591690250297</v>
      </c>
      <c r="S57">
        <f t="shared" si="10"/>
        <v>6.5455399796381819</v>
      </c>
      <c r="T57">
        <f t="shared" si="11"/>
        <v>6.8033184989805706</v>
      </c>
      <c r="U57">
        <f t="shared" si="19"/>
        <v>5.8310809444296563</v>
      </c>
      <c r="W57">
        <v>31.739989999999999</v>
      </c>
      <c r="X57">
        <v>0.23485587147733442</v>
      </c>
      <c r="Y57">
        <f t="shared" si="3"/>
        <v>7.4543230121318791</v>
      </c>
      <c r="Z57">
        <f t="shared" si="12"/>
        <v>1.4756819558020995</v>
      </c>
      <c r="AA57">
        <f t="shared" si="13"/>
        <v>1.7334604751444882</v>
      </c>
      <c r="AB57">
        <f t="shared" si="20"/>
        <v>0.20569495147080286</v>
      </c>
      <c r="AE57">
        <v>40.034140000000001</v>
      </c>
      <c r="AF57">
        <v>0.33408482670882256</v>
      </c>
      <c r="AG57">
        <f t="shared" si="4"/>
        <v>13.374798724336742</v>
      </c>
      <c r="AH57">
        <f t="shared" si="14"/>
        <v>-1.1631325997827013</v>
      </c>
      <c r="AI57">
        <f t="shared" si="15"/>
        <v>0.90535408044031263</v>
      </c>
      <c r="AJ57">
        <f t="shared" si="21"/>
        <v>0.11685265684194812</v>
      </c>
      <c r="AL57">
        <f t="shared" si="5"/>
        <v>43.631061786479854</v>
      </c>
      <c r="AM57">
        <f t="shared" si="16"/>
        <v>-0.25777851934238871</v>
      </c>
    </row>
    <row r="58" spans="1:39" x14ac:dyDescent="0.35">
      <c r="A58" s="2">
        <v>38200</v>
      </c>
      <c r="B58">
        <v>32.603160000000003</v>
      </c>
      <c r="C58">
        <v>0.22833824669550409</v>
      </c>
      <c r="D58">
        <f t="shared" si="0"/>
        <v>7.4445483911329919</v>
      </c>
      <c r="E58">
        <f t="shared" si="6"/>
        <v>-1.6621392283877601E-2</v>
      </c>
      <c r="F58">
        <f t="shared" si="7"/>
        <v>0.82461440182111101</v>
      </c>
      <c r="G58">
        <f t="shared" si="17"/>
        <v>1.7676596564719205</v>
      </c>
      <c r="I58">
        <v>63.316879999999998</v>
      </c>
      <c r="J58">
        <v>0.19145611536327223</v>
      </c>
      <c r="K58">
        <f t="shared" si="1"/>
        <v>12.122403881722464</v>
      </c>
      <c r="L58">
        <f t="shared" si="8"/>
        <v>-3.182608097311479</v>
      </c>
      <c r="M58">
        <f t="shared" si="9"/>
        <v>2.3413723032064904</v>
      </c>
      <c r="N58">
        <f t="shared" si="18"/>
        <v>0.55511331008771814</v>
      </c>
      <c r="P58">
        <v>267.5829</v>
      </c>
      <c r="Q58">
        <v>1.1264939755066693E-2</v>
      </c>
      <c r="R58">
        <f t="shared" si="2"/>
        <v>3.0143052479860355</v>
      </c>
      <c r="S58">
        <f t="shared" si="10"/>
        <v>6.3149810400780604</v>
      </c>
      <c r="T58">
        <f t="shared" si="11"/>
        <v>7.1562168341830485</v>
      </c>
      <c r="U58">
        <f t="shared" si="19"/>
        <v>0.35289833520247793</v>
      </c>
      <c r="W58">
        <v>31.911950000000001</v>
      </c>
      <c r="X58">
        <v>0.23485587147733442</v>
      </c>
      <c r="Y58">
        <f t="shared" si="3"/>
        <v>7.494708827791122</v>
      </c>
      <c r="Z58">
        <f t="shared" si="12"/>
        <v>0.54177710831038173</v>
      </c>
      <c r="AA58">
        <f t="shared" si="13"/>
        <v>1.3830129024153703</v>
      </c>
      <c r="AB58">
        <f t="shared" si="20"/>
        <v>0.35044757272911786</v>
      </c>
      <c r="AE58">
        <v>39.475169999999999</v>
      </c>
      <c r="AF58">
        <v>0.33408482670882256</v>
      </c>
      <c r="AG58">
        <f t="shared" si="4"/>
        <v>13.188055328751311</v>
      </c>
      <c r="AH58">
        <f t="shared" si="14"/>
        <v>-1.3962333148657691</v>
      </c>
      <c r="AI58">
        <f t="shared" si="15"/>
        <v>0.55499752076078046</v>
      </c>
      <c r="AJ58">
        <f t="shared" si="21"/>
        <v>0.35035655967953216</v>
      </c>
      <c r="AL58">
        <f t="shared" si="5"/>
        <v>43.264021677383923</v>
      </c>
      <c r="AM58">
        <f t="shared" si="16"/>
        <v>-0.84123579410498861</v>
      </c>
    </row>
    <row r="59" spans="1:39" x14ac:dyDescent="0.35">
      <c r="A59" s="2">
        <v>38231</v>
      </c>
      <c r="B59">
        <v>33.543500000000002</v>
      </c>
      <c r="C59">
        <v>0.22833824669550409</v>
      </c>
      <c r="D59">
        <f t="shared" si="0"/>
        <v>7.6592639780306415</v>
      </c>
      <c r="E59">
        <f t="shared" si="6"/>
        <v>2.8841989549479141</v>
      </c>
      <c r="F59">
        <f t="shared" si="7"/>
        <v>2.2735003938078702</v>
      </c>
      <c r="G59">
        <f t="shared" si="17"/>
        <v>1.4488859919867592</v>
      </c>
      <c r="I59">
        <v>67.548419999999993</v>
      </c>
      <c r="J59">
        <v>0.19145611536327223</v>
      </c>
      <c r="K59">
        <f t="shared" si="1"/>
        <v>12.932558092126763</v>
      </c>
      <c r="L59">
        <f t="shared" si="8"/>
        <v>6.6831151503358832</v>
      </c>
      <c r="M59">
        <f t="shared" si="9"/>
        <v>1.5254158015800989</v>
      </c>
      <c r="N59">
        <f t="shared" si="18"/>
        <v>0.81595650162639144</v>
      </c>
      <c r="P59">
        <v>293.0025</v>
      </c>
      <c r="Q59">
        <v>1.1264939755066693E-2</v>
      </c>
      <c r="R59">
        <f t="shared" si="2"/>
        <v>3.3006555105839288</v>
      </c>
      <c r="S59">
        <f t="shared" si="10"/>
        <v>9.4997101832740469</v>
      </c>
      <c r="T59">
        <f t="shared" si="11"/>
        <v>4.3420108345182626</v>
      </c>
      <c r="U59">
        <f t="shared" si="19"/>
        <v>2.8142059996647859</v>
      </c>
      <c r="W59">
        <v>33.762770000000003</v>
      </c>
      <c r="X59">
        <v>0.23485587147733442</v>
      </c>
      <c r="Y59">
        <f t="shared" si="3"/>
        <v>7.9293847718388033</v>
      </c>
      <c r="Z59">
        <f t="shared" si="12"/>
        <v>5.7997709322056501</v>
      </c>
      <c r="AA59">
        <f t="shared" si="13"/>
        <v>0.64207158344986581</v>
      </c>
      <c r="AB59">
        <f t="shared" si="20"/>
        <v>0.74094131896550453</v>
      </c>
      <c r="AE59">
        <v>40.928489999999996</v>
      </c>
      <c r="AF59">
        <v>0.33408482670882256</v>
      </c>
      <c r="AG59">
        <f t="shared" si="4"/>
        <v>13.673587489103776</v>
      </c>
      <c r="AH59">
        <f t="shared" si="14"/>
        <v>3.6816054243718144</v>
      </c>
      <c r="AI59">
        <f t="shared" si="15"/>
        <v>1.4760939243839699</v>
      </c>
      <c r="AJ59">
        <f t="shared" si="21"/>
        <v>0.92109640362318945</v>
      </c>
      <c r="AL59">
        <f t="shared" si="5"/>
        <v>45.495449841683914</v>
      </c>
      <c r="AM59">
        <f t="shared" si="16"/>
        <v>5.1576993487557843</v>
      </c>
    </row>
    <row r="60" spans="1:39" x14ac:dyDescent="0.35">
      <c r="A60" s="2">
        <v>38261</v>
      </c>
      <c r="B60">
        <v>34.097679999999997</v>
      </c>
      <c r="C60">
        <v>0.22833824669550409</v>
      </c>
      <c r="D60">
        <f t="shared" si="0"/>
        <v>7.785804467584355</v>
      </c>
      <c r="E60">
        <f t="shared" si="6"/>
        <v>1.6521233622013076</v>
      </c>
      <c r="F60">
        <f t="shared" si="7"/>
        <v>1.9545673297049371</v>
      </c>
      <c r="G60">
        <f t="shared" si="17"/>
        <v>0.31893306410293309</v>
      </c>
      <c r="I60">
        <v>70.617220000000003</v>
      </c>
      <c r="J60">
        <v>0.19145611536327223</v>
      </c>
      <c r="K60">
        <f t="shared" si="1"/>
        <v>13.520098618953575</v>
      </c>
      <c r="L60">
        <f t="shared" si="8"/>
        <v>4.5431114450937615</v>
      </c>
      <c r="M60">
        <f t="shared" si="9"/>
        <v>0.93642075318751683</v>
      </c>
      <c r="N60">
        <f t="shared" si="18"/>
        <v>0.5889950483925821</v>
      </c>
      <c r="P60">
        <v>313.10789999999997</v>
      </c>
      <c r="Q60">
        <v>1.1264939755066693E-2</v>
      </c>
      <c r="R60">
        <f t="shared" si="2"/>
        <v>3.5271416303354464</v>
      </c>
      <c r="S60">
        <f t="shared" si="10"/>
        <v>6.8618527145672736</v>
      </c>
      <c r="T60">
        <f t="shared" si="11"/>
        <v>3.2551620226610289</v>
      </c>
      <c r="U60">
        <f t="shared" si="19"/>
        <v>1.0868488118572337</v>
      </c>
      <c r="W60">
        <v>35.361690000000003</v>
      </c>
      <c r="X60">
        <v>0.23485587147733442</v>
      </c>
      <c r="Y60">
        <f t="shared" si="3"/>
        <v>8.3049005218613416</v>
      </c>
      <c r="Z60">
        <f t="shared" si="12"/>
        <v>4.7357488736854192</v>
      </c>
      <c r="AA60">
        <f t="shared" si="13"/>
        <v>1.1290581817791745</v>
      </c>
      <c r="AB60">
        <f t="shared" si="20"/>
        <v>0.48698659832930868</v>
      </c>
      <c r="AE60">
        <v>41.900689999999997</v>
      </c>
      <c r="AF60">
        <v>0.33408482670882256</v>
      </c>
      <c r="AG60">
        <f t="shared" si="4"/>
        <v>13.998384757630093</v>
      </c>
      <c r="AH60">
        <f t="shared" si="14"/>
        <v>2.3753624919951921</v>
      </c>
      <c r="AI60">
        <f t="shared" si="15"/>
        <v>1.2313281999110526</v>
      </c>
      <c r="AJ60">
        <f t="shared" si="21"/>
        <v>0.24476572447291733</v>
      </c>
      <c r="AL60">
        <f t="shared" si="5"/>
        <v>47.136329996364807</v>
      </c>
      <c r="AM60">
        <f t="shared" si="16"/>
        <v>3.6066906919062447</v>
      </c>
    </row>
    <row r="61" spans="1:39" x14ac:dyDescent="0.35">
      <c r="A61" s="2">
        <v>38292</v>
      </c>
      <c r="B61">
        <v>34.617989999999999</v>
      </c>
      <c r="C61">
        <v>0.22833824669550409</v>
      </c>
      <c r="D61">
        <f t="shared" si="0"/>
        <v>7.9046111407224933</v>
      </c>
      <c r="E61">
        <f t="shared" si="6"/>
        <v>1.525939594717296</v>
      </c>
      <c r="F61">
        <f t="shared" si="7"/>
        <v>0.69930719575539424</v>
      </c>
      <c r="G61">
        <f t="shared" si="17"/>
        <v>1.2552601339495428</v>
      </c>
      <c r="I61">
        <v>74.650599999999997</v>
      </c>
      <c r="J61">
        <v>0.19145611536327223</v>
      </c>
      <c r="K61">
        <f t="shared" si="1"/>
        <v>14.292313885537489</v>
      </c>
      <c r="L61">
        <f t="shared" si="8"/>
        <v>5.7116097178563363</v>
      </c>
      <c r="M61">
        <f t="shared" si="9"/>
        <v>3.4863629273836461</v>
      </c>
      <c r="N61">
        <f t="shared" si="18"/>
        <v>2.5499421741961292</v>
      </c>
      <c r="P61">
        <v>283.78120000000001</v>
      </c>
      <c r="Q61">
        <v>1.1264939755066693E-2</v>
      </c>
      <c r="R61">
        <f t="shared" si="2"/>
        <v>3.1967781216205324</v>
      </c>
      <c r="S61">
        <f t="shared" si="10"/>
        <v>-9.3663238774875914</v>
      </c>
      <c r="T61">
        <f t="shared" si="11"/>
        <v>11.591570667960282</v>
      </c>
      <c r="U61">
        <f t="shared" si="19"/>
        <v>8.3364086452992527</v>
      </c>
      <c r="W61">
        <v>35.412970000000001</v>
      </c>
      <c r="X61">
        <v>0.23485587147733442</v>
      </c>
      <c r="Y61">
        <f t="shared" si="3"/>
        <v>8.3169439309506998</v>
      </c>
      <c r="Z61">
        <f t="shared" si="12"/>
        <v>0.14501569353726484</v>
      </c>
      <c r="AA61">
        <f t="shared" si="13"/>
        <v>2.0802310969354254</v>
      </c>
      <c r="AB61">
        <f t="shared" si="20"/>
        <v>0.95117291515625091</v>
      </c>
      <c r="AE61">
        <v>43.326070000000001</v>
      </c>
      <c r="AF61">
        <v>0.33408482670882256</v>
      </c>
      <c r="AG61">
        <f t="shared" si="4"/>
        <v>14.474582587924317</v>
      </c>
      <c r="AH61">
        <f t="shared" si="14"/>
        <v>3.4018055549920545</v>
      </c>
      <c r="AI61">
        <f t="shared" si="15"/>
        <v>1.1765587645193643</v>
      </c>
      <c r="AJ61">
        <f t="shared" si="21"/>
        <v>5.4769435391688326E-2</v>
      </c>
      <c r="AL61">
        <f t="shared" si="5"/>
        <v>48.185229666755532</v>
      </c>
      <c r="AM61">
        <f t="shared" si="16"/>
        <v>2.2252467904726903</v>
      </c>
    </row>
    <row r="62" spans="1:39" x14ac:dyDescent="0.35">
      <c r="A62" s="2">
        <v>38322</v>
      </c>
      <c r="B62">
        <v>35.271079999999998</v>
      </c>
      <c r="C62">
        <v>0.22833824669550409</v>
      </c>
      <c r="D62">
        <f t="shared" si="0"/>
        <v>8.0537365662568607</v>
      </c>
      <c r="E62">
        <f t="shared" si="6"/>
        <v>1.8865624491774424</v>
      </c>
      <c r="F62">
        <f t="shared" si="7"/>
        <v>0.96413838501803184</v>
      </c>
      <c r="G62">
        <f t="shared" si="17"/>
        <v>0.2648311892626376</v>
      </c>
      <c r="I62">
        <v>73.808769999999996</v>
      </c>
      <c r="J62">
        <v>0.19145611536327223</v>
      </c>
      <c r="K62">
        <f t="shared" si="1"/>
        <v>14.131140383941226</v>
      </c>
      <c r="L62">
        <f t="shared" si="8"/>
        <v>-1.1276935483438888</v>
      </c>
      <c r="M62">
        <f t="shared" si="9"/>
        <v>2.0501176125032994</v>
      </c>
      <c r="N62">
        <f t="shared" si="18"/>
        <v>1.4362453148803467</v>
      </c>
      <c r="P62">
        <v>279.75009999999997</v>
      </c>
      <c r="Q62">
        <v>1.12649397550667E-2</v>
      </c>
      <c r="R62">
        <f t="shared" si="2"/>
        <v>3.1513680229738847</v>
      </c>
      <c r="S62">
        <f t="shared" si="10"/>
        <v>-1.4204957904188298</v>
      </c>
      <c r="T62">
        <f t="shared" si="11"/>
        <v>2.3429198545782404</v>
      </c>
      <c r="U62">
        <f t="shared" si="19"/>
        <v>9.2486508133820422</v>
      </c>
      <c r="W62">
        <v>36.675510000000003</v>
      </c>
      <c r="X62">
        <v>0.23485587147733442</v>
      </c>
      <c r="Y62">
        <f t="shared" si="3"/>
        <v>8.6134588629256932</v>
      </c>
      <c r="Z62">
        <f t="shared" si="12"/>
        <v>3.565190945577279</v>
      </c>
      <c r="AA62">
        <f t="shared" si="13"/>
        <v>2.6427668814178684</v>
      </c>
      <c r="AB62">
        <f t="shared" si="20"/>
        <v>0.56253578448244301</v>
      </c>
      <c r="AE62">
        <v>43.940930000000002</v>
      </c>
      <c r="AF62">
        <v>0.33408482670882256</v>
      </c>
      <c r="AG62">
        <f t="shared" si="4"/>
        <v>14.679997984474502</v>
      </c>
      <c r="AH62">
        <f t="shared" si="14"/>
        <v>1.419145562937052</v>
      </c>
      <c r="AI62">
        <f t="shared" si="15"/>
        <v>0.49672149877764138</v>
      </c>
      <c r="AJ62">
        <f t="shared" si="21"/>
        <v>0.67983726574172287</v>
      </c>
      <c r="AL62">
        <f t="shared" si="5"/>
        <v>48.629701820572166</v>
      </c>
      <c r="AM62">
        <f t="shared" si="16"/>
        <v>0.92242406415941058</v>
      </c>
    </row>
    <row r="63" spans="1:39" x14ac:dyDescent="0.35">
      <c r="A63" s="2">
        <v>38353</v>
      </c>
      <c r="B63">
        <v>36.123359999999998</v>
      </c>
      <c r="C63">
        <v>0.22748506355522324</v>
      </c>
      <c r="D63">
        <f t="shared" si="0"/>
        <v>8.2175248454282084</v>
      </c>
      <c r="E63">
        <f t="shared" si="6"/>
        <v>2.4163705789558954</v>
      </c>
      <c r="F63">
        <f t="shared" si="7"/>
        <v>0.74721923052685213</v>
      </c>
      <c r="G63">
        <f t="shared" si="17"/>
        <v>0.21691915449117971</v>
      </c>
      <c r="I63">
        <v>73.391739999999999</v>
      </c>
      <c r="J63">
        <v>0.19156681999124966</v>
      </c>
      <c r="K63">
        <f t="shared" si="1"/>
        <v>14.059422245424598</v>
      </c>
      <c r="L63">
        <f t="shared" si="8"/>
        <v>-0.56501415753168471</v>
      </c>
      <c r="M63">
        <f t="shared" si="9"/>
        <v>2.2341655059607279</v>
      </c>
      <c r="N63">
        <f t="shared" si="18"/>
        <v>0.18404789345742856</v>
      </c>
      <c r="P63">
        <v>292.55309999999997</v>
      </c>
      <c r="Q63">
        <v>1.1638240998164847E-2</v>
      </c>
      <c r="R63">
        <f t="shared" si="2"/>
        <v>3.40480348256022</v>
      </c>
      <c r="S63">
        <f t="shared" si="10"/>
        <v>4.5765846017570722</v>
      </c>
      <c r="T63">
        <f t="shared" si="11"/>
        <v>2.9074332533280289</v>
      </c>
      <c r="U63">
        <f t="shared" si="19"/>
        <v>0.56451339874978856</v>
      </c>
      <c r="W63">
        <v>37.941070000000003</v>
      </c>
      <c r="X63">
        <v>0.2347750894297474</v>
      </c>
      <c r="Y63">
        <f t="shared" si="3"/>
        <v>8.9076181023103072</v>
      </c>
      <c r="Z63">
        <f t="shared" si="12"/>
        <v>3.450695027826467</v>
      </c>
      <c r="AA63">
        <f t="shared" si="13"/>
        <v>1.7815436793974238</v>
      </c>
      <c r="AB63">
        <f t="shared" si="20"/>
        <v>0.86122320202044467</v>
      </c>
      <c r="AE63">
        <v>44.396090000000001</v>
      </c>
      <c r="AF63">
        <v>0.33453478602561482</v>
      </c>
      <c r="AG63">
        <f t="shared" si="4"/>
        <v>14.852036468523938</v>
      </c>
      <c r="AH63">
        <f t="shared" si="14"/>
        <v>1.035845167592031</v>
      </c>
      <c r="AI63">
        <f t="shared" si="15"/>
        <v>0.63330618083701218</v>
      </c>
      <c r="AJ63">
        <f t="shared" si="21"/>
        <v>0.1365846820593708</v>
      </c>
      <c r="AL63">
        <f t="shared" si="5"/>
        <v>49.44140514424727</v>
      </c>
      <c r="AM63">
        <f t="shared" si="16"/>
        <v>1.6691513484290432</v>
      </c>
    </row>
    <row r="64" spans="1:39" x14ac:dyDescent="0.35">
      <c r="A64" s="2">
        <v>38384</v>
      </c>
      <c r="B64">
        <v>38.027079999999998</v>
      </c>
      <c r="C64">
        <v>0.22748506355522324</v>
      </c>
      <c r="D64">
        <f t="shared" si="0"/>
        <v>8.6505927106195575</v>
      </c>
      <c r="E64">
        <f t="shared" si="6"/>
        <v>5.2700523982265324</v>
      </c>
      <c r="F64">
        <f t="shared" si="7"/>
        <v>7.7373286391213547E-2</v>
      </c>
      <c r="G64">
        <f t="shared" si="17"/>
        <v>0.66984594413563858</v>
      </c>
      <c r="I64">
        <v>77.672039999999996</v>
      </c>
      <c r="J64">
        <v>0.19156681999124966</v>
      </c>
      <c r="K64">
        <f t="shared" si="1"/>
        <v>14.879385705033142</v>
      </c>
      <c r="L64">
        <f t="shared" si="8"/>
        <v>5.8321277026542662</v>
      </c>
      <c r="M64">
        <f t="shared" si="9"/>
        <v>0.63944859081894734</v>
      </c>
      <c r="N64">
        <f t="shared" si="18"/>
        <v>1.5947169151417806</v>
      </c>
      <c r="P64">
        <v>312.76940000000002</v>
      </c>
      <c r="Q64">
        <v>1.1638240998164847E-2</v>
      </c>
      <c r="R64">
        <f t="shared" si="2"/>
        <v>3.6400856540514206</v>
      </c>
      <c r="S64">
        <f t="shared" si="10"/>
        <v>6.9103010701305312</v>
      </c>
      <c r="T64">
        <f t="shared" si="11"/>
        <v>1.7176219582952124</v>
      </c>
      <c r="U64">
        <f t="shared" si="19"/>
        <v>1.1898112950328166</v>
      </c>
      <c r="W64">
        <v>40.491790000000002</v>
      </c>
      <c r="X64">
        <v>0.2347750894297474</v>
      </c>
      <c r="Y64">
        <f t="shared" si="3"/>
        <v>9.5064636184205522</v>
      </c>
      <c r="Z64">
        <f t="shared" si="12"/>
        <v>6.7228467726397678</v>
      </c>
      <c r="AA64">
        <f t="shared" si="13"/>
        <v>1.530167660804449</v>
      </c>
      <c r="AB64">
        <f t="shared" si="20"/>
        <v>0.25137601859297476</v>
      </c>
      <c r="AE64">
        <v>45.831440000000001</v>
      </c>
      <c r="AF64">
        <v>0.33453478602561482</v>
      </c>
      <c r="AG64">
        <f t="shared" si="4"/>
        <v>15.332210973645804</v>
      </c>
      <c r="AH64">
        <f t="shared" si="14"/>
        <v>3.2330549829951316</v>
      </c>
      <c r="AI64">
        <f t="shared" si="15"/>
        <v>1.9596241288401872</v>
      </c>
      <c r="AJ64">
        <f t="shared" si="21"/>
        <v>1.326317948003175</v>
      </c>
      <c r="AL64">
        <f t="shared" si="5"/>
        <v>52.008738661770472</v>
      </c>
      <c r="AM64">
        <f t="shared" si="16"/>
        <v>5.1926791118353188</v>
      </c>
    </row>
    <row r="65" spans="1:39" x14ac:dyDescent="0.35">
      <c r="A65" s="2">
        <v>38412</v>
      </c>
      <c r="B65">
        <v>39.356299999999997</v>
      </c>
      <c r="C65">
        <v>0.22748506355522324</v>
      </c>
      <c r="D65">
        <f t="shared" si="0"/>
        <v>8.9529704067984319</v>
      </c>
      <c r="E65">
        <f t="shared" si="6"/>
        <v>3.49545639581057</v>
      </c>
      <c r="F65">
        <f t="shared" si="7"/>
        <v>1.2288360881511418</v>
      </c>
      <c r="G65">
        <f t="shared" si="17"/>
        <v>1.1514628017599282</v>
      </c>
      <c r="I65">
        <v>78.714029999999994</v>
      </c>
      <c r="J65">
        <v>0.19156681999124966</v>
      </c>
      <c r="K65">
        <f t="shared" si="1"/>
        <v>15.078996415795825</v>
      </c>
      <c r="L65">
        <f t="shared" si="8"/>
        <v>1.3415252129337585</v>
      </c>
      <c r="M65">
        <f t="shared" si="9"/>
        <v>0.92509509472566975</v>
      </c>
      <c r="N65">
        <f t="shared" si="18"/>
        <v>0.28564650390672242</v>
      </c>
      <c r="P65">
        <v>317.12060000000002</v>
      </c>
      <c r="Q65">
        <v>1.1638240998164847E-2</v>
      </c>
      <c r="R65">
        <f t="shared" si="2"/>
        <v>3.6907259682826354</v>
      </c>
      <c r="S65">
        <f t="shared" si="10"/>
        <v>1.3911846875045875</v>
      </c>
      <c r="T65">
        <f t="shared" si="11"/>
        <v>0.87543562015484078</v>
      </c>
      <c r="U65">
        <f t="shared" si="19"/>
        <v>0.84218633814037158</v>
      </c>
      <c r="W65">
        <v>41.870480000000001</v>
      </c>
      <c r="X65">
        <v>0.2347750894297474</v>
      </c>
      <c r="Y65">
        <f t="shared" si="3"/>
        <v>9.8301456864664498</v>
      </c>
      <c r="Z65">
        <f t="shared" si="12"/>
        <v>3.4048630598943586</v>
      </c>
      <c r="AA65">
        <f t="shared" si="13"/>
        <v>1.1382427522349303</v>
      </c>
      <c r="AB65">
        <f t="shared" si="20"/>
        <v>0.39192490856951867</v>
      </c>
      <c r="AE65">
        <v>46.735770000000002</v>
      </c>
      <c r="AF65">
        <v>0.33453478602561482</v>
      </c>
      <c r="AG65">
        <f t="shared" si="4"/>
        <v>15.634740816692348</v>
      </c>
      <c r="AH65">
        <f t="shared" si="14"/>
        <v>1.9731651460220379</v>
      </c>
      <c r="AI65">
        <f t="shared" si="15"/>
        <v>0.29345516163739038</v>
      </c>
      <c r="AJ65">
        <f t="shared" si="21"/>
        <v>1.6661689672027968</v>
      </c>
      <c r="AL65">
        <f t="shared" si="5"/>
        <v>53.187579294035686</v>
      </c>
      <c r="AM65">
        <f t="shared" si="16"/>
        <v>2.2666203076594282</v>
      </c>
    </row>
    <row r="66" spans="1:39" x14ac:dyDescent="0.35">
      <c r="A66" s="2">
        <v>38443</v>
      </c>
      <c r="B66">
        <v>40.155729999999998</v>
      </c>
      <c r="C66">
        <v>0.22748506355522324</v>
      </c>
      <c r="D66">
        <f t="shared" si="0"/>
        <v>9.1348287911563837</v>
      </c>
      <c r="E66">
        <f t="shared" si="6"/>
        <v>2.0312631014602456</v>
      </c>
      <c r="F66">
        <f t="shared" si="7"/>
        <v>1.8238900256472457</v>
      </c>
      <c r="G66">
        <f t="shared" si="17"/>
        <v>0.59505393749610391</v>
      </c>
      <c r="I66">
        <v>77.301429999999996</v>
      </c>
      <c r="J66">
        <v>0.19156681999124966</v>
      </c>
      <c r="K66">
        <f t="shared" si="1"/>
        <v>14.808389125876186</v>
      </c>
      <c r="L66">
        <f t="shared" si="8"/>
        <v>-1.7945974815417265</v>
      </c>
      <c r="M66">
        <f t="shared" si="9"/>
        <v>2.0019705573547264</v>
      </c>
      <c r="N66">
        <f t="shared" si="18"/>
        <v>1.0768754626290566</v>
      </c>
      <c r="P66">
        <v>331.07299999999998</v>
      </c>
      <c r="Q66">
        <v>1.1638240998164847E-2</v>
      </c>
      <c r="R66">
        <f t="shared" si="2"/>
        <v>3.8531073619854301</v>
      </c>
      <c r="S66">
        <f t="shared" si="10"/>
        <v>4.399714178139158</v>
      </c>
      <c r="T66">
        <f t="shared" si="11"/>
        <v>4.1923411023261581</v>
      </c>
      <c r="U66">
        <f t="shared" si="19"/>
        <v>3.3169054821713173</v>
      </c>
      <c r="W66">
        <v>41.690980000000003</v>
      </c>
      <c r="X66">
        <v>0.2347750894297474</v>
      </c>
      <c r="Y66">
        <f t="shared" si="3"/>
        <v>9.7880035579138109</v>
      </c>
      <c r="Z66">
        <f t="shared" si="12"/>
        <v>-0.42870299074669882</v>
      </c>
      <c r="AA66">
        <f t="shared" si="13"/>
        <v>0.63607606655969873</v>
      </c>
      <c r="AB66">
        <f t="shared" si="20"/>
        <v>0.50216668567523159</v>
      </c>
      <c r="AE66">
        <v>46.971339999999998</v>
      </c>
      <c r="AF66">
        <v>0.33453478602561482</v>
      </c>
      <c r="AG66">
        <f t="shared" si="4"/>
        <v>15.713547176236402</v>
      </c>
      <c r="AH66">
        <f t="shared" si="14"/>
        <v>0.50404647232729083</v>
      </c>
      <c r="AI66">
        <f t="shared" si="15"/>
        <v>0.29667339651429092</v>
      </c>
      <c r="AJ66">
        <f t="shared" si="21"/>
        <v>3.2182348769005387E-3</v>
      </c>
      <c r="AL66">
        <f t="shared" si="5"/>
        <v>53.297876013168207</v>
      </c>
      <c r="AM66">
        <f t="shared" si="16"/>
        <v>0.20737307581299991</v>
      </c>
    </row>
    <row r="67" spans="1:39" x14ac:dyDescent="0.35">
      <c r="A67" s="2">
        <v>38473</v>
      </c>
      <c r="B67">
        <v>39.747889999999998</v>
      </c>
      <c r="C67">
        <v>0.22748506355522324</v>
      </c>
      <c r="D67">
        <f t="shared" si="0"/>
        <v>9.042051282836022</v>
      </c>
      <c r="E67">
        <f t="shared" si="6"/>
        <v>-1.0156458368457022</v>
      </c>
      <c r="F67">
        <f t="shared" si="7"/>
        <v>1.4409805972371847</v>
      </c>
      <c r="G67">
        <f t="shared" si="17"/>
        <v>0.38290942841006093</v>
      </c>
      <c r="I67">
        <v>80.365759999999995</v>
      </c>
      <c r="J67">
        <v>0.19156681999124966</v>
      </c>
      <c r="K67">
        <f t="shared" si="1"/>
        <v>15.395413079379972</v>
      </c>
      <c r="L67">
        <f t="shared" si="8"/>
        <v>3.9641310645870398</v>
      </c>
      <c r="M67">
        <f t="shared" si="9"/>
        <v>3.5387963041955572</v>
      </c>
      <c r="N67">
        <f t="shared" si="18"/>
        <v>1.5368257468408308</v>
      </c>
      <c r="P67">
        <v>331.95150000000001</v>
      </c>
      <c r="Q67">
        <v>1.1638240998164847E-2</v>
      </c>
      <c r="R67">
        <f t="shared" si="2"/>
        <v>3.8633315567023185</v>
      </c>
      <c r="S67">
        <f t="shared" si="10"/>
        <v>0.26534933383273174</v>
      </c>
      <c r="T67">
        <f t="shared" si="11"/>
        <v>0.15998542655875081</v>
      </c>
      <c r="U67">
        <f t="shared" si="19"/>
        <v>4.0323556757674073</v>
      </c>
      <c r="W67">
        <v>41.395330000000001</v>
      </c>
      <c r="X67">
        <v>0.2347750894297474</v>
      </c>
      <c r="Y67">
        <f t="shared" si="3"/>
        <v>9.7185923027239056</v>
      </c>
      <c r="Z67">
        <f t="shared" si="12"/>
        <v>-0.7091461990099579</v>
      </c>
      <c r="AA67">
        <f t="shared" si="13"/>
        <v>1.1344809594014404</v>
      </c>
      <c r="AB67">
        <f t="shared" si="20"/>
        <v>0.49840489284174172</v>
      </c>
      <c r="AE67">
        <v>46.348489999999998</v>
      </c>
      <c r="AF67">
        <v>0.33453478602561482</v>
      </c>
      <c r="AG67">
        <f t="shared" si="4"/>
        <v>15.505182184760347</v>
      </c>
      <c r="AH67">
        <f t="shared" si="14"/>
        <v>-1.3260213568529244</v>
      </c>
      <c r="AI67">
        <f t="shared" si="15"/>
        <v>1.751356117244407</v>
      </c>
      <c r="AJ67">
        <f t="shared" si="21"/>
        <v>1.4546827207301161</v>
      </c>
      <c r="AL67">
        <f t="shared" si="5"/>
        <v>53.52457040640256</v>
      </c>
      <c r="AM67">
        <f t="shared" si="16"/>
        <v>0.42533476039148255</v>
      </c>
    </row>
    <row r="68" spans="1:39" x14ac:dyDescent="0.35">
      <c r="A68" s="2">
        <v>38504</v>
      </c>
      <c r="B68">
        <v>42.304699999999997</v>
      </c>
      <c r="C68">
        <v>0.22748506355522324</v>
      </c>
      <c r="D68">
        <f t="shared" ref="D68:D131" si="22">B68*C68</f>
        <v>9.6236873681846529</v>
      </c>
      <c r="E68">
        <f t="shared" si="6"/>
        <v>6.4325678671245168</v>
      </c>
      <c r="F68">
        <f t="shared" si="7"/>
        <v>0.74125017658819292</v>
      </c>
      <c r="G68">
        <f t="shared" si="17"/>
        <v>0.69973042064899182</v>
      </c>
      <c r="I68">
        <v>84.623919999999998</v>
      </c>
      <c r="J68">
        <v>0.19156681999124966</v>
      </c>
      <c r="K68">
        <f t="shared" ref="K68:K131" si="23">I68*J68</f>
        <v>16.211135249593912</v>
      </c>
      <c r="L68">
        <f t="shared" si="8"/>
        <v>5.2984753706055931</v>
      </c>
      <c r="M68">
        <f t="shared" si="9"/>
        <v>0.39284231993073071</v>
      </c>
      <c r="N68">
        <f t="shared" si="18"/>
        <v>3.1459539842648265</v>
      </c>
      <c r="P68">
        <v>336.6404</v>
      </c>
      <c r="Q68">
        <v>1.1638240998164847E-2</v>
      </c>
      <c r="R68">
        <f t="shared" ref="R68:R131" si="24">P68*Q68</f>
        <v>3.9179021049186136</v>
      </c>
      <c r="S68">
        <f t="shared" si="10"/>
        <v>1.4125256249783336</v>
      </c>
      <c r="T68">
        <f t="shared" si="11"/>
        <v>4.2787920655579903</v>
      </c>
      <c r="U68">
        <f t="shared" si="19"/>
        <v>4.1188066389992395</v>
      </c>
      <c r="W68">
        <v>45.196530000000003</v>
      </c>
      <c r="X68">
        <v>0.2347750894297474</v>
      </c>
      <c r="Y68">
        <f t="shared" ref="Y68:Y131" si="25">W68*X68</f>
        <v>10.611019372664261</v>
      </c>
      <c r="Z68">
        <f t="shared" si="12"/>
        <v>9.1826783359378883</v>
      </c>
      <c r="AA68">
        <f t="shared" si="13"/>
        <v>3.4913606454015644</v>
      </c>
      <c r="AB68">
        <f t="shared" si="20"/>
        <v>2.356879686000124</v>
      </c>
      <c r="AE68">
        <v>48.446620000000003</v>
      </c>
      <c r="AF68">
        <v>0.33453478602561482</v>
      </c>
      <c r="AG68">
        <f t="shared" ref="AG68:AG131" si="26">AE68*AF68</f>
        <v>16.207079655364272</v>
      </c>
      <c r="AH68">
        <f t="shared" si="14"/>
        <v>4.5268572935170059</v>
      </c>
      <c r="AI68">
        <f t="shared" si="15"/>
        <v>1.1644603970193179</v>
      </c>
      <c r="AJ68">
        <f t="shared" si="21"/>
        <v>0.58689572022508907</v>
      </c>
      <c r="AL68">
        <f t="shared" ref="AL68:AL131" si="27">AG68+Y68+R68+K68+D68</f>
        <v>56.570823750725715</v>
      </c>
      <c r="AM68">
        <f t="shared" si="16"/>
        <v>5.6913176905363239</v>
      </c>
    </row>
    <row r="69" spans="1:39" x14ac:dyDescent="0.35">
      <c r="A69" s="2">
        <v>38534</v>
      </c>
      <c r="B69">
        <v>43.938789999999997</v>
      </c>
      <c r="C69">
        <v>0.22748506355522324</v>
      </c>
      <c r="D69">
        <f t="shared" si="22"/>
        <v>9.9954184356896061</v>
      </c>
      <c r="E69">
        <f t="shared" ref="E69:E132" si="28">((B69/B68)-1)*100</f>
        <v>3.8626677414093535</v>
      </c>
      <c r="F69">
        <f t="shared" ref="F69:F132" si="29">ABS(E69-$AM69)</f>
        <v>0.7902165563218766</v>
      </c>
      <c r="G69">
        <f t="shared" si="17"/>
        <v>4.8966379733683674E-2</v>
      </c>
      <c r="I69">
        <v>86.725899999999996</v>
      </c>
      <c r="J69">
        <v>0.19156681999124966</v>
      </c>
      <c r="K69">
        <f t="shared" si="23"/>
        <v>16.613804873879118</v>
      </c>
      <c r="L69">
        <f t="shared" ref="L69:L132" si="30">((I69/I68)-1)*100</f>
        <v>2.4839076232819224</v>
      </c>
      <c r="M69">
        <f t="shared" ref="M69:M132" si="31">ABS(L69-$AM69)</f>
        <v>2.1689766744493078</v>
      </c>
      <c r="N69">
        <f t="shared" si="18"/>
        <v>1.776134354518577</v>
      </c>
      <c r="P69">
        <v>344.90480000000002</v>
      </c>
      <c r="Q69">
        <v>1.1638240998164847E-2</v>
      </c>
      <c r="R69">
        <f t="shared" si="24"/>
        <v>4.0140851838238474</v>
      </c>
      <c r="S69">
        <f t="shared" ref="S69:S132" si="32">((P69/P68)-1)*100</f>
        <v>2.4549638130182849</v>
      </c>
      <c r="T69">
        <f t="shared" ref="T69:T132" si="33">ABS(S69-$AM69)</f>
        <v>2.1979204847129452</v>
      </c>
      <c r="U69">
        <f t="shared" si="19"/>
        <v>2.0808715808450451</v>
      </c>
      <c r="W69">
        <v>49.195320000000002</v>
      </c>
      <c r="X69">
        <v>0.2347750894297474</v>
      </c>
      <c r="Y69">
        <f t="shared" si="25"/>
        <v>11.549835652525042</v>
      </c>
      <c r="Z69">
        <f t="shared" ref="Z69:Z132" si="34">((W69/W68)-1)*100</f>
        <v>8.8475597573530518</v>
      </c>
      <c r="AA69">
        <f t="shared" ref="AA69:AA132" si="35">ABS(Z69-$AM69)</f>
        <v>4.1946754596218216</v>
      </c>
      <c r="AB69">
        <f t="shared" si="20"/>
        <v>0.70331481422025721</v>
      </c>
      <c r="AE69">
        <v>50.906080000000003</v>
      </c>
      <c r="AF69">
        <v>0.33453478602561482</v>
      </c>
      <c r="AG69">
        <f t="shared" si="26"/>
        <v>17.02985458020283</v>
      </c>
      <c r="AH69">
        <f t="shared" ref="AH69:AH132" si="36">((AE69/AE68)-1)*100</f>
        <v>5.0766389894692399</v>
      </c>
      <c r="AI69">
        <f t="shared" ref="AI69:AI132" si="37">ABS(AH69-$AM69)</f>
        <v>0.42375469173800973</v>
      </c>
      <c r="AJ69">
        <f t="shared" si="21"/>
        <v>0.74070570528130819</v>
      </c>
      <c r="AL69">
        <f t="shared" si="27"/>
        <v>59.202998726120441</v>
      </c>
      <c r="AM69">
        <f t="shared" ref="AM69:AM132" si="38">((AL69/AL68)-1)*100</f>
        <v>4.6528842977312301</v>
      </c>
    </row>
    <row r="70" spans="1:39" x14ac:dyDescent="0.35">
      <c r="A70" s="2">
        <v>38565</v>
      </c>
      <c r="B70">
        <v>45.854709999999997</v>
      </c>
      <c r="C70">
        <v>0.22748506355522324</v>
      </c>
      <c r="D70">
        <f t="shared" si="22"/>
        <v>10.431261618656331</v>
      </c>
      <c r="E70">
        <f t="shared" si="28"/>
        <v>4.3604295885253164</v>
      </c>
      <c r="F70">
        <f t="shared" si="29"/>
        <v>1.5352235529197289</v>
      </c>
      <c r="G70">
        <f t="shared" ref="G70:G133" si="39">ABS(F70-F69)</f>
        <v>0.7450069965978523</v>
      </c>
      <c r="I70">
        <v>86.500069999999994</v>
      </c>
      <c r="J70">
        <v>0.19156681999124966</v>
      </c>
      <c r="K70">
        <f t="shared" si="23"/>
        <v>16.570543338920494</v>
      </c>
      <c r="L70">
        <f t="shared" si="30"/>
        <v>-0.26039510688271594</v>
      </c>
      <c r="M70">
        <f t="shared" si="31"/>
        <v>3.0856011424883034</v>
      </c>
      <c r="N70">
        <f t="shared" ref="N70:N133" si="40">ABS(M70-M69)</f>
        <v>0.91662446803899567</v>
      </c>
      <c r="P70">
        <v>367.178</v>
      </c>
      <c r="Q70">
        <v>1.1638240998164847E-2</v>
      </c>
      <c r="R70">
        <f t="shared" si="24"/>
        <v>4.2733060532241725</v>
      </c>
      <c r="S70">
        <f t="shared" si="32"/>
        <v>6.4577819734604969</v>
      </c>
      <c r="T70">
        <f t="shared" si="33"/>
        <v>3.6325759378549094</v>
      </c>
      <c r="U70">
        <f t="shared" ref="U70:U133" si="41">ABS(T70-T69)</f>
        <v>1.4346554531419642</v>
      </c>
      <c r="W70">
        <v>52.260420000000003</v>
      </c>
      <c r="X70">
        <v>0.2347750894297474</v>
      </c>
      <c r="Y70">
        <f t="shared" si="25"/>
        <v>12.26944477913616</v>
      </c>
      <c r="Z70">
        <f t="shared" si="34"/>
        <v>6.2304707033107976</v>
      </c>
      <c r="AA70">
        <f t="shared" si="35"/>
        <v>3.4052646677052101</v>
      </c>
      <c r="AB70">
        <f t="shared" ref="AB70:AB133" si="42">ABS(AA70-AA69)</f>
        <v>0.78941079191661157</v>
      </c>
      <c r="AE70">
        <v>51.806420000000003</v>
      </c>
      <c r="AF70">
        <v>0.33453478602561482</v>
      </c>
      <c r="AG70">
        <f t="shared" si="26"/>
        <v>17.331049629453133</v>
      </c>
      <c r="AH70">
        <f t="shared" si="36"/>
        <v>1.7686296018078806</v>
      </c>
      <c r="AI70">
        <f t="shared" si="37"/>
        <v>1.0565764337977068</v>
      </c>
      <c r="AJ70">
        <f t="shared" ref="AJ70:AJ133" si="43">ABS(AI70-AI69)</f>
        <v>0.6328217420596971</v>
      </c>
      <c r="AL70">
        <f t="shared" si="27"/>
        <v>60.87560541939029</v>
      </c>
      <c r="AM70">
        <f t="shared" si="38"/>
        <v>2.8252060356055875</v>
      </c>
    </row>
    <row r="71" spans="1:39" x14ac:dyDescent="0.35">
      <c r="A71" s="2">
        <v>38596</v>
      </c>
      <c r="B71">
        <v>46.69614</v>
      </c>
      <c r="C71">
        <v>0.22748506355522324</v>
      </c>
      <c r="D71">
        <f t="shared" si="22"/>
        <v>10.622674375683602</v>
      </c>
      <c r="E71">
        <f t="shared" si="28"/>
        <v>1.8349914327230543</v>
      </c>
      <c r="F71">
        <f t="shared" si="29"/>
        <v>1.3931140340753378</v>
      </c>
      <c r="G71">
        <f t="shared" si="39"/>
        <v>0.14210951884439105</v>
      </c>
      <c r="I71">
        <v>90.157179999999997</v>
      </c>
      <c r="J71">
        <v>0.19156681999124966</v>
      </c>
      <c r="K71">
        <f t="shared" si="23"/>
        <v>17.271124271978692</v>
      </c>
      <c r="L71">
        <f t="shared" si="30"/>
        <v>4.2278694109727288</v>
      </c>
      <c r="M71">
        <f t="shared" si="31"/>
        <v>0.99976394417433667</v>
      </c>
      <c r="N71">
        <f t="shared" si="40"/>
        <v>2.0858371983139667</v>
      </c>
      <c r="P71">
        <v>376.00700000000001</v>
      </c>
      <c r="Q71">
        <v>1.1638240998164847E-2</v>
      </c>
      <c r="R71">
        <f t="shared" si="24"/>
        <v>4.37606008299697</v>
      </c>
      <c r="S71">
        <f t="shared" si="32"/>
        <v>2.404555828508248</v>
      </c>
      <c r="T71">
        <f t="shared" si="33"/>
        <v>0.82354963829014416</v>
      </c>
      <c r="U71">
        <f t="shared" si="41"/>
        <v>2.8090262995647652</v>
      </c>
      <c r="W71">
        <v>55.176180000000002</v>
      </c>
      <c r="X71">
        <v>0.2347750894297474</v>
      </c>
      <c r="Y71">
        <f t="shared" si="25"/>
        <v>12.95399259389184</v>
      </c>
      <c r="Z71">
        <f t="shared" si="34"/>
        <v>5.5792892594433763</v>
      </c>
      <c r="AA71">
        <f t="shared" si="35"/>
        <v>2.3511837926449841</v>
      </c>
      <c r="AB71">
        <f t="shared" si="42"/>
        <v>1.054080875060226</v>
      </c>
      <c r="AE71">
        <v>52.66084</v>
      </c>
      <c r="AF71">
        <v>0.33453478602561482</v>
      </c>
      <c r="AG71">
        <f t="shared" si="26"/>
        <v>17.616882841329137</v>
      </c>
      <c r="AH71">
        <f t="shared" si="36"/>
        <v>1.649255053717269</v>
      </c>
      <c r="AI71">
        <f t="shared" si="37"/>
        <v>1.5788504130811232</v>
      </c>
      <c r="AJ71">
        <f t="shared" si="43"/>
        <v>0.52227397928341635</v>
      </c>
      <c r="AL71">
        <f t="shared" si="27"/>
        <v>62.840734165880242</v>
      </c>
      <c r="AM71">
        <f t="shared" si="38"/>
        <v>3.2281054667983922</v>
      </c>
    </row>
    <row r="72" spans="1:39" x14ac:dyDescent="0.35">
      <c r="A72" s="2">
        <v>38626</v>
      </c>
      <c r="B72">
        <v>45.147419999999997</v>
      </c>
      <c r="C72">
        <v>0.22748506355522324</v>
      </c>
      <c r="D72">
        <f t="shared" si="22"/>
        <v>10.270363708054356</v>
      </c>
      <c r="E72">
        <f t="shared" si="28"/>
        <v>-3.3165910501381957</v>
      </c>
      <c r="F72">
        <f t="shared" si="29"/>
        <v>1.1486634044757915</v>
      </c>
      <c r="G72">
        <f t="shared" si="39"/>
        <v>0.24445062959954633</v>
      </c>
      <c r="I72">
        <v>89.130279999999999</v>
      </c>
      <c r="J72">
        <v>0.19156681999124966</v>
      </c>
      <c r="K72">
        <f t="shared" si="23"/>
        <v>17.074404304529679</v>
      </c>
      <c r="L72">
        <f t="shared" si="30"/>
        <v>-1.1390107809494454</v>
      </c>
      <c r="M72">
        <f t="shared" si="31"/>
        <v>1.0289168647129587</v>
      </c>
      <c r="N72">
        <f t="shared" si="40"/>
        <v>2.9152920538622062E-2</v>
      </c>
      <c r="P72">
        <v>373.37950000000001</v>
      </c>
      <c r="Q72">
        <v>1.1638240998164847E-2</v>
      </c>
      <c r="R72">
        <f t="shared" si="24"/>
        <v>4.3454806047742913</v>
      </c>
      <c r="S72">
        <f t="shared" si="32"/>
        <v>-0.69879018209767496</v>
      </c>
      <c r="T72">
        <f t="shared" si="33"/>
        <v>1.4691374635647292</v>
      </c>
      <c r="U72">
        <f t="shared" si="41"/>
        <v>0.64558782527458503</v>
      </c>
      <c r="W72">
        <v>51.412689999999998</v>
      </c>
      <c r="X72">
        <v>0.2347750894297474</v>
      </c>
      <c r="Y72">
        <f t="shared" si="25"/>
        <v>12.07041889257388</v>
      </c>
      <c r="Z72">
        <f t="shared" si="34"/>
        <v>-6.8208600160431621</v>
      </c>
      <c r="AA72">
        <f t="shared" si="35"/>
        <v>4.6529323703807579</v>
      </c>
      <c r="AB72">
        <f t="shared" si="42"/>
        <v>2.3017485777357738</v>
      </c>
      <c r="AE72">
        <v>52.96228</v>
      </c>
      <c r="AF72">
        <v>0.33453478602561482</v>
      </c>
      <c r="AG72">
        <f t="shared" si="26"/>
        <v>17.717725007228697</v>
      </c>
      <c r="AH72">
        <f t="shared" si="36"/>
        <v>0.57241775862291178</v>
      </c>
      <c r="AI72">
        <f t="shared" si="37"/>
        <v>2.7403454042853159</v>
      </c>
      <c r="AJ72">
        <f t="shared" si="43"/>
        <v>1.1614949912041928</v>
      </c>
      <c r="AL72">
        <f t="shared" si="27"/>
        <v>61.478392517160906</v>
      </c>
      <c r="AM72">
        <f t="shared" si="38"/>
        <v>-2.1679276456624041</v>
      </c>
    </row>
    <row r="73" spans="1:39" x14ac:dyDescent="0.35">
      <c r="A73" s="2">
        <v>38657</v>
      </c>
      <c r="B73">
        <v>46.15551</v>
      </c>
      <c r="C73">
        <v>0.22748506355522324</v>
      </c>
      <c r="D73">
        <f t="shared" si="22"/>
        <v>10.499689125773742</v>
      </c>
      <c r="E73">
        <f t="shared" si="28"/>
        <v>2.2328850685155555</v>
      </c>
      <c r="F73">
        <f t="shared" si="29"/>
        <v>0.64570196596225315</v>
      </c>
      <c r="G73">
        <f t="shared" si="39"/>
        <v>0.50296143851353836</v>
      </c>
      <c r="I73">
        <v>90.892750000000007</v>
      </c>
      <c r="J73">
        <v>0.19156681999124966</v>
      </c>
      <c r="K73">
        <f t="shared" si="23"/>
        <v>17.412035077759658</v>
      </c>
      <c r="L73">
        <f t="shared" si="30"/>
        <v>1.9774087997928458</v>
      </c>
      <c r="M73">
        <f t="shared" si="31"/>
        <v>0.90117823468496283</v>
      </c>
      <c r="N73">
        <f t="shared" si="40"/>
        <v>0.1277386300279959</v>
      </c>
      <c r="P73">
        <v>398.05509999999998</v>
      </c>
      <c r="Q73">
        <v>1.1638240998164847E-2</v>
      </c>
      <c r="R73">
        <f t="shared" si="24"/>
        <v>4.6326611843486081</v>
      </c>
      <c r="S73">
        <f t="shared" si="32"/>
        <v>6.6087184754385131</v>
      </c>
      <c r="T73">
        <f t="shared" si="33"/>
        <v>3.7301314409607045</v>
      </c>
      <c r="U73">
        <f t="shared" si="41"/>
        <v>2.2609939773959753</v>
      </c>
      <c r="W73">
        <v>52.556060000000002</v>
      </c>
      <c r="X73">
        <v>0.2347750894297474</v>
      </c>
      <c r="Y73">
        <f t="shared" si="25"/>
        <v>12.33885368657517</v>
      </c>
      <c r="Z73">
        <f t="shared" si="34"/>
        <v>2.2239061990337428</v>
      </c>
      <c r="AA73">
        <f t="shared" si="35"/>
        <v>0.65468083544406586</v>
      </c>
      <c r="AB73">
        <f t="shared" si="42"/>
        <v>3.9982515349366921</v>
      </c>
      <c r="AE73">
        <v>54.896720000000002</v>
      </c>
      <c r="AF73">
        <v>0.33453478602561482</v>
      </c>
      <c r="AG73">
        <f t="shared" si="26"/>
        <v>18.364862478708091</v>
      </c>
      <c r="AH73">
        <f t="shared" si="36"/>
        <v>3.6524862600326058</v>
      </c>
      <c r="AI73">
        <f t="shared" si="37"/>
        <v>0.77389922555479718</v>
      </c>
      <c r="AJ73">
        <f t="shared" si="43"/>
        <v>1.9664461787305187</v>
      </c>
      <c r="AL73">
        <f t="shared" si="27"/>
        <v>63.24810155316527</v>
      </c>
      <c r="AM73">
        <f t="shared" si="38"/>
        <v>2.8785870344778086</v>
      </c>
    </row>
    <row r="74" spans="1:39" x14ac:dyDescent="0.35">
      <c r="A74" s="2">
        <v>38687</v>
      </c>
      <c r="B74">
        <v>48.521279999999997</v>
      </c>
      <c r="C74">
        <v>0.22748506355522324</v>
      </c>
      <c r="D74">
        <f t="shared" si="22"/>
        <v>11.037866464580782</v>
      </c>
      <c r="E74">
        <f t="shared" si="28"/>
        <v>5.1256502203095522</v>
      </c>
      <c r="F74">
        <f t="shared" si="29"/>
        <v>0.28567640607248812</v>
      </c>
      <c r="G74">
        <f t="shared" si="39"/>
        <v>0.36002555988976503</v>
      </c>
      <c r="I74">
        <v>95.185419999999993</v>
      </c>
      <c r="J74">
        <v>0.19156681999124966</v>
      </c>
      <c r="K74">
        <f t="shared" si="23"/>
        <v>18.234368218931493</v>
      </c>
      <c r="L74">
        <f t="shared" si="30"/>
        <v>4.7227859207692457</v>
      </c>
      <c r="M74">
        <f t="shared" si="31"/>
        <v>0.68854070561279457</v>
      </c>
      <c r="N74">
        <f t="shared" si="40"/>
        <v>0.21263752907216826</v>
      </c>
      <c r="P74">
        <v>433.46010000000001</v>
      </c>
      <c r="Q74">
        <v>1.1638240998164847E-2</v>
      </c>
      <c r="R74">
        <f t="shared" si="24"/>
        <v>5.0447131068886346</v>
      </c>
      <c r="S74">
        <f t="shared" si="32"/>
        <v>8.8944972693479016</v>
      </c>
      <c r="T74">
        <f t="shared" si="33"/>
        <v>3.4831706429658613</v>
      </c>
      <c r="U74">
        <f t="shared" si="41"/>
        <v>0.24696079799484316</v>
      </c>
      <c r="W74">
        <v>55.977139999999999</v>
      </c>
      <c r="X74">
        <v>0.2347750894297474</v>
      </c>
      <c r="Y74">
        <f t="shared" si="25"/>
        <v>13.14203804952149</v>
      </c>
      <c r="Z74">
        <f t="shared" si="34"/>
        <v>6.5093920663002347</v>
      </c>
      <c r="AA74">
        <f t="shared" si="35"/>
        <v>1.0980654399181944</v>
      </c>
      <c r="AB74">
        <f t="shared" si="42"/>
        <v>0.44338460447412853</v>
      </c>
      <c r="AE74">
        <v>57.428040000000003</v>
      </c>
      <c r="AF74">
        <v>0.33453478602561482</v>
      </c>
      <c r="AG74">
        <f t="shared" si="26"/>
        <v>19.211677073270451</v>
      </c>
      <c r="AH74">
        <f t="shared" si="36"/>
        <v>4.6110587299204697</v>
      </c>
      <c r="AI74">
        <f t="shared" si="37"/>
        <v>0.80026789646157059</v>
      </c>
      <c r="AJ74">
        <f t="shared" si="43"/>
        <v>2.6368670906773417E-2</v>
      </c>
      <c r="AL74">
        <f t="shared" si="27"/>
        <v>66.670662913192857</v>
      </c>
      <c r="AM74">
        <f t="shared" si="38"/>
        <v>5.4113266263820403</v>
      </c>
    </row>
    <row r="75" spans="1:39" x14ac:dyDescent="0.35">
      <c r="A75" s="2">
        <v>38718</v>
      </c>
      <c r="B75">
        <v>49.88438</v>
      </c>
      <c r="C75">
        <v>0.22757281339252797</v>
      </c>
      <c r="D75">
        <f t="shared" si="22"/>
        <v>11.352328700941955</v>
      </c>
      <c r="E75">
        <f t="shared" si="28"/>
        <v>2.8092828548628601</v>
      </c>
      <c r="F75">
        <f t="shared" si="29"/>
        <v>1.5905075303812355</v>
      </c>
      <c r="G75">
        <f t="shared" si="39"/>
        <v>1.3048311243087474</v>
      </c>
      <c r="I75">
        <v>98.622960000000006</v>
      </c>
      <c r="J75">
        <v>0.19185169912668198</v>
      </c>
      <c r="K75">
        <f t="shared" si="23"/>
        <v>18.920982448902794</v>
      </c>
      <c r="L75">
        <f t="shared" si="30"/>
        <v>3.6114144372110912</v>
      </c>
      <c r="M75">
        <f t="shared" si="31"/>
        <v>0.78837594803300437</v>
      </c>
      <c r="N75">
        <f t="shared" si="40"/>
        <v>9.9835242420209802E-2</v>
      </c>
      <c r="P75">
        <v>486.71499999999997</v>
      </c>
      <c r="Q75">
        <v>1.1912080143392661E-2</v>
      </c>
      <c r="R75">
        <f t="shared" si="24"/>
        <v>5.7977880869913587</v>
      </c>
      <c r="S75">
        <f t="shared" si="32"/>
        <v>12.285998180686054</v>
      </c>
      <c r="T75">
        <f t="shared" si="33"/>
        <v>7.8862077954419583</v>
      </c>
      <c r="U75">
        <f t="shared" si="41"/>
        <v>4.4030371524760969</v>
      </c>
      <c r="W75">
        <v>59.187040000000003</v>
      </c>
      <c r="X75">
        <v>0.23158487171414477</v>
      </c>
      <c r="Y75">
        <f t="shared" si="25"/>
        <v>13.706823065539956</v>
      </c>
      <c r="Z75">
        <f t="shared" si="34"/>
        <v>5.734305110979232</v>
      </c>
      <c r="AA75">
        <f t="shared" si="35"/>
        <v>1.3345147257351364</v>
      </c>
      <c r="AB75">
        <f t="shared" si="42"/>
        <v>0.23644928581694202</v>
      </c>
      <c r="AE75">
        <v>58.817480000000003</v>
      </c>
      <c r="AF75">
        <v>0.33707853562325263</v>
      </c>
      <c r="AG75">
        <f t="shared" si="26"/>
        <v>19.82611002744995</v>
      </c>
      <c r="AH75">
        <f t="shared" si="36"/>
        <v>2.4194452744687123</v>
      </c>
      <c r="AI75">
        <f t="shared" si="37"/>
        <v>1.9803451107753833</v>
      </c>
      <c r="AJ75">
        <f t="shared" si="43"/>
        <v>1.1800772143138127</v>
      </c>
      <c r="AL75">
        <f t="shared" si="27"/>
        <v>69.604032329826012</v>
      </c>
      <c r="AM75">
        <f t="shared" si="38"/>
        <v>4.3997903852440956</v>
      </c>
    </row>
    <row r="76" spans="1:39" x14ac:dyDescent="0.35">
      <c r="A76" s="2">
        <v>38749</v>
      </c>
      <c r="B76">
        <v>50.51173</v>
      </c>
      <c r="C76">
        <v>0.22757281339252797</v>
      </c>
      <c r="D76">
        <f t="shared" si="22"/>
        <v>11.495096505423756</v>
      </c>
      <c r="E76">
        <f t="shared" si="28"/>
        <v>1.2576080929541433</v>
      </c>
      <c r="F76">
        <f t="shared" si="29"/>
        <v>2.6588798456769425</v>
      </c>
      <c r="G76">
        <f t="shared" si="39"/>
        <v>1.068372315295707</v>
      </c>
      <c r="I76">
        <v>102.6626</v>
      </c>
      <c r="J76">
        <v>0.19185169912668198</v>
      </c>
      <c r="K76">
        <f t="shared" si="23"/>
        <v>19.695994246762901</v>
      </c>
      <c r="L76">
        <f t="shared" si="30"/>
        <v>4.096044166591617</v>
      </c>
      <c r="M76">
        <f t="shared" si="31"/>
        <v>0.17955622796053117</v>
      </c>
      <c r="N76">
        <f t="shared" si="40"/>
        <v>0.6088197200724732</v>
      </c>
      <c r="P76">
        <v>530.60090000000002</v>
      </c>
      <c r="Q76">
        <v>1.1912080143392661E-2</v>
      </c>
      <c r="R76">
        <f t="shared" si="24"/>
        <v>6.3205604449562749</v>
      </c>
      <c r="S76">
        <f t="shared" si="32"/>
        <v>9.0167551852726966</v>
      </c>
      <c r="T76">
        <f t="shared" si="33"/>
        <v>5.1002672466416108</v>
      </c>
      <c r="U76">
        <f t="shared" si="41"/>
        <v>2.7859405488003475</v>
      </c>
      <c r="W76">
        <v>62.01229</v>
      </c>
      <c r="X76">
        <v>0.23158487171414477</v>
      </c>
      <c r="Y76">
        <f t="shared" si="25"/>
        <v>14.361108224350343</v>
      </c>
      <c r="Z76">
        <f t="shared" si="34"/>
        <v>4.7734267501804428</v>
      </c>
      <c r="AA76">
        <f t="shared" si="35"/>
        <v>0.85693881154935703</v>
      </c>
      <c r="AB76">
        <f t="shared" si="42"/>
        <v>0.47757591418577938</v>
      </c>
      <c r="AE76">
        <v>60.69003</v>
      </c>
      <c r="AF76">
        <v>0.33707853562325263</v>
      </c>
      <c r="AG76">
        <f t="shared" si="26"/>
        <v>20.457306439331269</v>
      </c>
      <c r="AH76">
        <f t="shared" si="36"/>
        <v>3.183662407842025</v>
      </c>
      <c r="AI76">
        <f t="shared" si="37"/>
        <v>0.73282553078906076</v>
      </c>
      <c r="AJ76">
        <f t="shared" si="43"/>
        <v>1.2475195799863226</v>
      </c>
      <c r="AL76">
        <f t="shared" si="27"/>
        <v>72.330065860824533</v>
      </c>
      <c r="AM76">
        <f t="shared" si="38"/>
        <v>3.9164879386310858</v>
      </c>
    </row>
    <row r="77" spans="1:39" x14ac:dyDescent="0.35">
      <c r="A77" s="2">
        <v>38777</v>
      </c>
      <c r="B77">
        <v>51.981859999999998</v>
      </c>
      <c r="C77">
        <v>0.22757281339252797</v>
      </c>
      <c r="D77">
        <f t="shared" si="22"/>
        <v>11.829658125576513</v>
      </c>
      <c r="E77">
        <f t="shared" si="28"/>
        <v>2.9104724783728386</v>
      </c>
      <c r="F77">
        <f t="shared" si="29"/>
        <v>1.1211633716460501</v>
      </c>
      <c r="G77">
        <f t="shared" si="39"/>
        <v>1.5377164740308924</v>
      </c>
      <c r="I77">
        <v>108.88590000000001</v>
      </c>
      <c r="J77">
        <v>0.19185169912668198</v>
      </c>
      <c r="K77">
        <f t="shared" si="23"/>
        <v>20.889944925937982</v>
      </c>
      <c r="L77">
        <f t="shared" si="30"/>
        <v>6.0618959582165344</v>
      </c>
      <c r="M77">
        <f t="shared" si="31"/>
        <v>2.0302601081976457</v>
      </c>
      <c r="N77">
        <f t="shared" si="40"/>
        <v>1.8507038802371145</v>
      </c>
      <c r="P77">
        <v>501.25659999999999</v>
      </c>
      <c r="Q77">
        <v>1.1912080143392661E-2</v>
      </c>
      <c r="R77">
        <f t="shared" si="24"/>
        <v>5.9710087916045174</v>
      </c>
      <c r="S77">
        <f t="shared" si="32"/>
        <v>-5.5303901670728521</v>
      </c>
      <c r="T77">
        <f t="shared" si="33"/>
        <v>9.5620260170917408</v>
      </c>
      <c r="U77">
        <f t="shared" si="41"/>
        <v>4.46175877045013</v>
      </c>
      <c r="W77">
        <v>65.087940000000003</v>
      </c>
      <c r="X77">
        <v>0.23158487171414477</v>
      </c>
      <c r="Y77">
        <f t="shared" si="25"/>
        <v>15.073382235037952</v>
      </c>
      <c r="Z77">
        <f t="shared" si="34"/>
        <v>4.9597426574635506</v>
      </c>
      <c r="AA77">
        <f t="shared" si="35"/>
        <v>0.9281068074446619</v>
      </c>
      <c r="AB77">
        <f t="shared" si="42"/>
        <v>7.116799589530487E-2</v>
      </c>
      <c r="AE77">
        <v>63.730420000000002</v>
      </c>
      <c r="AF77">
        <v>0.33707853562325263</v>
      </c>
      <c r="AG77">
        <f t="shared" si="26"/>
        <v>21.482156648254854</v>
      </c>
      <c r="AH77">
        <f t="shared" si="36"/>
        <v>5.0097025821209895</v>
      </c>
      <c r="AI77">
        <f t="shared" si="37"/>
        <v>0.97806673210210082</v>
      </c>
      <c r="AJ77">
        <f t="shared" si="43"/>
        <v>0.24524120131304006</v>
      </c>
      <c r="AL77">
        <f t="shared" si="27"/>
        <v>75.246150726411813</v>
      </c>
      <c r="AM77">
        <f t="shared" si="38"/>
        <v>4.0316358500188887</v>
      </c>
    </row>
    <row r="78" spans="1:39" x14ac:dyDescent="0.35">
      <c r="A78" s="2">
        <v>38808</v>
      </c>
      <c r="B78">
        <v>51.099780000000003</v>
      </c>
      <c r="C78">
        <v>0.22757281339252797</v>
      </c>
      <c r="D78">
        <f t="shared" si="22"/>
        <v>11.628920698339233</v>
      </c>
      <c r="E78">
        <f t="shared" si="28"/>
        <v>-1.696899649223782</v>
      </c>
      <c r="F78">
        <f t="shared" si="29"/>
        <v>4.1562577036711517</v>
      </c>
      <c r="G78">
        <f t="shared" si="39"/>
        <v>3.0350943320251016</v>
      </c>
      <c r="I78">
        <v>112.0697</v>
      </c>
      <c r="J78">
        <v>0.19185169912668198</v>
      </c>
      <c r="K78">
        <f t="shared" si="23"/>
        <v>21.500762365617511</v>
      </c>
      <c r="L78">
        <f t="shared" si="30"/>
        <v>2.9239782194021346</v>
      </c>
      <c r="M78">
        <f t="shared" si="31"/>
        <v>0.46462016495476544</v>
      </c>
      <c r="N78">
        <f t="shared" si="40"/>
        <v>1.5656399432428802</v>
      </c>
      <c r="P78">
        <v>459.0204</v>
      </c>
      <c r="Q78">
        <v>1.1912080143392661E-2</v>
      </c>
      <c r="R78">
        <f t="shared" si="24"/>
        <v>5.4678877922521565</v>
      </c>
      <c r="S78">
        <f t="shared" si="32"/>
        <v>-8.4260636169179559</v>
      </c>
      <c r="T78">
        <f t="shared" si="33"/>
        <v>10.885421671365325</v>
      </c>
      <c r="U78">
        <f t="shared" si="41"/>
        <v>1.3233956542735843</v>
      </c>
      <c r="W78">
        <v>70.400570000000002</v>
      </c>
      <c r="X78">
        <v>0.23158487171414477</v>
      </c>
      <c r="Y78">
        <f t="shared" si="25"/>
        <v>16.303706972052669</v>
      </c>
      <c r="Z78">
        <f t="shared" si="34"/>
        <v>8.1622340482737634</v>
      </c>
      <c r="AA78">
        <f t="shared" si="35"/>
        <v>5.7028759938263942</v>
      </c>
      <c r="AB78">
        <f t="shared" si="42"/>
        <v>4.7747691863817323</v>
      </c>
      <c r="AE78">
        <v>65.846509999999995</v>
      </c>
      <c r="AF78">
        <v>0.33707853562325263</v>
      </c>
      <c r="AG78">
        <f t="shared" si="26"/>
        <v>22.195445166701859</v>
      </c>
      <c r="AH78">
        <f t="shared" si="36"/>
        <v>3.3203766741220164</v>
      </c>
      <c r="AI78">
        <f t="shared" si="37"/>
        <v>0.86101861967464721</v>
      </c>
      <c r="AJ78">
        <f t="shared" si="43"/>
        <v>0.11704811242745361</v>
      </c>
      <c r="AL78">
        <f t="shared" si="27"/>
        <v>77.096722994963429</v>
      </c>
      <c r="AM78">
        <f t="shared" si="38"/>
        <v>2.4593580544473692</v>
      </c>
    </row>
    <row r="79" spans="1:39" x14ac:dyDescent="0.35">
      <c r="A79" s="2">
        <v>38838</v>
      </c>
      <c r="B79">
        <v>50.083559999999999</v>
      </c>
      <c r="C79">
        <v>0.22757281339252797</v>
      </c>
      <c r="D79">
        <f t="shared" si="22"/>
        <v>11.397656653913478</v>
      </c>
      <c r="E79">
        <f t="shared" si="28"/>
        <v>-1.9886974073078267</v>
      </c>
      <c r="F79">
        <f t="shared" si="29"/>
        <v>1.7962653664501449</v>
      </c>
      <c r="G79">
        <f t="shared" si="39"/>
        <v>2.3599923372210068</v>
      </c>
      <c r="I79">
        <v>106.92529999999999</v>
      </c>
      <c r="J79">
        <v>0.19185169912668198</v>
      </c>
      <c r="K79">
        <f t="shared" si="23"/>
        <v>20.51380048463021</v>
      </c>
      <c r="L79">
        <f t="shared" si="30"/>
        <v>-4.5903576078101471</v>
      </c>
      <c r="M79">
        <f t="shared" si="31"/>
        <v>0.80539483405217549</v>
      </c>
      <c r="N79">
        <f t="shared" si="40"/>
        <v>0.34077466909741005</v>
      </c>
      <c r="P79">
        <v>450.22660000000002</v>
      </c>
      <c r="Q79">
        <v>1.1912080143392661E-2</v>
      </c>
      <c r="R79">
        <f t="shared" si="24"/>
        <v>5.3631353418871903</v>
      </c>
      <c r="S79">
        <f t="shared" si="32"/>
        <v>-1.9157754208745326</v>
      </c>
      <c r="T79">
        <f t="shared" si="33"/>
        <v>1.8691873528834391</v>
      </c>
      <c r="U79">
        <f t="shared" si="41"/>
        <v>9.0162343184818852</v>
      </c>
      <c r="W79">
        <v>68.748859999999993</v>
      </c>
      <c r="X79">
        <v>0.23158487171414477</v>
      </c>
      <c r="Y79">
        <f t="shared" si="25"/>
        <v>15.921195923593697</v>
      </c>
      <c r="Z79">
        <f t="shared" si="34"/>
        <v>-2.3461599813751621</v>
      </c>
      <c r="AA79">
        <f t="shared" si="35"/>
        <v>1.4388027923828095</v>
      </c>
      <c r="AB79">
        <f t="shared" si="42"/>
        <v>4.2640732014435851</v>
      </c>
      <c r="AE79">
        <v>62.24915</v>
      </c>
      <c r="AF79">
        <v>0.33707853562325263</v>
      </c>
      <c r="AG79">
        <f t="shared" si="26"/>
        <v>20.982852325792198</v>
      </c>
      <c r="AH79">
        <f t="shared" si="36"/>
        <v>-5.4632508237718262</v>
      </c>
      <c r="AI79">
        <f t="shared" si="37"/>
        <v>1.6782880500138546</v>
      </c>
      <c r="AJ79">
        <f t="shared" si="43"/>
        <v>0.8172694303392074</v>
      </c>
      <c r="AL79">
        <f t="shared" si="27"/>
        <v>74.178640729816763</v>
      </c>
      <c r="AM79">
        <f t="shared" si="38"/>
        <v>-3.7849627737579716</v>
      </c>
    </row>
    <row r="80" spans="1:39" x14ac:dyDescent="0.35">
      <c r="A80" s="2">
        <v>38869</v>
      </c>
      <c r="B80">
        <v>46.461730000000003</v>
      </c>
      <c r="C80">
        <v>0.22757281339252797</v>
      </c>
      <c r="D80">
        <f t="shared" si="22"/>
        <v>10.573426611184018</v>
      </c>
      <c r="E80">
        <f t="shared" si="28"/>
        <v>-7.2315745925409347</v>
      </c>
      <c r="F80">
        <f t="shared" si="29"/>
        <v>0.45594894329840141</v>
      </c>
      <c r="G80">
        <f t="shared" si="39"/>
        <v>1.3403164231517435</v>
      </c>
      <c r="I80">
        <v>99.102890000000002</v>
      </c>
      <c r="J80">
        <v>0.19185169912668198</v>
      </c>
      <c r="K80">
        <f t="shared" si="23"/>
        <v>19.013057834864661</v>
      </c>
      <c r="L80">
        <f t="shared" si="30"/>
        <v>-7.3157709167053886</v>
      </c>
      <c r="M80">
        <f t="shared" si="31"/>
        <v>0.54014526746285529</v>
      </c>
      <c r="N80">
        <f t="shared" si="40"/>
        <v>0.2652495665893202</v>
      </c>
      <c r="P80">
        <v>450.4042</v>
      </c>
      <c r="Q80">
        <v>1.1912080143392661E-2</v>
      </c>
      <c r="R80">
        <f t="shared" si="24"/>
        <v>5.3652509273206563</v>
      </c>
      <c r="S80">
        <f t="shared" si="32"/>
        <v>3.9446803009868248E-2</v>
      </c>
      <c r="T80">
        <f t="shared" si="33"/>
        <v>6.8150724522524015</v>
      </c>
      <c r="U80">
        <f t="shared" si="41"/>
        <v>4.9458850993689625</v>
      </c>
      <c r="W80">
        <v>63.253720000000001</v>
      </c>
      <c r="X80">
        <v>0.23158487171414477</v>
      </c>
      <c r="Y80">
        <f t="shared" si="25"/>
        <v>14.648604631642433</v>
      </c>
      <c r="Z80">
        <f t="shared" si="34"/>
        <v>-7.9930634486157226</v>
      </c>
      <c r="AA80">
        <f t="shared" si="35"/>
        <v>1.2174377993731893</v>
      </c>
      <c r="AB80">
        <f t="shared" si="42"/>
        <v>0.2213649930096202</v>
      </c>
      <c r="AE80">
        <v>58.004980000000003</v>
      </c>
      <c r="AF80">
        <v>0.33707853562325263</v>
      </c>
      <c r="AG80">
        <f t="shared" si="26"/>
        <v>19.552233717256058</v>
      </c>
      <c r="AH80">
        <f t="shared" si="36"/>
        <v>-6.8180368727926322</v>
      </c>
      <c r="AI80">
        <f t="shared" si="37"/>
        <v>4.2411223550098853E-2</v>
      </c>
      <c r="AJ80">
        <f t="shared" si="43"/>
        <v>1.6358768264637558</v>
      </c>
      <c r="AL80">
        <f t="shared" si="27"/>
        <v>69.152573722267832</v>
      </c>
      <c r="AM80">
        <f t="shared" si="38"/>
        <v>-6.7756256492425333</v>
      </c>
    </row>
    <row r="81" spans="1:39" x14ac:dyDescent="0.35">
      <c r="A81" s="2">
        <v>38899</v>
      </c>
      <c r="B81">
        <v>47.16225</v>
      </c>
      <c r="C81">
        <v>0.22757281339252797</v>
      </c>
      <c r="D81">
        <f t="shared" si="22"/>
        <v>10.732845918421752</v>
      </c>
      <c r="E81">
        <f t="shared" si="28"/>
        <v>1.5077355061897224</v>
      </c>
      <c r="F81">
        <f t="shared" si="29"/>
        <v>5.9923329080846521E-2</v>
      </c>
      <c r="G81">
        <f t="shared" si="39"/>
        <v>0.39602561421755489</v>
      </c>
      <c r="I81">
        <v>100.1142</v>
      </c>
      <c r="J81">
        <v>0.19185169912668198</v>
      </c>
      <c r="K81">
        <f t="shared" si="23"/>
        <v>19.207079376708464</v>
      </c>
      <c r="L81">
        <f t="shared" si="30"/>
        <v>1.0204646907875148</v>
      </c>
      <c r="M81">
        <f t="shared" si="31"/>
        <v>0.4273474863213611</v>
      </c>
      <c r="N81">
        <f t="shared" si="40"/>
        <v>0.11279778114149419</v>
      </c>
      <c r="P81">
        <v>437.041</v>
      </c>
      <c r="Q81">
        <v>1.1912080143392661E-2</v>
      </c>
      <c r="R81">
        <f t="shared" si="24"/>
        <v>5.2060674179484723</v>
      </c>
      <c r="S81">
        <f t="shared" si="32"/>
        <v>-2.9669350330214561</v>
      </c>
      <c r="T81">
        <f t="shared" si="33"/>
        <v>4.414747210130332</v>
      </c>
      <c r="U81">
        <f t="shared" si="41"/>
        <v>2.4003252421220695</v>
      </c>
      <c r="W81">
        <v>65.910030000000006</v>
      </c>
      <c r="X81">
        <v>0.23158487171414477</v>
      </c>
      <c r="Y81">
        <f t="shared" si="25"/>
        <v>15.263765842225435</v>
      </c>
      <c r="Z81">
        <f t="shared" si="34"/>
        <v>4.1994526171741375</v>
      </c>
      <c r="AA81">
        <f t="shared" si="35"/>
        <v>2.7516404400652617</v>
      </c>
      <c r="AB81">
        <f t="shared" si="42"/>
        <v>1.5342026406920724</v>
      </c>
      <c r="AE81">
        <v>58.573929999999997</v>
      </c>
      <c r="AF81">
        <v>0.33707853562325263</v>
      </c>
      <c r="AG81">
        <f t="shared" si="26"/>
        <v>19.744014550098903</v>
      </c>
      <c r="AH81">
        <f t="shared" si="36"/>
        <v>0.98086405684476574</v>
      </c>
      <c r="AI81">
        <f t="shared" si="37"/>
        <v>0.46694812026411014</v>
      </c>
      <c r="AJ81">
        <f t="shared" si="43"/>
        <v>0.42453689671401129</v>
      </c>
      <c r="AL81">
        <f t="shared" si="27"/>
        <v>70.153773105403019</v>
      </c>
      <c r="AM81">
        <f t="shared" si="38"/>
        <v>1.4478121771088759</v>
      </c>
    </row>
    <row r="82" spans="1:39" x14ac:dyDescent="0.35">
      <c r="A82" s="2">
        <v>38930</v>
      </c>
      <c r="B82">
        <v>48.748919999999998</v>
      </c>
      <c r="C82">
        <v>0.22757281339252797</v>
      </c>
      <c r="D82">
        <f t="shared" si="22"/>
        <v>11.093928874247274</v>
      </c>
      <c r="E82">
        <f t="shared" si="28"/>
        <v>3.364279694034944</v>
      </c>
      <c r="F82">
        <f t="shared" si="29"/>
        <v>0.92451392438746005</v>
      </c>
      <c r="G82">
        <f t="shared" si="39"/>
        <v>0.86459059530661353</v>
      </c>
      <c r="I82">
        <v>103.10380000000001</v>
      </c>
      <c r="J82">
        <v>0.19185169912668198</v>
      </c>
      <c r="K82">
        <f t="shared" si="23"/>
        <v>19.780639216417594</v>
      </c>
      <c r="L82">
        <f t="shared" si="30"/>
        <v>2.9861897712812002</v>
      </c>
      <c r="M82">
        <f t="shared" si="31"/>
        <v>0.54642400163371629</v>
      </c>
      <c r="N82">
        <f t="shared" si="40"/>
        <v>0.11907651531235519</v>
      </c>
      <c r="P82">
        <v>452.10840000000002</v>
      </c>
      <c r="Q82">
        <v>1.1912080143392661E-2</v>
      </c>
      <c r="R82">
        <f t="shared" si="24"/>
        <v>5.3855514943010263</v>
      </c>
      <c r="S82">
        <f t="shared" si="32"/>
        <v>3.4475941616461725</v>
      </c>
      <c r="T82">
        <f t="shared" si="33"/>
        <v>1.0078283919986886</v>
      </c>
      <c r="U82">
        <f t="shared" si="41"/>
        <v>3.4069188181316434</v>
      </c>
      <c r="W82">
        <v>66.412329999999997</v>
      </c>
      <c r="X82">
        <v>0.23158487171414477</v>
      </c>
      <c r="Y82">
        <f t="shared" si="25"/>
        <v>15.380090923287447</v>
      </c>
      <c r="Z82">
        <f t="shared" si="34"/>
        <v>0.76209948622385504</v>
      </c>
      <c r="AA82">
        <f t="shared" si="35"/>
        <v>1.6776662834236289</v>
      </c>
      <c r="AB82">
        <f t="shared" si="42"/>
        <v>1.0739741566416328</v>
      </c>
      <c r="AE82">
        <v>60.001300000000001</v>
      </c>
      <c r="AF82">
        <v>0.33707853562325263</v>
      </c>
      <c r="AG82">
        <f t="shared" si="26"/>
        <v>20.225150339491467</v>
      </c>
      <c r="AH82">
        <f t="shared" si="36"/>
        <v>2.436869098590444</v>
      </c>
      <c r="AI82">
        <f t="shared" si="37"/>
        <v>2.8966710570399457E-3</v>
      </c>
      <c r="AJ82">
        <f t="shared" si="43"/>
        <v>0.4640514492070702</v>
      </c>
      <c r="AL82">
        <f t="shared" si="27"/>
        <v>71.86536084774481</v>
      </c>
      <c r="AM82">
        <f t="shared" si="38"/>
        <v>2.4397657696474839</v>
      </c>
    </row>
    <row r="83" spans="1:39" x14ac:dyDescent="0.35">
      <c r="A83" s="2">
        <v>38961</v>
      </c>
      <c r="B83">
        <v>50.397910000000003</v>
      </c>
      <c r="C83">
        <v>0.22757281339252797</v>
      </c>
      <c r="D83">
        <f t="shared" si="22"/>
        <v>11.469194167803419</v>
      </c>
      <c r="E83">
        <f t="shared" si="28"/>
        <v>3.3826185277540555</v>
      </c>
      <c r="F83">
        <f t="shared" si="29"/>
        <v>1.0060937213285825</v>
      </c>
      <c r="G83">
        <f t="shared" si="39"/>
        <v>8.1579796941122495E-2</v>
      </c>
      <c r="I83">
        <v>102.4404</v>
      </c>
      <c r="J83">
        <v>0.19185169912668198</v>
      </c>
      <c r="K83">
        <f t="shared" si="23"/>
        <v>19.653364799216952</v>
      </c>
      <c r="L83">
        <f t="shared" si="30"/>
        <v>-0.64342924315108352</v>
      </c>
      <c r="M83">
        <f t="shared" si="31"/>
        <v>3.0199540495765564</v>
      </c>
      <c r="N83">
        <f t="shared" si="40"/>
        <v>2.4735300479428401</v>
      </c>
      <c r="P83">
        <v>497.48309999999998</v>
      </c>
      <c r="Q83">
        <v>1.1912080143392661E-2</v>
      </c>
      <c r="R83">
        <f t="shared" si="24"/>
        <v>5.926058557183425</v>
      </c>
      <c r="S83">
        <f t="shared" si="32"/>
        <v>10.036243520359278</v>
      </c>
      <c r="T83">
        <f t="shared" si="33"/>
        <v>7.6597187139338052</v>
      </c>
      <c r="U83">
        <f t="shared" si="41"/>
        <v>6.6518903219351166</v>
      </c>
      <c r="W83">
        <v>64.937100000000001</v>
      </c>
      <c r="X83">
        <v>0.23158487171414477</v>
      </c>
      <c r="Y83">
        <f t="shared" si="25"/>
        <v>15.038449972988591</v>
      </c>
      <c r="Z83">
        <f t="shared" si="34"/>
        <v>-2.2213194447476825</v>
      </c>
      <c r="AA83">
        <f t="shared" si="35"/>
        <v>4.5978442511731554</v>
      </c>
      <c r="AB83">
        <f t="shared" si="42"/>
        <v>2.9201779677495265</v>
      </c>
      <c r="AE83">
        <v>63.74239</v>
      </c>
      <c r="AF83">
        <v>0.33707853562325263</v>
      </c>
      <c r="AG83">
        <f t="shared" si="26"/>
        <v>21.486191478326262</v>
      </c>
      <c r="AH83">
        <f t="shared" si="36"/>
        <v>6.2350149080103279</v>
      </c>
      <c r="AI83">
        <f t="shared" si="37"/>
        <v>3.8584901015848549</v>
      </c>
      <c r="AJ83">
        <f t="shared" si="43"/>
        <v>3.855593430527815</v>
      </c>
      <c r="AL83">
        <f t="shared" si="27"/>
        <v>73.573258975518641</v>
      </c>
      <c r="AM83">
        <f t="shared" si="38"/>
        <v>2.3765248064254729</v>
      </c>
    </row>
    <row r="84" spans="1:39" x14ac:dyDescent="0.35">
      <c r="A84" s="2">
        <v>38991</v>
      </c>
      <c r="B84">
        <v>52.930340000000001</v>
      </c>
      <c r="C84">
        <v>0.22757281339252797</v>
      </c>
      <c r="D84">
        <f t="shared" si="22"/>
        <v>12.045506387623059</v>
      </c>
      <c r="E84">
        <f t="shared" si="28"/>
        <v>5.024871071042436</v>
      </c>
      <c r="F84">
        <f t="shared" si="29"/>
        <v>0.55218166634571908</v>
      </c>
      <c r="G84">
        <f t="shared" si="39"/>
        <v>0.45391205498286347</v>
      </c>
      <c r="I84">
        <v>106.75239999999999</v>
      </c>
      <c r="J84">
        <v>0.19185169912668198</v>
      </c>
      <c r="K84">
        <f t="shared" si="23"/>
        <v>20.480629325851204</v>
      </c>
      <c r="L84">
        <f t="shared" si="30"/>
        <v>4.2092768087590438</v>
      </c>
      <c r="M84">
        <f t="shared" si="31"/>
        <v>0.26341259593767319</v>
      </c>
      <c r="N84">
        <f t="shared" si="40"/>
        <v>2.7565414536388833</v>
      </c>
      <c r="P84">
        <v>514.41840000000002</v>
      </c>
      <c r="Q84">
        <v>1.1912080143392661E-2</v>
      </c>
      <c r="R84">
        <f t="shared" si="24"/>
        <v>6.1277932080358237</v>
      </c>
      <c r="S84">
        <f t="shared" si="32"/>
        <v>3.4041960420364115</v>
      </c>
      <c r="T84">
        <f t="shared" si="33"/>
        <v>1.0684933626603055</v>
      </c>
      <c r="U84">
        <f t="shared" si="41"/>
        <v>6.5912253512734997</v>
      </c>
      <c r="W84">
        <v>66.917649999999995</v>
      </c>
      <c r="X84">
        <v>0.23158487171414477</v>
      </c>
      <c r="Y84">
        <f t="shared" si="25"/>
        <v>15.497115390662039</v>
      </c>
      <c r="Z84">
        <f t="shared" si="34"/>
        <v>3.0499514145226669</v>
      </c>
      <c r="AA84">
        <f t="shared" si="35"/>
        <v>1.42273799017405</v>
      </c>
      <c r="AB84">
        <f t="shared" si="42"/>
        <v>3.1751062609991054</v>
      </c>
      <c r="AE84">
        <v>67.381680000000003</v>
      </c>
      <c r="AF84">
        <v>0.33707853562325263</v>
      </c>
      <c r="AG84">
        <f t="shared" si="26"/>
        <v>22.712918022234611</v>
      </c>
      <c r="AH84">
        <f t="shared" si="36"/>
        <v>5.7093717383361442</v>
      </c>
      <c r="AI84">
        <f t="shared" si="37"/>
        <v>1.2366823336394273</v>
      </c>
      <c r="AJ84">
        <f t="shared" si="43"/>
        <v>2.6218077679454277</v>
      </c>
      <c r="AL84">
        <f t="shared" si="27"/>
        <v>76.863962334406736</v>
      </c>
      <c r="AM84">
        <f t="shared" si="38"/>
        <v>4.4726894046967169</v>
      </c>
    </row>
    <row r="85" spans="1:39" x14ac:dyDescent="0.35">
      <c r="A85" s="2">
        <v>39022</v>
      </c>
      <c r="B85">
        <v>54.691789999999997</v>
      </c>
      <c r="C85">
        <v>0.22757281339252797</v>
      </c>
      <c r="D85">
        <f t="shared" si="22"/>
        <v>12.446364519773326</v>
      </c>
      <c r="E85">
        <f t="shared" si="28"/>
        <v>3.3278645102222892</v>
      </c>
      <c r="F85">
        <f t="shared" si="29"/>
        <v>0.32723426210934381</v>
      </c>
      <c r="G85">
        <f t="shared" si="39"/>
        <v>0.22494740423637527</v>
      </c>
      <c r="I85">
        <v>109.73480000000001</v>
      </c>
      <c r="J85">
        <v>0.19185169912668198</v>
      </c>
      <c r="K85">
        <f t="shared" si="23"/>
        <v>21.052807833326625</v>
      </c>
      <c r="L85">
        <f t="shared" si="30"/>
        <v>2.7937545198047253</v>
      </c>
      <c r="M85">
        <f t="shared" si="31"/>
        <v>0.2068757283082201</v>
      </c>
      <c r="N85">
        <f t="shared" si="40"/>
        <v>5.6536867629453091E-2</v>
      </c>
      <c r="P85">
        <v>503.5016</v>
      </c>
      <c r="Q85">
        <v>1.1912080143392661E-2</v>
      </c>
      <c r="R85">
        <f t="shared" si="24"/>
        <v>5.9977514115264343</v>
      </c>
      <c r="S85">
        <f t="shared" si="32"/>
        <v>-2.1221635929041471</v>
      </c>
      <c r="T85">
        <f t="shared" si="33"/>
        <v>5.1227938410170921</v>
      </c>
      <c r="U85">
        <f t="shared" si="41"/>
        <v>4.0543004783567866</v>
      </c>
      <c r="W85">
        <v>71.234729999999999</v>
      </c>
      <c r="X85">
        <v>0.23158487171414477</v>
      </c>
      <c r="Y85">
        <f t="shared" si="25"/>
        <v>16.496885808641739</v>
      </c>
      <c r="Z85">
        <f t="shared" si="34"/>
        <v>6.451332346548333</v>
      </c>
      <c r="AA85">
        <f t="shared" si="35"/>
        <v>3.4507020984353876</v>
      </c>
      <c r="AB85">
        <f t="shared" si="42"/>
        <v>2.0279641082613376</v>
      </c>
      <c r="AE85">
        <v>68.757140000000007</v>
      </c>
      <c r="AF85">
        <v>0.33707853562325263</v>
      </c>
      <c r="AG85">
        <f t="shared" si="26"/>
        <v>23.17655606484297</v>
      </c>
      <c r="AH85">
        <f t="shared" si="36"/>
        <v>2.0412966847962233</v>
      </c>
      <c r="AI85">
        <f t="shared" si="37"/>
        <v>0.95933356331672215</v>
      </c>
      <c r="AJ85">
        <f t="shared" si="43"/>
        <v>0.27734877032270511</v>
      </c>
      <c r="AL85">
        <f t="shared" si="27"/>
        <v>79.170365638111093</v>
      </c>
      <c r="AM85">
        <f t="shared" si="38"/>
        <v>3.0006302481129454</v>
      </c>
    </row>
    <row r="86" spans="1:39" x14ac:dyDescent="0.35">
      <c r="A86" s="2">
        <v>39052</v>
      </c>
      <c r="B86">
        <v>56.294710000000002</v>
      </c>
      <c r="C86">
        <v>0.22757281339252797</v>
      </c>
      <c r="D86">
        <f t="shared" si="22"/>
        <v>12.811145533816479</v>
      </c>
      <c r="E86">
        <f t="shared" si="28"/>
        <v>2.9308238037189849</v>
      </c>
      <c r="F86">
        <f t="shared" si="29"/>
        <v>0.27796587291528674</v>
      </c>
      <c r="G86">
        <f t="shared" si="39"/>
        <v>4.9268389194057072E-2</v>
      </c>
      <c r="I86">
        <v>111.87569999999999</v>
      </c>
      <c r="J86">
        <v>0.19185169912668198</v>
      </c>
      <c r="K86">
        <f t="shared" si="23"/>
        <v>21.463543135986935</v>
      </c>
      <c r="L86">
        <f t="shared" si="30"/>
        <v>1.950976353900491</v>
      </c>
      <c r="M86">
        <f t="shared" si="31"/>
        <v>0.70188157690320718</v>
      </c>
      <c r="N86">
        <f t="shared" si="40"/>
        <v>0.49500584859498709</v>
      </c>
      <c r="P86">
        <v>512.15480000000002</v>
      </c>
      <c r="Q86">
        <v>1.1912080143392661E-2</v>
      </c>
      <c r="R86">
        <f t="shared" si="24"/>
        <v>6.1008290234232394</v>
      </c>
      <c r="S86">
        <f t="shared" si="32"/>
        <v>1.7186042705723326</v>
      </c>
      <c r="T86">
        <f t="shared" si="33"/>
        <v>0.93425366023136558</v>
      </c>
      <c r="U86">
        <f t="shared" si="41"/>
        <v>4.1885401807857265</v>
      </c>
      <c r="W86">
        <v>73.522980000000004</v>
      </c>
      <c r="X86">
        <v>0.23158487171414477</v>
      </c>
      <c r="Y86">
        <f t="shared" si="25"/>
        <v>17.026809891341632</v>
      </c>
      <c r="Z86">
        <f t="shared" si="34"/>
        <v>3.2122673869894758</v>
      </c>
      <c r="AA86">
        <f t="shared" si="35"/>
        <v>0.55940945618577764</v>
      </c>
      <c r="AB86">
        <f t="shared" si="42"/>
        <v>2.8912926422496099</v>
      </c>
      <c r="AE86">
        <v>70.809359999999998</v>
      </c>
      <c r="AF86">
        <v>0.33707853562325263</v>
      </c>
      <c r="AG86">
        <f t="shared" si="26"/>
        <v>23.868315377219719</v>
      </c>
      <c r="AH86">
        <f t="shared" si="36"/>
        <v>2.9847372941922634</v>
      </c>
      <c r="AI86">
        <f t="shared" si="37"/>
        <v>0.33187936338856527</v>
      </c>
      <c r="AJ86">
        <f t="shared" si="43"/>
        <v>0.62745419992815687</v>
      </c>
      <c r="AL86">
        <f t="shared" si="27"/>
        <v>81.270642961788013</v>
      </c>
      <c r="AM86">
        <f t="shared" si="38"/>
        <v>2.6528579308036981</v>
      </c>
    </row>
    <row r="87" spans="1:39" x14ac:dyDescent="0.35">
      <c r="A87" s="2">
        <v>39083</v>
      </c>
      <c r="B87">
        <v>58.733649999999997</v>
      </c>
      <c r="C87">
        <v>0.22261092766708579</v>
      </c>
      <c r="D87">
        <f t="shared" si="22"/>
        <v>13.074752311773933</v>
      </c>
      <c r="E87">
        <f t="shared" si="28"/>
        <v>4.3324497097506853</v>
      </c>
      <c r="F87">
        <f t="shared" si="29"/>
        <v>8.4649047137186351E-2</v>
      </c>
      <c r="G87">
        <f t="shared" si="39"/>
        <v>0.19331682577810039</v>
      </c>
      <c r="I87">
        <v>114.1305</v>
      </c>
      <c r="J87">
        <v>0.19583326053332334</v>
      </c>
      <c r="K87">
        <f t="shared" si="23"/>
        <v>22.350547941298458</v>
      </c>
      <c r="L87">
        <f t="shared" si="30"/>
        <v>2.0154510765072242</v>
      </c>
      <c r="M87">
        <f t="shared" si="31"/>
        <v>2.4016476803806475</v>
      </c>
      <c r="N87">
        <f t="shared" si="40"/>
        <v>1.6997661034774403</v>
      </c>
      <c r="P87">
        <v>545.38250000000005</v>
      </c>
      <c r="Q87">
        <v>1.252367518815746E-2</v>
      </c>
      <c r="R87">
        <f t="shared" si="24"/>
        <v>6.8301932833052863</v>
      </c>
      <c r="S87">
        <f t="shared" si="32"/>
        <v>6.4878236033324432</v>
      </c>
      <c r="T87">
        <f t="shared" si="33"/>
        <v>2.0707248464445716</v>
      </c>
      <c r="U87">
        <f t="shared" si="41"/>
        <v>1.136471186213206</v>
      </c>
      <c r="W87">
        <v>76.226060000000004</v>
      </c>
      <c r="X87">
        <v>0.23103617352999964</v>
      </c>
      <c r="Y87">
        <f t="shared" si="25"/>
        <v>17.610977225668165</v>
      </c>
      <c r="Z87">
        <f t="shared" si="34"/>
        <v>3.6765103917169917</v>
      </c>
      <c r="AA87">
        <f t="shared" si="35"/>
        <v>0.74058836517088</v>
      </c>
      <c r="AB87">
        <f t="shared" si="42"/>
        <v>0.18117890898510236</v>
      </c>
      <c r="AE87">
        <v>73.947559999999996</v>
      </c>
      <c r="AF87">
        <v>0.33799596308143376</v>
      </c>
      <c r="AG87">
        <f t="shared" si="26"/>
        <v>24.993976759722106</v>
      </c>
      <c r="AH87">
        <f t="shared" si="36"/>
        <v>4.431899963507635</v>
      </c>
      <c r="AI87">
        <f t="shared" si="37"/>
        <v>1.4801206619763363E-2</v>
      </c>
      <c r="AJ87">
        <f t="shared" si="43"/>
        <v>0.31707815676880191</v>
      </c>
      <c r="AL87">
        <f t="shared" si="27"/>
        <v>84.860447521767938</v>
      </c>
      <c r="AM87">
        <f t="shared" si="38"/>
        <v>4.4170987568878717</v>
      </c>
    </row>
    <row r="88" spans="1:39" x14ac:dyDescent="0.35">
      <c r="A88" s="2">
        <v>39114</v>
      </c>
      <c r="B88">
        <v>61.484229999999997</v>
      </c>
      <c r="C88">
        <v>0.22261092766708579</v>
      </c>
      <c r="D88">
        <f t="shared" si="22"/>
        <v>13.687061477196465</v>
      </c>
      <c r="E88">
        <f t="shared" si="28"/>
        <v>4.6831416062172115</v>
      </c>
      <c r="F88">
        <f t="shared" si="29"/>
        <v>0.17182502203405559</v>
      </c>
      <c r="G88">
        <f t="shared" si="39"/>
        <v>8.7175974896869235E-2</v>
      </c>
      <c r="I88">
        <v>120.87569999999999</v>
      </c>
      <c r="J88">
        <v>0.19583326053332334</v>
      </c>
      <c r="K88">
        <f t="shared" si="23"/>
        <v>23.671482450247829</v>
      </c>
      <c r="L88">
        <f t="shared" si="30"/>
        <v>5.9100766228133539</v>
      </c>
      <c r="M88">
        <f t="shared" si="31"/>
        <v>1.3987600386301979</v>
      </c>
      <c r="N88">
        <f t="shared" si="40"/>
        <v>1.0028876417504495</v>
      </c>
      <c r="P88">
        <v>583.3501</v>
      </c>
      <c r="Q88">
        <v>1.252367518815746E-2</v>
      </c>
      <c r="R88">
        <f t="shared" si="24"/>
        <v>7.3056871733791731</v>
      </c>
      <c r="S88">
        <f t="shared" si="32"/>
        <v>6.9616461841001342</v>
      </c>
      <c r="T88">
        <f t="shared" si="33"/>
        <v>2.4503295999169783</v>
      </c>
      <c r="U88">
        <f t="shared" si="41"/>
        <v>0.37960475347240674</v>
      </c>
      <c r="W88">
        <v>78.959299999999999</v>
      </c>
      <c r="X88">
        <v>0.23103617352999964</v>
      </c>
      <c r="Y88">
        <f t="shared" si="25"/>
        <v>18.242454536607301</v>
      </c>
      <c r="Z88">
        <f t="shared" si="34"/>
        <v>3.5857028423087689</v>
      </c>
      <c r="AA88">
        <f t="shared" si="35"/>
        <v>0.92561374187438705</v>
      </c>
      <c r="AB88">
        <f t="shared" si="42"/>
        <v>0.18502537670350705</v>
      </c>
      <c r="AE88">
        <v>76.279269999999997</v>
      </c>
      <c r="AF88">
        <v>0.33799596308143376</v>
      </c>
      <c r="AG88">
        <f t="shared" si="26"/>
        <v>25.782085326798718</v>
      </c>
      <c r="AH88">
        <f t="shared" si="36"/>
        <v>3.1531939661024744</v>
      </c>
      <c r="AI88">
        <f t="shared" si="37"/>
        <v>1.3581226180806816</v>
      </c>
      <c r="AJ88">
        <f t="shared" si="43"/>
        <v>1.3433214114609182</v>
      </c>
      <c r="AL88">
        <f t="shared" si="27"/>
        <v>88.688770964229491</v>
      </c>
      <c r="AM88">
        <f t="shared" si="38"/>
        <v>4.511316584183156</v>
      </c>
    </row>
    <row r="89" spans="1:39" x14ac:dyDescent="0.35">
      <c r="A89" s="2">
        <v>39142</v>
      </c>
      <c r="B89">
        <v>59.058839999999996</v>
      </c>
      <c r="C89">
        <v>0.22261092766708579</v>
      </c>
      <c r="D89">
        <f t="shared" si="22"/>
        <v>13.147143159341992</v>
      </c>
      <c r="E89">
        <f t="shared" si="28"/>
        <v>-3.9447350971135164</v>
      </c>
      <c r="F89">
        <f t="shared" si="29"/>
        <v>2.021778318462597</v>
      </c>
      <c r="G89">
        <f t="shared" si="39"/>
        <v>1.8499532964285414</v>
      </c>
      <c r="I89">
        <v>119.1713</v>
      </c>
      <c r="J89">
        <v>0.19583326053332334</v>
      </c>
      <c r="K89">
        <f t="shared" si="23"/>
        <v>23.337704240994835</v>
      </c>
      <c r="L89">
        <f t="shared" si="30"/>
        <v>-1.4100435405958289</v>
      </c>
      <c r="M89">
        <f t="shared" si="31"/>
        <v>0.51291323805509048</v>
      </c>
      <c r="N89">
        <f t="shared" si="40"/>
        <v>0.88584680057510745</v>
      </c>
      <c r="P89">
        <v>594.67840000000001</v>
      </c>
      <c r="Q89">
        <v>1.252367518815746E-2</v>
      </c>
      <c r="R89">
        <f t="shared" si="24"/>
        <v>7.4475591230131775</v>
      </c>
      <c r="S89">
        <f t="shared" si="32"/>
        <v>1.9419384688542873</v>
      </c>
      <c r="T89">
        <f t="shared" si="33"/>
        <v>3.8648952475052067</v>
      </c>
      <c r="U89">
        <f t="shared" si="41"/>
        <v>1.4145656475882284</v>
      </c>
      <c r="W89">
        <v>76.357280000000003</v>
      </c>
      <c r="X89">
        <v>0.23103617352999964</v>
      </c>
      <c r="Y89">
        <f t="shared" si="25"/>
        <v>17.64129379235877</v>
      </c>
      <c r="Z89">
        <f t="shared" si="34"/>
        <v>-3.2953939561267576</v>
      </c>
      <c r="AA89">
        <f t="shared" si="35"/>
        <v>1.3724371774758382</v>
      </c>
      <c r="AB89">
        <f t="shared" si="42"/>
        <v>0.4468234356014511</v>
      </c>
      <c r="AE89">
        <v>75.177300000000002</v>
      </c>
      <c r="AF89">
        <v>0.33799596308143376</v>
      </c>
      <c r="AG89">
        <f t="shared" si="26"/>
        <v>25.40962391536187</v>
      </c>
      <c r="AH89">
        <f t="shared" si="36"/>
        <v>-1.4446520004714136</v>
      </c>
      <c r="AI89">
        <f t="shared" si="37"/>
        <v>0.47830477817950579</v>
      </c>
      <c r="AJ89">
        <f t="shared" si="43"/>
        <v>0.87981783990117579</v>
      </c>
      <c r="AL89">
        <f t="shared" si="27"/>
        <v>86.983324231070654</v>
      </c>
      <c r="AM89">
        <f t="shared" si="38"/>
        <v>-1.9229567786509194</v>
      </c>
    </row>
    <row r="90" spans="1:39" x14ac:dyDescent="0.35">
      <c r="A90" s="2">
        <v>39173</v>
      </c>
      <c r="B90">
        <v>61.919170000000001</v>
      </c>
      <c r="C90">
        <v>0.22261092766708579</v>
      </c>
      <c r="D90">
        <f t="shared" si="22"/>
        <v>13.783883874075988</v>
      </c>
      <c r="E90">
        <f t="shared" si="28"/>
        <v>4.8431868963223934</v>
      </c>
      <c r="F90">
        <f t="shared" si="29"/>
        <v>0.34138475094072085</v>
      </c>
      <c r="G90">
        <f t="shared" si="39"/>
        <v>1.6803935675218762</v>
      </c>
      <c r="I90">
        <v>124.8533</v>
      </c>
      <c r="J90">
        <v>0.19583326053332334</v>
      </c>
      <c r="K90">
        <f t="shared" si="23"/>
        <v>24.450428827345181</v>
      </c>
      <c r="L90">
        <f t="shared" si="30"/>
        <v>4.7679265057946063</v>
      </c>
      <c r="M90">
        <f t="shared" si="31"/>
        <v>0.41664514146850795</v>
      </c>
      <c r="N90">
        <f t="shared" si="40"/>
        <v>9.626809658658253E-2</v>
      </c>
      <c r="P90">
        <v>614.41970000000003</v>
      </c>
      <c r="Q90">
        <v>1.252367518815746E-2</v>
      </c>
      <c r="R90">
        <f t="shared" si="24"/>
        <v>7.6947927520051502</v>
      </c>
      <c r="S90">
        <f t="shared" si="32"/>
        <v>3.3196598363081753</v>
      </c>
      <c r="T90">
        <f t="shared" si="33"/>
        <v>1.864911810954939</v>
      </c>
      <c r="U90">
        <f t="shared" si="41"/>
        <v>1.9999834365502678</v>
      </c>
      <c r="W90">
        <v>80.006129999999999</v>
      </c>
      <c r="X90">
        <v>0.23103617352999964</v>
      </c>
      <c r="Y90">
        <f t="shared" si="25"/>
        <v>18.484310134143708</v>
      </c>
      <c r="Z90">
        <f t="shared" si="34"/>
        <v>4.7786537184142608</v>
      </c>
      <c r="AA90">
        <f t="shared" si="35"/>
        <v>0.40591792884885347</v>
      </c>
      <c r="AB90">
        <f t="shared" si="42"/>
        <v>0.96651924862698468</v>
      </c>
      <c r="AE90">
        <v>80.118179999999995</v>
      </c>
      <c r="AF90">
        <v>0.33799596308143376</v>
      </c>
      <c r="AG90">
        <f t="shared" si="26"/>
        <v>27.079621409431663</v>
      </c>
      <c r="AH90">
        <f t="shared" si="36"/>
        <v>6.5723030755294287</v>
      </c>
      <c r="AI90">
        <f t="shared" si="37"/>
        <v>1.3877314282663145</v>
      </c>
      <c r="AJ90">
        <f t="shared" si="43"/>
        <v>0.90942665008680867</v>
      </c>
      <c r="AL90">
        <f t="shared" si="27"/>
        <v>91.493036997001681</v>
      </c>
      <c r="AM90">
        <f t="shared" si="38"/>
        <v>5.1845716472631143</v>
      </c>
    </row>
    <row r="91" spans="1:39" x14ac:dyDescent="0.35">
      <c r="A91" s="2">
        <v>39203</v>
      </c>
      <c r="B91">
        <v>64.100660000000005</v>
      </c>
      <c r="C91">
        <v>0.22261092766708579</v>
      </c>
      <c r="D91">
        <f t="shared" si="22"/>
        <v>14.26950738667246</v>
      </c>
      <c r="E91">
        <f t="shared" si="28"/>
        <v>3.5231253907311855</v>
      </c>
      <c r="F91">
        <f t="shared" si="29"/>
        <v>0.60147431975330345</v>
      </c>
      <c r="G91">
        <f t="shared" si="39"/>
        <v>0.26008956881258261</v>
      </c>
      <c r="I91">
        <v>129.99709999999999</v>
      </c>
      <c r="J91">
        <v>0.19583326053332334</v>
      </c>
      <c r="K91">
        <f t="shared" si="23"/>
        <v>25.457755952876486</v>
      </c>
      <c r="L91">
        <f t="shared" si="30"/>
        <v>4.1198750854002153</v>
      </c>
      <c r="M91">
        <f t="shared" si="31"/>
        <v>1.1982240144223333</v>
      </c>
      <c r="N91">
        <f t="shared" si="40"/>
        <v>0.78157887295382533</v>
      </c>
      <c r="P91">
        <v>638.57569999999998</v>
      </c>
      <c r="Q91">
        <v>1.252367518815746E-2</v>
      </c>
      <c r="R91">
        <f t="shared" si="24"/>
        <v>7.9973146498502814</v>
      </c>
      <c r="S91">
        <f t="shared" si="32"/>
        <v>3.9315145656950712</v>
      </c>
      <c r="T91">
        <f t="shared" si="33"/>
        <v>1.0098634947171892</v>
      </c>
      <c r="U91">
        <f t="shared" si="41"/>
        <v>0.85504831623774979</v>
      </c>
      <c r="W91">
        <v>83.179829999999995</v>
      </c>
      <c r="X91">
        <v>0.23103617352999964</v>
      </c>
      <c r="Y91">
        <f t="shared" si="25"/>
        <v>19.217549638075869</v>
      </c>
      <c r="Z91">
        <f t="shared" si="34"/>
        <v>3.9668210423376316</v>
      </c>
      <c r="AA91">
        <f t="shared" si="35"/>
        <v>1.0451699713597495</v>
      </c>
      <c r="AB91">
        <f t="shared" si="42"/>
        <v>0.63925204251089607</v>
      </c>
      <c r="AE91">
        <v>80.545389999999998</v>
      </c>
      <c r="AF91">
        <v>0.33799596308143376</v>
      </c>
      <c r="AG91">
        <f t="shared" si="26"/>
        <v>27.224016664819683</v>
      </c>
      <c r="AH91">
        <f t="shared" si="36"/>
        <v>0.53322479367354791</v>
      </c>
      <c r="AI91">
        <f t="shared" si="37"/>
        <v>2.3884262773043341</v>
      </c>
      <c r="AJ91">
        <f t="shared" si="43"/>
        <v>1.0006948490380196</v>
      </c>
      <c r="AL91">
        <f t="shared" si="27"/>
        <v>94.166144292294774</v>
      </c>
      <c r="AM91">
        <f t="shared" si="38"/>
        <v>2.921651070977882</v>
      </c>
    </row>
    <row r="92" spans="1:39" x14ac:dyDescent="0.35">
      <c r="A92" s="2">
        <v>39234</v>
      </c>
      <c r="B92">
        <v>64.232089999999999</v>
      </c>
      <c r="C92">
        <v>0.22261092766708579</v>
      </c>
      <c r="D92">
        <f t="shared" si="22"/>
        <v>14.298765140895744</v>
      </c>
      <c r="E92">
        <f t="shared" si="28"/>
        <v>0.20503689041577733</v>
      </c>
      <c r="F92">
        <f t="shared" si="29"/>
        <v>1.6426244204575058</v>
      </c>
      <c r="G92">
        <f t="shared" si="39"/>
        <v>1.0411501007042023</v>
      </c>
      <c r="I92">
        <v>134.45500000000001</v>
      </c>
      <c r="J92">
        <v>0.19583326053332334</v>
      </c>
      <c r="K92">
        <f t="shared" si="23"/>
        <v>26.330761045007993</v>
      </c>
      <c r="L92">
        <f t="shared" si="30"/>
        <v>3.4292303443692385</v>
      </c>
      <c r="M92">
        <f t="shared" si="31"/>
        <v>1.5815690334959553</v>
      </c>
      <c r="N92">
        <f t="shared" si="40"/>
        <v>0.38334501907362206</v>
      </c>
      <c r="P92">
        <v>655.44320000000005</v>
      </c>
      <c r="Q92">
        <v>1.252367518815746E-2</v>
      </c>
      <c r="R92">
        <f t="shared" si="24"/>
        <v>8.208557741086528</v>
      </c>
      <c r="S92">
        <f t="shared" si="32"/>
        <v>2.6414252844259689</v>
      </c>
      <c r="T92">
        <f t="shared" si="33"/>
        <v>0.7937639735526858</v>
      </c>
      <c r="U92">
        <f t="shared" si="41"/>
        <v>0.21609952116450337</v>
      </c>
      <c r="W92">
        <v>85.905529999999999</v>
      </c>
      <c r="X92">
        <v>0.23103617352999964</v>
      </c>
      <c r="Y92">
        <f t="shared" si="25"/>
        <v>19.84728493626659</v>
      </c>
      <c r="Z92">
        <f t="shared" si="34"/>
        <v>3.2768761369192489</v>
      </c>
      <c r="AA92">
        <f t="shared" si="35"/>
        <v>1.4292148260459658</v>
      </c>
      <c r="AB92">
        <f t="shared" si="42"/>
        <v>0.3840448546862163</v>
      </c>
      <c r="AE92">
        <v>80.535420000000002</v>
      </c>
      <c r="AF92">
        <v>0.33799596308143376</v>
      </c>
      <c r="AG92">
        <f t="shared" si="26"/>
        <v>27.220646845067762</v>
      </c>
      <c r="AH92">
        <f t="shared" si="36"/>
        <v>-1.2378113756716935E-2</v>
      </c>
      <c r="AI92">
        <f t="shared" si="37"/>
        <v>1.86003942463</v>
      </c>
      <c r="AJ92">
        <f t="shared" si="43"/>
        <v>0.52838685267433405</v>
      </c>
      <c r="AL92">
        <f t="shared" si="27"/>
        <v>95.906015708324617</v>
      </c>
      <c r="AM92">
        <f t="shared" si="38"/>
        <v>1.8476613108732831</v>
      </c>
    </row>
    <row r="93" spans="1:39" x14ac:dyDescent="0.35">
      <c r="A93" s="2">
        <v>39264</v>
      </c>
      <c r="B93">
        <v>66.653419999999997</v>
      </c>
      <c r="C93">
        <v>0.22261092766708579</v>
      </c>
      <c r="D93">
        <f t="shared" si="22"/>
        <v>14.837779658383889</v>
      </c>
      <c r="E93">
        <f t="shared" si="28"/>
        <v>3.7696578143417092</v>
      </c>
      <c r="F93">
        <f t="shared" si="29"/>
        <v>1.4824098593700263</v>
      </c>
      <c r="G93">
        <f t="shared" si="39"/>
        <v>0.16021456108747945</v>
      </c>
      <c r="I93">
        <v>135.4819</v>
      </c>
      <c r="J93">
        <v>0.19583326053332334</v>
      </c>
      <c r="K93">
        <f t="shared" si="23"/>
        <v>26.531862220249657</v>
      </c>
      <c r="L93">
        <f t="shared" si="30"/>
        <v>0.76374995351602415</v>
      </c>
      <c r="M93">
        <f t="shared" si="31"/>
        <v>1.5234980014556587</v>
      </c>
      <c r="N93">
        <f t="shared" si="40"/>
        <v>5.8071032040296622E-2</v>
      </c>
      <c r="P93">
        <v>697.87630000000001</v>
      </c>
      <c r="Q93">
        <v>1.252367518815746E-2</v>
      </c>
      <c r="R93">
        <f t="shared" si="24"/>
        <v>8.7399761027131326</v>
      </c>
      <c r="S93">
        <f t="shared" si="32"/>
        <v>6.4739553328190702</v>
      </c>
      <c r="T93">
        <f t="shared" si="33"/>
        <v>4.1867073778473873</v>
      </c>
      <c r="U93">
        <f t="shared" si="41"/>
        <v>3.3929434042947015</v>
      </c>
      <c r="W93">
        <v>89.067160000000001</v>
      </c>
      <c r="X93">
        <v>0.23103617352999964</v>
      </c>
      <c r="Y93">
        <f t="shared" si="25"/>
        <v>20.577735833584242</v>
      </c>
      <c r="Z93">
        <f t="shared" si="34"/>
        <v>3.6803567826192429</v>
      </c>
      <c r="AA93">
        <f t="shared" si="35"/>
        <v>1.3931088276475601</v>
      </c>
      <c r="AB93">
        <f t="shared" si="42"/>
        <v>3.6105998398405781E-2</v>
      </c>
      <c r="AE93">
        <v>81.102360000000004</v>
      </c>
      <c r="AF93">
        <v>0.33799596308143376</v>
      </c>
      <c r="AG93">
        <f t="shared" si="26"/>
        <v>27.41227027637715</v>
      </c>
      <c r="AH93">
        <f t="shared" si="36"/>
        <v>0.70396354796435912</v>
      </c>
      <c r="AI93">
        <f t="shared" si="37"/>
        <v>1.5832844070073238</v>
      </c>
      <c r="AJ93">
        <f t="shared" si="43"/>
        <v>0.27675501762267629</v>
      </c>
      <c r="AL93">
        <f t="shared" si="27"/>
        <v>98.099624091308087</v>
      </c>
      <c r="AM93">
        <f t="shared" si="38"/>
        <v>2.2872479549716829</v>
      </c>
    </row>
    <row r="94" spans="1:39" x14ac:dyDescent="0.35">
      <c r="A94" s="2">
        <v>39295</v>
      </c>
      <c r="B94">
        <v>64.706339999999997</v>
      </c>
      <c r="C94">
        <v>0.22261092766708579</v>
      </c>
      <c r="D94">
        <f t="shared" si="22"/>
        <v>14.40433837334186</v>
      </c>
      <c r="E94">
        <f t="shared" si="28"/>
        <v>-2.921200442527927</v>
      </c>
      <c r="F94">
        <f t="shared" si="29"/>
        <v>2.4072903866697919</v>
      </c>
      <c r="G94">
        <f t="shared" si="39"/>
        <v>0.92488052729976555</v>
      </c>
      <c r="I94">
        <v>131.0428</v>
      </c>
      <c r="J94">
        <v>0.19583326053332334</v>
      </c>
      <c r="K94">
        <f t="shared" si="23"/>
        <v>25.662538793416182</v>
      </c>
      <c r="L94">
        <f t="shared" si="30"/>
        <v>-3.2765262370840653</v>
      </c>
      <c r="M94">
        <f t="shared" si="31"/>
        <v>2.0519645921136536</v>
      </c>
      <c r="N94">
        <f t="shared" si="40"/>
        <v>0.52846659065799484</v>
      </c>
      <c r="P94">
        <v>657.75689999999997</v>
      </c>
      <c r="Q94">
        <v>1.252367518815746E-2</v>
      </c>
      <c r="R94">
        <f t="shared" si="24"/>
        <v>8.2375337683693672</v>
      </c>
      <c r="S94">
        <f t="shared" si="32"/>
        <v>-5.7487838460770213</v>
      </c>
      <c r="T94">
        <f t="shared" si="33"/>
        <v>0.42029301687930243</v>
      </c>
      <c r="U94">
        <f t="shared" si="41"/>
        <v>3.7664143609680849</v>
      </c>
      <c r="W94">
        <v>81.375770000000003</v>
      </c>
      <c r="X94">
        <v>0.23103617352999964</v>
      </c>
      <c r="Y94">
        <f t="shared" si="25"/>
        <v>18.800746518857338</v>
      </c>
      <c r="Z94">
        <f t="shared" si="34"/>
        <v>-8.635494833336999</v>
      </c>
      <c r="AA94">
        <f t="shared" si="35"/>
        <v>3.3070040041392801</v>
      </c>
      <c r="AB94">
        <f t="shared" si="42"/>
        <v>1.91389517649172</v>
      </c>
      <c r="AE94">
        <v>76.235339999999994</v>
      </c>
      <c r="AF94">
        <v>0.33799596308143376</v>
      </c>
      <c r="AG94">
        <f t="shared" si="26"/>
        <v>25.76723716414055</v>
      </c>
      <c r="AH94">
        <f t="shared" si="36"/>
        <v>-6.0010830757576077</v>
      </c>
      <c r="AI94">
        <f t="shared" si="37"/>
        <v>0.67259224655988881</v>
      </c>
      <c r="AJ94">
        <f t="shared" si="43"/>
        <v>0.91069216044743495</v>
      </c>
      <c r="AL94">
        <f t="shared" si="27"/>
        <v>92.872394618125298</v>
      </c>
      <c r="AM94">
        <f t="shared" si="38"/>
        <v>-5.3284908291977189</v>
      </c>
    </row>
    <row r="95" spans="1:39" x14ac:dyDescent="0.35">
      <c r="A95" s="2">
        <v>39326</v>
      </c>
      <c r="B95">
        <v>65.019329999999997</v>
      </c>
      <c r="C95">
        <v>0.22261092766708579</v>
      </c>
      <c r="D95">
        <f t="shared" si="22"/>
        <v>14.474013367592381</v>
      </c>
      <c r="E95">
        <f t="shared" si="28"/>
        <v>0.48370839704423574</v>
      </c>
      <c r="F95">
        <f t="shared" si="29"/>
        <v>1.4529536653163699</v>
      </c>
      <c r="G95">
        <f t="shared" si="39"/>
        <v>0.95433672135342196</v>
      </c>
      <c r="I95">
        <v>139.28440000000001</v>
      </c>
      <c r="J95">
        <v>0.19583326053332334</v>
      </c>
      <c r="K95">
        <f t="shared" si="23"/>
        <v>27.276518193427624</v>
      </c>
      <c r="L95">
        <f t="shared" si="30"/>
        <v>6.2892429038451603</v>
      </c>
      <c r="M95">
        <f t="shared" si="31"/>
        <v>4.3525808414845546</v>
      </c>
      <c r="N95">
        <f t="shared" si="40"/>
        <v>2.300616249370901</v>
      </c>
      <c r="P95">
        <v>640.89290000000005</v>
      </c>
      <c r="Q95">
        <v>1.252367518815746E-2</v>
      </c>
      <c r="R95">
        <f t="shared" si="24"/>
        <v>8.0263345099962802</v>
      </c>
      <c r="S95">
        <f t="shared" si="32"/>
        <v>-2.5638651605174978</v>
      </c>
      <c r="T95">
        <f t="shared" si="33"/>
        <v>4.5005272228781035</v>
      </c>
      <c r="U95">
        <f t="shared" si="41"/>
        <v>4.080234205998801</v>
      </c>
      <c r="W95">
        <v>84.796850000000006</v>
      </c>
      <c r="X95">
        <v>0.23103617352999964</v>
      </c>
      <c r="Y95">
        <f t="shared" si="25"/>
        <v>19.59113975139735</v>
      </c>
      <c r="Z95">
        <f t="shared" si="34"/>
        <v>4.2040523856179846</v>
      </c>
      <c r="AA95">
        <f t="shared" si="35"/>
        <v>2.2673903232573789</v>
      </c>
      <c r="AB95">
        <f t="shared" si="42"/>
        <v>1.0396136808819012</v>
      </c>
      <c r="AE95">
        <v>74.861879999999999</v>
      </c>
      <c r="AF95">
        <v>0.33799596308143376</v>
      </c>
      <c r="AG95">
        <f t="shared" si="26"/>
        <v>25.303013228686723</v>
      </c>
      <c r="AH95">
        <f t="shared" si="36"/>
        <v>-1.8016053971819268</v>
      </c>
      <c r="AI95">
        <f t="shared" si="37"/>
        <v>3.7382674595425325</v>
      </c>
      <c r="AJ95">
        <f t="shared" si="43"/>
        <v>3.0656752129826437</v>
      </c>
      <c r="AL95">
        <f t="shared" si="27"/>
        <v>94.671019051100359</v>
      </c>
      <c r="AM95">
        <f t="shared" si="38"/>
        <v>1.9366620623606057</v>
      </c>
    </row>
    <row r="96" spans="1:39" x14ac:dyDescent="0.35">
      <c r="A96" s="2">
        <v>39356</v>
      </c>
      <c r="B96">
        <v>66.721170000000001</v>
      </c>
      <c r="C96">
        <v>0.22261092766708579</v>
      </c>
      <c r="D96">
        <f t="shared" si="22"/>
        <v>14.852861548733335</v>
      </c>
      <c r="E96">
        <f t="shared" si="28"/>
        <v>2.6174369991201152</v>
      </c>
      <c r="F96">
        <f t="shared" si="29"/>
        <v>4.1156721728818901E-2</v>
      </c>
      <c r="G96">
        <f t="shared" si="39"/>
        <v>1.411796943587551</v>
      </c>
      <c r="I96">
        <v>143.54650000000001</v>
      </c>
      <c r="J96">
        <v>0.19583326053332334</v>
      </c>
      <c r="K96">
        <f t="shared" si="23"/>
        <v>28.111179133146699</v>
      </c>
      <c r="L96">
        <f t="shared" si="30"/>
        <v>3.0599981045974944</v>
      </c>
      <c r="M96">
        <f t="shared" si="31"/>
        <v>0.48371782720619816</v>
      </c>
      <c r="N96">
        <f t="shared" si="40"/>
        <v>3.8688630142783564</v>
      </c>
      <c r="P96">
        <v>668.29110000000003</v>
      </c>
      <c r="Q96">
        <v>1.252367518815746E-2</v>
      </c>
      <c r="R96">
        <f t="shared" si="24"/>
        <v>8.3694606675364565</v>
      </c>
      <c r="S96">
        <f t="shared" si="32"/>
        <v>4.2750044508216511</v>
      </c>
      <c r="T96">
        <f t="shared" si="33"/>
        <v>1.6987241734303549</v>
      </c>
      <c r="U96">
        <f t="shared" si="41"/>
        <v>2.8018030494477486</v>
      </c>
      <c r="W96">
        <v>87.009690000000006</v>
      </c>
      <c r="X96">
        <v>0.23103617352999964</v>
      </c>
      <c r="Y96">
        <f t="shared" si="25"/>
        <v>20.102385837631477</v>
      </c>
      <c r="Z96">
        <f t="shared" si="34"/>
        <v>2.6095780680532421</v>
      </c>
      <c r="AA96">
        <f t="shared" si="35"/>
        <v>3.3297790661945825E-2</v>
      </c>
      <c r="AB96">
        <f t="shared" si="42"/>
        <v>2.2340925325954331</v>
      </c>
      <c r="AE96">
        <v>75.959850000000003</v>
      </c>
      <c r="AF96">
        <v>0.33799596308143376</v>
      </c>
      <c r="AG96">
        <f t="shared" si="26"/>
        <v>25.674122656271248</v>
      </c>
      <c r="AH96">
        <f t="shared" si="36"/>
        <v>1.4666610029029581</v>
      </c>
      <c r="AI96">
        <f t="shared" si="37"/>
        <v>1.1096192744883382</v>
      </c>
      <c r="AJ96">
        <f t="shared" si="43"/>
        <v>2.6286481850541943</v>
      </c>
      <c r="AL96">
        <f t="shared" si="27"/>
        <v>97.110009843319204</v>
      </c>
      <c r="AM96">
        <f t="shared" si="38"/>
        <v>2.5762802773912963</v>
      </c>
    </row>
    <row r="97" spans="1:39" x14ac:dyDescent="0.35">
      <c r="A97" s="2">
        <v>39387</v>
      </c>
      <c r="B97">
        <v>62.694209999999998</v>
      </c>
      <c r="C97">
        <v>0.22261092766708579</v>
      </c>
      <c r="D97">
        <f t="shared" si="22"/>
        <v>13.956416247455087</v>
      </c>
      <c r="E97">
        <f t="shared" si="28"/>
        <v>-6.0355056723375817</v>
      </c>
      <c r="F97">
        <f t="shared" si="29"/>
        <v>0.88404397501382626</v>
      </c>
      <c r="G97">
        <f t="shared" si="39"/>
        <v>0.84288725328500735</v>
      </c>
      <c r="I97">
        <v>140.38329999999999</v>
      </c>
      <c r="J97">
        <v>0.19583326053332334</v>
      </c>
      <c r="K97">
        <f t="shared" si="23"/>
        <v>27.491719363427688</v>
      </c>
      <c r="L97">
        <f t="shared" si="30"/>
        <v>-2.203606496849464</v>
      </c>
      <c r="M97">
        <f t="shared" si="31"/>
        <v>2.9478552004742915</v>
      </c>
      <c r="N97">
        <f t="shared" si="40"/>
        <v>2.4641373732680933</v>
      </c>
      <c r="P97">
        <v>583.67629999999997</v>
      </c>
      <c r="Q97">
        <v>1.252367518815746E-2</v>
      </c>
      <c r="R97">
        <f t="shared" si="24"/>
        <v>7.3097723962255499</v>
      </c>
      <c r="S97">
        <f t="shared" si="32"/>
        <v>-12.661368676015595</v>
      </c>
      <c r="T97">
        <f t="shared" si="33"/>
        <v>7.5099069786918395</v>
      </c>
      <c r="U97">
        <f t="shared" si="41"/>
        <v>5.8111828052614847</v>
      </c>
      <c r="W97">
        <v>86.104640000000003</v>
      </c>
      <c r="X97">
        <v>0.23103617352999964</v>
      </c>
      <c r="Y97">
        <f t="shared" si="25"/>
        <v>19.89328654877815</v>
      </c>
      <c r="Z97">
        <f t="shared" si="34"/>
        <v>-1.0401715027372305</v>
      </c>
      <c r="AA97">
        <f t="shared" si="35"/>
        <v>4.111290194586525</v>
      </c>
      <c r="AB97">
        <f t="shared" si="42"/>
        <v>4.0779924039245792</v>
      </c>
      <c r="AE97">
        <v>69.397959999999998</v>
      </c>
      <c r="AF97">
        <v>0.33799596308143376</v>
      </c>
      <c r="AG97">
        <f t="shared" si="26"/>
        <v>23.456230326086818</v>
      </c>
      <c r="AH97">
        <f t="shared" si="36"/>
        <v>-8.638629486498461</v>
      </c>
      <c r="AI97">
        <f t="shared" si="37"/>
        <v>3.4871677891747055</v>
      </c>
      <c r="AJ97">
        <f t="shared" si="43"/>
        <v>2.3775485146863673</v>
      </c>
      <c r="AL97">
        <f t="shared" si="27"/>
        <v>92.107424881973287</v>
      </c>
      <c r="AM97">
        <f t="shared" si="38"/>
        <v>-5.1514616973237555</v>
      </c>
    </row>
    <row r="98" spans="1:39" x14ac:dyDescent="0.35">
      <c r="A98" s="2">
        <v>39417</v>
      </c>
      <c r="B98">
        <v>61.000509999999998</v>
      </c>
      <c r="C98">
        <v>0.22261092766708579</v>
      </c>
      <c r="D98">
        <f t="shared" si="22"/>
        <v>13.579380119265343</v>
      </c>
      <c r="E98">
        <f t="shared" si="28"/>
        <v>-2.7015253880701251</v>
      </c>
      <c r="F98">
        <f t="shared" si="29"/>
        <v>4.203524415451465E-2</v>
      </c>
      <c r="G98">
        <f t="shared" si="39"/>
        <v>0.8420087308593116</v>
      </c>
      <c r="I98">
        <v>137.0215</v>
      </c>
      <c r="J98">
        <v>0.19583326053332334</v>
      </c>
      <c r="K98">
        <f t="shared" si="23"/>
        <v>26.833367108166765</v>
      </c>
      <c r="L98">
        <f t="shared" si="30"/>
        <v>-2.3947292876004389</v>
      </c>
      <c r="M98">
        <f t="shared" si="31"/>
        <v>0.34883134462420085</v>
      </c>
      <c r="N98">
        <f t="shared" si="40"/>
        <v>2.5990238558500907</v>
      </c>
      <c r="P98">
        <v>517.97109999999998</v>
      </c>
      <c r="Q98">
        <v>1.25236751881575E-2</v>
      </c>
      <c r="R98">
        <f t="shared" si="24"/>
        <v>6.486901813252647</v>
      </c>
      <c r="S98">
        <f t="shared" si="32"/>
        <v>-11.257130022240069</v>
      </c>
      <c r="T98">
        <f t="shared" si="33"/>
        <v>8.5135693900154301</v>
      </c>
      <c r="U98">
        <f t="shared" si="41"/>
        <v>1.0036624113235906</v>
      </c>
      <c r="W98">
        <v>84.445390000000003</v>
      </c>
      <c r="X98">
        <v>0.23103617352999964</v>
      </c>
      <c r="Y98">
        <f t="shared" si="25"/>
        <v>19.509939777848498</v>
      </c>
      <c r="Z98">
        <f t="shared" si="34"/>
        <v>-1.9270157798697007</v>
      </c>
      <c r="AA98">
        <f t="shared" si="35"/>
        <v>0.81654485235493901</v>
      </c>
      <c r="AB98">
        <f t="shared" si="42"/>
        <v>3.294745342231586</v>
      </c>
      <c r="AE98">
        <v>68.553520000000006</v>
      </c>
      <c r="AF98">
        <v>0.33799596308143376</v>
      </c>
      <c r="AG98">
        <f t="shared" si="26"/>
        <v>23.170813015022333</v>
      </c>
      <c r="AH98">
        <f t="shared" si="36"/>
        <v>-1.2168081021401655</v>
      </c>
      <c r="AI98">
        <f t="shared" si="37"/>
        <v>1.5267525300844742</v>
      </c>
      <c r="AJ98">
        <f t="shared" si="43"/>
        <v>1.9604152590902313</v>
      </c>
      <c r="AL98">
        <f t="shared" si="27"/>
        <v>89.580401833555584</v>
      </c>
      <c r="AM98">
        <f t="shared" si="38"/>
        <v>-2.7435606322246398</v>
      </c>
    </row>
    <row r="99" spans="1:39" x14ac:dyDescent="0.35">
      <c r="A99" s="2">
        <v>39448</v>
      </c>
      <c r="B99">
        <v>54.878779999999999</v>
      </c>
      <c r="C99">
        <v>0.22141294300493997</v>
      </c>
      <c r="D99">
        <f t="shared" si="22"/>
        <v>12.150872188320639</v>
      </c>
      <c r="E99">
        <f t="shared" si="28"/>
        <v>-10.035539047132557</v>
      </c>
      <c r="F99">
        <f t="shared" si="29"/>
        <v>0.15885273795296406</v>
      </c>
      <c r="G99">
        <f t="shared" si="39"/>
        <v>0.11681749379844941</v>
      </c>
      <c r="I99">
        <v>124.17700000000001</v>
      </c>
      <c r="J99">
        <v>0.19731673581161527</v>
      </c>
      <c r="K99">
        <f t="shared" si="23"/>
        <v>24.502200302878951</v>
      </c>
      <c r="L99">
        <f t="shared" si="30"/>
        <v>-9.374076331086723</v>
      </c>
      <c r="M99">
        <f t="shared" si="31"/>
        <v>0.50260997809287034</v>
      </c>
      <c r="N99">
        <f t="shared" si="40"/>
        <v>0.15377863346866949</v>
      </c>
      <c r="P99">
        <v>450.81400000000002</v>
      </c>
      <c r="Q99">
        <v>1.2797022741657079E-2</v>
      </c>
      <c r="R99">
        <f t="shared" si="24"/>
        <v>5.7690770102573952</v>
      </c>
      <c r="S99">
        <f t="shared" si="32"/>
        <v>-12.965414479688143</v>
      </c>
      <c r="T99">
        <f t="shared" si="33"/>
        <v>3.0887281705085492</v>
      </c>
      <c r="U99">
        <f t="shared" si="41"/>
        <v>5.4248412195068809</v>
      </c>
      <c r="W99">
        <v>75.639279999999999</v>
      </c>
      <c r="X99">
        <v>0.23208859737971826</v>
      </c>
      <c r="Y99">
        <f t="shared" si="25"/>
        <v>17.555014402011775</v>
      </c>
      <c r="Z99">
        <f t="shared" si="34"/>
        <v>-10.428171389817731</v>
      </c>
      <c r="AA99">
        <f t="shared" si="35"/>
        <v>0.5514850806381375</v>
      </c>
      <c r="AB99">
        <f t="shared" si="42"/>
        <v>0.26505977171680151</v>
      </c>
      <c r="AE99">
        <v>61.702159999999999</v>
      </c>
      <c r="AF99">
        <v>0.33638470106206941</v>
      </c>
      <c r="AG99">
        <f t="shared" si="26"/>
        <v>20.755662646483977</v>
      </c>
      <c r="AH99">
        <f t="shared" si="36"/>
        <v>-9.9941768125108794</v>
      </c>
      <c r="AI99">
        <f t="shared" si="37"/>
        <v>0.11749050333128608</v>
      </c>
      <c r="AJ99">
        <f t="shared" si="43"/>
        <v>1.4092620267531881</v>
      </c>
      <c r="AL99">
        <f t="shared" si="27"/>
        <v>80.732826549952733</v>
      </c>
      <c r="AM99">
        <f t="shared" si="38"/>
        <v>-9.8766863091795933</v>
      </c>
    </row>
    <row r="100" spans="1:39" x14ac:dyDescent="0.35">
      <c r="A100" s="2">
        <v>39479</v>
      </c>
      <c r="B100">
        <v>55.176870000000001</v>
      </c>
      <c r="C100">
        <v>0.22141294300493997</v>
      </c>
      <c r="D100">
        <f t="shared" si="22"/>
        <v>12.216873172500982</v>
      </c>
      <c r="E100">
        <f t="shared" si="28"/>
        <v>0.54317898466402781</v>
      </c>
      <c r="F100">
        <f t="shared" si="29"/>
        <v>1.8260600576287422</v>
      </c>
      <c r="G100">
        <f t="shared" si="39"/>
        <v>1.6672073196757782</v>
      </c>
      <c r="I100">
        <v>126.5044</v>
      </c>
      <c r="J100">
        <v>0.19731673581161527</v>
      </c>
      <c r="K100">
        <f t="shared" si="23"/>
        <v>24.961435273806902</v>
      </c>
      <c r="L100">
        <f t="shared" si="30"/>
        <v>1.8742601286872773</v>
      </c>
      <c r="M100">
        <f t="shared" si="31"/>
        <v>3.1571412016519917</v>
      </c>
      <c r="N100">
        <f t="shared" si="40"/>
        <v>2.6545312235591214</v>
      </c>
      <c r="P100">
        <v>410.99090000000001</v>
      </c>
      <c r="Q100">
        <v>1.2797022741657079E-2</v>
      </c>
      <c r="R100">
        <f t="shared" si="24"/>
        <v>5.2594598939141104</v>
      </c>
      <c r="S100">
        <f t="shared" si="32"/>
        <v>-8.8335987790973736</v>
      </c>
      <c r="T100">
        <f t="shared" si="33"/>
        <v>7.5507177061326587</v>
      </c>
      <c r="U100">
        <f t="shared" si="41"/>
        <v>4.4619895356241095</v>
      </c>
      <c r="W100">
        <v>72.80498</v>
      </c>
      <c r="X100">
        <v>0.23208859737971826</v>
      </c>
      <c r="Y100">
        <f t="shared" si="25"/>
        <v>16.897205690458442</v>
      </c>
      <c r="Z100">
        <f t="shared" si="34"/>
        <v>-3.7471271540395423</v>
      </c>
      <c r="AA100">
        <f t="shared" si="35"/>
        <v>2.4642460810748279</v>
      </c>
      <c r="AB100">
        <f t="shared" si="42"/>
        <v>1.9127610004366904</v>
      </c>
      <c r="AE100">
        <v>60.532319999999999</v>
      </c>
      <c r="AF100">
        <v>0.33638470106206941</v>
      </c>
      <c r="AG100">
        <f t="shared" si="26"/>
        <v>20.362146367793525</v>
      </c>
      <c r="AH100">
        <f t="shared" si="36"/>
        <v>-1.8959465924693775</v>
      </c>
      <c r="AI100">
        <f t="shared" si="37"/>
        <v>0.61306551950466304</v>
      </c>
      <c r="AJ100">
        <f t="shared" si="43"/>
        <v>0.49557501617337696</v>
      </c>
      <c r="AL100">
        <f t="shared" si="27"/>
        <v>79.697120398473956</v>
      </c>
      <c r="AM100">
        <f t="shared" si="38"/>
        <v>-1.2828810729647144</v>
      </c>
    </row>
    <row r="101" spans="1:39" x14ac:dyDescent="0.35">
      <c r="A101" s="2">
        <v>39508</v>
      </c>
      <c r="B101">
        <v>53.70673</v>
      </c>
      <c r="C101">
        <v>0.22141294300493997</v>
      </c>
      <c r="D101">
        <f t="shared" si="22"/>
        <v>11.891365148471699</v>
      </c>
      <c r="E101">
        <f t="shared" si="28"/>
        <v>-2.6644135486481924</v>
      </c>
      <c r="F101">
        <f t="shared" si="29"/>
        <v>2.0028248500546182</v>
      </c>
      <c r="G101">
        <f t="shared" si="39"/>
        <v>0.17676479242587595</v>
      </c>
      <c r="I101">
        <v>114.9349</v>
      </c>
      <c r="J101">
        <v>0.19731673581161527</v>
      </c>
      <c r="K101">
        <f t="shared" si="23"/>
        <v>22.678579298834418</v>
      </c>
      <c r="L101">
        <f t="shared" si="30"/>
        <v>-9.1455316969212159</v>
      </c>
      <c r="M101">
        <f t="shared" si="31"/>
        <v>4.4782932982184054</v>
      </c>
      <c r="N101">
        <f t="shared" si="40"/>
        <v>1.3211520965664136</v>
      </c>
      <c r="P101">
        <v>389.30610000000001</v>
      </c>
      <c r="Q101">
        <v>1.2797022741657079E-2</v>
      </c>
      <c r="R101">
        <f t="shared" si="24"/>
        <v>4.9819590151658257</v>
      </c>
      <c r="S101">
        <f t="shared" si="32"/>
        <v>-5.2762238774629822</v>
      </c>
      <c r="T101">
        <f t="shared" si="33"/>
        <v>0.60898547876017162</v>
      </c>
      <c r="U101">
        <f t="shared" si="41"/>
        <v>6.9417322273724871</v>
      </c>
      <c r="W101">
        <v>71.275450000000006</v>
      </c>
      <c r="X101">
        <v>0.23208859737971826</v>
      </c>
      <c r="Y101">
        <f t="shared" si="25"/>
        <v>16.54221921810824</v>
      </c>
      <c r="Z101">
        <f t="shared" si="34"/>
        <v>-2.1008590346429545</v>
      </c>
      <c r="AA101">
        <f t="shared" si="35"/>
        <v>2.566379364059856</v>
      </c>
      <c r="AB101">
        <f t="shared" si="42"/>
        <v>0.10213328298502811</v>
      </c>
      <c r="AE101">
        <v>59.108939999999997</v>
      </c>
      <c r="AF101">
        <v>0.33638470106206941</v>
      </c>
      <c r="AG101">
        <f t="shared" si="26"/>
        <v>19.883343111995796</v>
      </c>
      <c r="AH101">
        <f t="shared" si="36"/>
        <v>-2.3514380416940983</v>
      </c>
      <c r="AI101">
        <f t="shared" si="37"/>
        <v>2.3158003570087122</v>
      </c>
      <c r="AJ101">
        <f t="shared" si="43"/>
        <v>1.7027348375040492</v>
      </c>
      <c r="AL101">
        <f t="shared" si="27"/>
        <v>75.97746579257597</v>
      </c>
      <c r="AM101">
        <f t="shared" si="38"/>
        <v>-4.6672383987028105</v>
      </c>
    </row>
    <row r="102" spans="1:39" x14ac:dyDescent="0.35">
      <c r="A102" s="2">
        <v>39539</v>
      </c>
      <c r="B102">
        <v>55.029179999999997</v>
      </c>
      <c r="C102">
        <v>0.22141294300493997</v>
      </c>
      <c r="D102">
        <f t="shared" si="22"/>
        <v>12.184172694948581</v>
      </c>
      <c r="E102">
        <f t="shared" si="28"/>
        <v>2.4623543455354557</v>
      </c>
      <c r="F102">
        <f t="shared" si="29"/>
        <v>1.0592011315579075</v>
      </c>
      <c r="G102">
        <f t="shared" si="39"/>
        <v>0.94362371849671067</v>
      </c>
      <c r="I102">
        <v>114.5879</v>
      </c>
      <c r="J102">
        <v>0.19731673581161527</v>
      </c>
      <c r="K102">
        <f t="shared" si="23"/>
        <v>22.610110391507789</v>
      </c>
      <c r="L102">
        <f t="shared" si="30"/>
        <v>-0.30191003776920411</v>
      </c>
      <c r="M102">
        <f t="shared" si="31"/>
        <v>3.8234655148625674</v>
      </c>
      <c r="N102">
        <f t="shared" si="40"/>
        <v>0.65482778335583802</v>
      </c>
      <c r="P102">
        <v>416.8107</v>
      </c>
      <c r="Q102">
        <v>1.2797022741657079E-2</v>
      </c>
      <c r="R102">
        <f t="shared" si="24"/>
        <v>5.333936006866006</v>
      </c>
      <c r="S102">
        <f t="shared" si="32"/>
        <v>7.0650318605333995</v>
      </c>
      <c r="T102">
        <f t="shared" si="33"/>
        <v>3.5434763834400362</v>
      </c>
      <c r="U102">
        <f t="shared" si="41"/>
        <v>2.9344909046798646</v>
      </c>
      <c r="W102">
        <v>76.764560000000003</v>
      </c>
      <c r="X102">
        <v>0.23208859737971826</v>
      </c>
      <c r="Y102">
        <f t="shared" si="25"/>
        <v>17.816179058871228</v>
      </c>
      <c r="Z102">
        <f t="shared" si="34"/>
        <v>7.701263197917374</v>
      </c>
      <c r="AA102">
        <f t="shared" si="35"/>
        <v>4.1797077208240108</v>
      </c>
      <c r="AB102">
        <f t="shared" si="42"/>
        <v>1.6133283567641548</v>
      </c>
      <c r="AE102">
        <v>61.562420000000003</v>
      </c>
      <c r="AF102">
        <v>0.33638470106206941</v>
      </c>
      <c r="AG102">
        <f t="shared" si="26"/>
        <v>20.708656248357563</v>
      </c>
      <c r="AH102">
        <f t="shared" si="36"/>
        <v>4.1507765153629972</v>
      </c>
      <c r="AI102">
        <f t="shared" si="37"/>
        <v>0.62922103826963394</v>
      </c>
      <c r="AJ102">
        <f t="shared" si="43"/>
        <v>1.6865793187390783</v>
      </c>
      <c r="AL102">
        <f t="shared" si="27"/>
        <v>78.65305440055117</v>
      </c>
      <c r="AM102">
        <f t="shared" si="38"/>
        <v>3.5215554770933633</v>
      </c>
    </row>
    <row r="103" spans="1:39" x14ac:dyDescent="0.35">
      <c r="A103" s="2">
        <v>39569</v>
      </c>
      <c r="B103">
        <v>57.109050000000003</v>
      </c>
      <c r="C103">
        <v>0.22141294300493997</v>
      </c>
      <c r="D103">
        <f t="shared" si="22"/>
        <v>12.644682832716267</v>
      </c>
      <c r="E103">
        <f t="shared" si="28"/>
        <v>3.7795765810066717</v>
      </c>
      <c r="F103">
        <f t="shared" si="29"/>
        <v>0.15340201260225506</v>
      </c>
      <c r="G103">
        <f t="shared" si="39"/>
        <v>0.90579911895565246</v>
      </c>
      <c r="I103">
        <v>115.0424</v>
      </c>
      <c r="J103">
        <v>0.19731673581161527</v>
      </c>
      <c r="K103">
        <f t="shared" si="23"/>
        <v>22.699790847934167</v>
      </c>
      <c r="L103">
        <f t="shared" si="30"/>
        <v>0.39663873759794299</v>
      </c>
      <c r="M103">
        <f t="shared" si="31"/>
        <v>3.2295358308064737</v>
      </c>
      <c r="N103">
        <f t="shared" si="40"/>
        <v>0.5939296840560937</v>
      </c>
      <c r="P103">
        <v>390.97250000000003</v>
      </c>
      <c r="Q103">
        <v>1.2797022741657079E-2</v>
      </c>
      <c r="R103">
        <f t="shared" si="24"/>
        <v>5.0032839738625228</v>
      </c>
      <c r="S103">
        <f t="shared" si="32"/>
        <v>-6.1990251209961711</v>
      </c>
      <c r="T103">
        <f t="shared" si="33"/>
        <v>9.8251996894005877</v>
      </c>
      <c r="U103">
        <f t="shared" si="41"/>
        <v>6.2817233059605515</v>
      </c>
      <c r="W103">
        <v>86.012630000000001</v>
      </c>
      <c r="X103">
        <v>0.23208859737971826</v>
      </c>
      <c r="Y103">
        <f t="shared" si="25"/>
        <v>19.962550653640676</v>
      </c>
      <c r="Z103">
        <f t="shared" si="34"/>
        <v>12.047317147391979</v>
      </c>
      <c r="AA103">
        <f t="shared" si="35"/>
        <v>8.4211425789875634</v>
      </c>
      <c r="AB103">
        <f t="shared" si="42"/>
        <v>4.2414348581635526</v>
      </c>
      <c r="AE103">
        <v>63.007750000000001</v>
      </c>
      <c r="AF103">
        <v>0.33638470106206941</v>
      </c>
      <c r="AG103">
        <f t="shared" si="26"/>
        <v>21.194843148343605</v>
      </c>
      <c r="AH103">
        <f t="shared" si="36"/>
        <v>2.3477472133161648</v>
      </c>
      <c r="AI103">
        <f t="shared" si="37"/>
        <v>1.2784273550882519</v>
      </c>
      <c r="AJ103">
        <f t="shared" si="43"/>
        <v>0.64920631681861796</v>
      </c>
      <c r="AL103">
        <f t="shared" si="27"/>
        <v>81.505151456497245</v>
      </c>
      <c r="AM103">
        <f t="shared" si="38"/>
        <v>3.6261745684044167</v>
      </c>
    </row>
    <row r="104" spans="1:39" x14ac:dyDescent="0.35">
      <c r="A104" s="2">
        <v>39600</v>
      </c>
      <c r="B104">
        <v>55.676850000000002</v>
      </c>
      <c r="C104">
        <v>0.22141294300493997</v>
      </c>
      <c r="D104">
        <f t="shared" si="22"/>
        <v>12.327575215744591</v>
      </c>
      <c r="E104">
        <f t="shared" si="28"/>
        <v>-2.5078336971110615</v>
      </c>
      <c r="F104">
        <f t="shared" si="29"/>
        <v>2.6960827437980117</v>
      </c>
      <c r="G104">
        <f t="shared" si="39"/>
        <v>2.5426807311957567</v>
      </c>
      <c r="I104">
        <v>106.5008</v>
      </c>
      <c r="J104">
        <v>0.19731673581161527</v>
      </c>
      <c r="K104">
        <f t="shared" si="23"/>
        <v>21.014390217325676</v>
      </c>
      <c r="L104">
        <f t="shared" si="30"/>
        <v>-7.4247407912213292</v>
      </c>
      <c r="M104">
        <f t="shared" si="31"/>
        <v>2.220824350312256</v>
      </c>
      <c r="N104">
        <f t="shared" si="40"/>
        <v>1.0087114804942177</v>
      </c>
      <c r="P104">
        <v>363.6499</v>
      </c>
      <c r="Q104">
        <v>1.2797022741657079E-2</v>
      </c>
      <c r="R104">
        <f t="shared" si="24"/>
        <v>4.6536360403013228</v>
      </c>
      <c r="S104">
        <f t="shared" si="32"/>
        <v>-6.9883687471625322</v>
      </c>
      <c r="T104">
        <f t="shared" si="33"/>
        <v>1.784452306253459</v>
      </c>
      <c r="U104">
        <f t="shared" si="41"/>
        <v>8.0407473831471279</v>
      </c>
      <c r="W104">
        <v>84.107510000000005</v>
      </c>
      <c r="X104">
        <v>0.23208859737971826</v>
      </c>
      <c r="Y104">
        <f t="shared" si="25"/>
        <v>19.52039402500063</v>
      </c>
      <c r="Z104">
        <f t="shared" si="34"/>
        <v>-2.2149305282259113</v>
      </c>
      <c r="AA104">
        <f t="shared" si="35"/>
        <v>2.9889859126831619</v>
      </c>
      <c r="AB104">
        <f t="shared" si="42"/>
        <v>5.432156666304401</v>
      </c>
      <c r="AE104">
        <v>58.705689999999997</v>
      </c>
      <c r="AF104">
        <v>0.33638470106206941</v>
      </c>
      <c r="AG104">
        <f t="shared" si="26"/>
        <v>19.747695981292516</v>
      </c>
      <c r="AH104">
        <f t="shared" si="36"/>
        <v>-6.8278267355999951</v>
      </c>
      <c r="AI104">
        <f t="shared" si="37"/>
        <v>1.6239102946909219</v>
      </c>
      <c r="AJ104">
        <f t="shared" si="43"/>
        <v>0.34548293960266996</v>
      </c>
      <c r="AL104">
        <f t="shared" si="27"/>
        <v>77.263691479664743</v>
      </c>
      <c r="AM104">
        <f t="shared" si="38"/>
        <v>-5.2039164409090732</v>
      </c>
    </row>
    <row r="105" spans="1:39" x14ac:dyDescent="0.35">
      <c r="A105" s="2">
        <v>39630</v>
      </c>
      <c r="B105">
        <v>50.877569999999999</v>
      </c>
      <c r="C105">
        <v>0.22141294300493997</v>
      </c>
      <c r="D105">
        <f t="shared" si="22"/>
        <v>11.264952506639844</v>
      </c>
      <c r="E105">
        <f t="shared" si="28"/>
        <v>-8.6198842068112782</v>
      </c>
      <c r="F105">
        <f t="shared" si="29"/>
        <v>0.70631026337059133</v>
      </c>
      <c r="G105">
        <f t="shared" si="39"/>
        <v>1.9897724804274204</v>
      </c>
      <c r="I105">
        <v>98.816739999999996</v>
      </c>
      <c r="J105">
        <v>0.19731673581161527</v>
      </c>
      <c r="K105">
        <f t="shared" si="23"/>
        <v>19.498196580345073</v>
      </c>
      <c r="L105">
        <f t="shared" si="30"/>
        <v>-7.2150256148310614</v>
      </c>
      <c r="M105">
        <f t="shared" si="31"/>
        <v>2.1111688553508081</v>
      </c>
      <c r="N105">
        <f t="shared" si="40"/>
        <v>0.10965549496144789</v>
      </c>
      <c r="P105">
        <v>335.16039999999998</v>
      </c>
      <c r="Q105">
        <v>1.2797022741657079E-2</v>
      </c>
      <c r="R105">
        <f t="shared" si="24"/>
        <v>4.2890552609028836</v>
      </c>
      <c r="S105">
        <f t="shared" si="32"/>
        <v>-7.8343208674057196</v>
      </c>
      <c r="T105">
        <f t="shared" si="33"/>
        <v>1.4918736027761499</v>
      </c>
      <c r="U105">
        <f t="shared" si="41"/>
        <v>0.29257870347730908</v>
      </c>
      <c r="W105">
        <v>74.541160000000005</v>
      </c>
      <c r="X105">
        <v>0.23208859737971826</v>
      </c>
      <c r="Y105">
        <f t="shared" si="25"/>
        <v>17.300153271457162</v>
      </c>
      <c r="Z105">
        <f t="shared" si="34"/>
        <v>-11.373954596920054</v>
      </c>
      <c r="AA105">
        <f t="shared" si="35"/>
        <v>2.0477601267381846</v>
      </c>
      <c r="AB105">
        <f t="shared" si="42"/>
        <v>0.9412257859449773</v>
      </c>
      <c r="AE105">
        <v>52.634889999999999</v>
      </c>
      <c r="AF105">
        <v>0.33638470106206941</v>
      </c>
      <c r="AG105">
        <f t="shared" si="26"/>
        <v>17.705571738084906</v>
      </c>
      <c r="AH105">
        <f t="shared" si="36"/>
        <v>-10.341075967252921</v>
      </c>
      <c r="AI105">
        <f t="shared" si="37"/>
        <v>1.0148814970710518</v>
      </c>
      <c r="AJ105">
        <f t="shared" si="43"/>
        <v>0.60902879761987005</v>
      </c>
      <c r="AL105">
        <f t="shared" si="27"/>
        <v>70.05792935742987</v>
      </c>
      <c r="AM105">
        <f t="shared" si="38"/>
        <v>-9.3261944701818695</v>
      </c>
    </row>
    <row r="106" spans="1:39" x14ac:dyDescent="0.35">
      <c r="A106" s="2">
        <v>39661</v>
      </c>
      <c r="B106">
        <v>51.817909999999998</v>
      </c>
      <c r="C106">
        <v>0.22141294300493997</v>
      </c>
      <c r="D106">
        <f t="shared" si="22"/>
        <v>11.473155953465108</v>
      </c>
      <c r="E106">
        <f t="shared" si="28"/>
        <v>1.8482407866570627</v>
      </c>
      <c r="F106">
        <f t="shared" si="29"/>
        <v>1.4754383128664728</v>
      </c>
      <c r="G106">
        <f t="shared" si="39"/>
        <v>0.76912804949588143</v>
      </c>
      <c r="I106">
        <v>99.822789999999998</v>
      </c>
      <c r="J106">
        <v>0.19731673581161527</v>
      </c>
      <c r="K106">
        <f t="shared" si="23"/>
        <v>19.696707082408349</v>
      </c>
      <c r="L106">
        <f t="shared" si="30"/>
        <v>1.0180967313837774</v>
      </c>
      <c r="M106">
        <f t="shared" si="31"/>
        <v>0.64529425759318748</v>
      </c>
      <c r="N106">
        <f t="shared" si="40"/>
        <v>1.4658745977576206</v>
      </c>
      <c r="P106">
        <v>339.3621</v>
      </c>
      <c r="Q106">
        <v>1.2797022741657079E-2</v>
      </c>
      <c r="R106">
        <f t="shared" si="24"/>
        <v>4.342824511356504</v>
      </c>
      <c r="S106">
        <f t="shared" si="32"/>
        <v>1.2536385563449715</v>
      </c>
      <c r="T106">
        <f t="shared" si="33"/>
        <v>0.88083608255438151</v>
      </c>
      <c r="U106">
        <f t="shared" si="41"/>
        <v>0.61103752022176838</v>
      </c>
      <c r="W106">
        <v>71.902950000000004</v>
      </c>
      <c r="X106">
        <v>0.23208859737971826</v>
      </c>
      <c r="Y106">
        <f t="shared" si="25"/>
        <v>16.687854812964016</v>
      </c>
      <c r="Z106">
        <f t="shared" si="34"/>
        <v>-3.5392660913782459</v>
      </c>
      <c r="AA106">
        <f t="shared" si="35"/>
        <v>3.9120685651688358</v>
      </c>
      <c r="AB106">
        <f t="shared" si="42"/>
        <v>1.8643084384306512</v>
      </c>
      <c r="AE106">
        <v>53.862630000000003</v>
      </c>
      <c r="AF106">
        <v>0.33638470106206941</v>
      </c>
      <c r="AG106">
        <f t="shared" si="26"/>
        <v>18.118564690966853</v>
      </c>
      <c r="AH106">
        <f t="shared" si="36"/>
        <v>2.3325592586970423</v>
      </c>
      <c r="AI106">
        <f t="shared" si="37"/>
        <v>1.9597567849064523</v>
      </c>
      <c r="AJ106">
        <f t="shared" si="43"/>
        <v>0.94487528783540053</v>
      </c>
      <c r="AL106">
        <f t="shared" si="27"/>
        <v>70.319107051160827</v>
      </c>
      <c r="AM106">
        <f t="shared" si="38"/>
        <v>0.37280247379058995</v>
      </c>
    </row>
    <row r="107" spans="1:39" x14ac:dyDescent="0.35">
      <c r="A107" s="2">
        <v>39692</v>
      </c>
      <c r="B107">
        <v>48.559220000000003</v>
      </c>
      <c r="C107">
        <v>0.22141294300493997</v>
      </c>
      <c r="D107">
        <f t="shared" si="22"/>
        <v>10.751639810224342</v>
      </c>
      <c r="E107">
        <f t="shared" si="28"/>
        <v>-6.2887329882660108</v>
      </c>
      <c r="F107">
        <f t="shared" si="29"/>
        <v>2.1416101959752414</v>
      </c>
      <c r="G107">
        <f t="shared" si="39"/>
        <v>0.66617188310876863</v>
      </c>
      <c r="I107">
        <v>89.634370000000004</v>
      </c>
      <c r="J107">
        <v>0.19731673581161527</v>
      </c>
      <c r="K107">
        <f t="shared" si="23"/>
        <v>17.686361304930575</v>
      </c>
      <c r="L107">
        <f t="shared" si="30"/>
        <v>-10.206506950967809</v>
      </c>
      <c r="M107">
        <f t="shared" si="31"/>
        <v>1.7761637667265564</v>
      </c>
      <c r="N107">
        <f t="shared" si="40"/>
        <v>1.1308695091333689</v>
      </c>
      <c r="P107">
        <v>324.47840000000002</v>
      </c>
      <c r="Q107">
        <v>1.2797022741657079E-2</v>
      </c>
      <c r="R107">
        <f t="shared" si="24"/>
        <v>4.1523574639765028</v>
      </c>
      <c r="S107">
        <f t="shared" si="32"/>
        <v>-4.3857873345314546</v>
      </c>
      <c r="T107">
        <f t="shared" si="33"/>
        <v>4.0445558497097975</v>
      </c>
      <c r="U107">
        <f t="shared" si="41"/>
        <v>3.163719767155416</v>
      </c>
      <c r="W107">
        <v>62.950530000000001</v>
      </c>
      <c r="X107">
        <v>0.23208859737971826</v>
      </c>
      <c r="Y107">
        <f t="shared" si="25"/>
        <v>14.610100212009876</v>
      </c>
      <c r="Z107">
        <f t="shared" si="34"/>
        <v>-12.450699171591717</v>
      </c>
      <c r="AA107">
        <f t="shared" si="35"/>
        <v>4.0203559873504648</v>
      </c>
      <c r="AB107">
        <f t="shared" si="42"/>
        <v>0.10828742218162901</v>
      </c>
      <c r="AE107">
        <v>51.10371</v>
      </c>
      <c r="AF107">
        <v>0.33638470106206941</v>
      </c>
      <c r="AG107">
        <f t="shared" si="26"/>
        <v>17.190506211512687</v>
      </c>
      <c r="AH107">
        <f t="shared" si="36"/>
        <v>-5.1221412693735928</v>
      </c>
      <c r="AI107">
        <f t="shared" si="37"/>
        <v>3.3082019148676594</v>
      </c>
      <c r="AJ107">
        <f t="shared" si="43"/>
        <v>1.348445129961207</v>
      </c>
      <c r="AL107">
        <f t="shared" si="27"/>
        <v>64.390965002653985</v>
      </c>
      <c r="AM107">
        <f t="shared" si="38"/>
        <v>-8.4303431842412522</v>
      </c>
    </row>
    <row r="108" spans="1:39" x14ac:dyDescent="0.35">
      <c r="A108" s="2">
        <v>39722</v>
      </c>
      <c r="B108">
        <v>37.120609999999999</v>
      </c>
      <c r="C108">
        <v>0.22141294300493997</v>
      </c>
      <c r="D108">
        <f t="shared" si="22"/>
        <v>8.2189835062386045</v>
      </c>
      <c r="E108">
        <f t="shared" si="28"/>
        <v>-23.556000281717882</v>
      </c>
      <c r="F108">
        <f t="shared" si="29"/>
        <v>0.92521659881585805</v>
      </c>
      <c r="G108">
        <f t="shared" si="39"/>
        <v>1.2163935971593833</v>
      </c>
      <c r="I108">
        <v>72.805430000000001</v>
      </c>
      <c r="J108">
        <v>0.19731673581161527</v>
      </c>
      <c r="K108">
        <f t="shared" si="23"/>
        <v>14.365729796961048</v>
      </c>
      <c r="L108">
        <f t="shared" si="30"/>
        <v>-18.77509709724071</v>
      </c>
      <c r="M108">
        <f t="shared" si="31"/>
        <v>5.7061197832930297</v>
      </c>
      <c r="N108">
        <f t="shared" si="40"/>
        <v>3.9299560165664733</v>
      </c>
      <c r="P108">
        <v>147.55520000000001</v>
      </c>
      <c r="Q108">
        <v>1.2797022741657079E-2</v>
      </c>
      <c r="R108">
        <f t="shared" si="24"/>
        <v>1.8882672500497588</v>
      </c>
      <c r="S108">
        <f t="shared" si="32"/>
        <v>-54.525416791996008</v>
      </c>
      <c r="T108">
        <f t="shared" si="33"/>
        <v>30.044199911462268</v>
      </c>
      <c r="U108">
        <f t="shared" si="41"/>
        <v>25.99964406175247</v>
      </c>
      <c r="W108">
        <v>45.449939999999998</v>
      </c>
      <c r="X108">
        <v>0.23208859737971826</v>
      </c>
      <c r="Y108">
        <f t="shared" si="25"/>
        <v>10.548412825592353</v>
      </c>
      <c r="Z108">
        <f t="shared" si="34"/>
        <v>-27.800544332192278</v>
      </c>
      <c r="AA108">
        <f t="shared" si="35"/>
        <v>3.3193274516585376</v>
      </c>
      <c r="AB108">
        <f t="shared" si="42"/>
        <v>0.70102853569192725</v>
      </c>
      <c r="AE108">
        <v>40.447380000000003</v>
      </c>
      <c r="AF108">
        <v>0.33638470106206941</v>
      </c>
      <c r="AG108">
        <f t="shared" si="26"/>
        <v>13.605879830043927</v>
      </c>
      <c r="AH108">
        <f t="shared" si="36"/>
        <v>-20.852360816856542</v>
      </c>
      <c r="AI108">
        <f t="shared" si="37"/>
        <v>3.6288560636771976</v>
      </c>
      <c r="AJ108">
        <f t="shared" si="43"/>
        <v>0.32065414880953824</v>
      </c>
      <c r="AL108">
        <f t="shared" si="27"/>
        <v>48.627273208885683</v>
      </c>
      <c r="AM108">
        <f t="shared" si="38"/>
        <v>-24.48121688053374</v>
      </c>
    </row>
    <row r="109" spans="1:39" x14ac:dyDescent="0.35">
      <c r="A109" s="2">
        <v>39753</v>
      </c>
      <c r="B109">
        <v>33.512340000000002</v>
      </c>
      <c r="C109">
        <v>0.22141294300493997</v>
      </c>
      <c r="D109">
        <f t="shared" si="22"/>
        <v>7.4200658263821699</v>
      </c>
      <c r="E109">
        <f t="shared" si="28"/>
        <v>-9.7203952197983732</v>
      </c>
      <c r="F109">
        <f t="shared" si="29"/>
        <v>1.0161013317642524</v>
      </c>
      <c r="G109">
        <f t="shared" si="39"/>
        <v>9.0884732948394387E-2</v>
      </c>
      <c r="I109">
        <v>67.622630000000001</v>
      </c>
      <c r="J109">
        <v>0.19731673581161527</v>
      </c>
      <c r="K109">
        <f t="shared" si="23"/>
        <v>13.343076618596609</v>
      </c>
      <c r="L109">
        <f t="shared" si="30"/>
        <v>-7.118699800275885</v>
      </c>
      <c r="M109">
        <f t="shared" si="31"/>
        <v>1.5855940877582357</v>
      </c>
      <c r="N109">
        <f t="shared" si="40"/>
        <v>4.120525695534794</v>
      </c>
      <c r="P109">
        <v>80.745429999999999</v>
      </c>
      <c r="Q109">
        <v>1.2797022741657079E-2</v>
      </c>
      <c r="R109">
        <f t="shared" si="24"/>
        <v>1.0333011039948798</v>
      </c>
      <c r="S109">
        <f t="shared" si="32"/>
        <v>-45.277814675457051</v>
      </c>
      <c r="T109">
        <f t="shared" si="33"/>
        <v>36.573520787422929</v>
      </c>
      <c r="U109">
        <f t="shared" si="41"/>
        <v>6.5293208759606607</v>
      </c>
      <c r="W109">
        <v>41.398350000000001</v>
      </c>
      <c r="X109">
        <v>0.23208859737971826</v>
      </c>
      <c r="Y109">
        <f t="shared" si="25"/>
        <v>9.6080849853346599</v>
      </c>
      <c r="Z109">
        <f t="shared" si="34"/>
        <v>-8.9144012071302967</v>
      </c>
      <c r="AA109">
        <f t="shared" si="35"/>
        <v>0.21010731909617597</v>
      </c>
      <c r="AB109">
        <f t="shared" si="42"/>
        <v>3.1092201325623616</v>
      </c>
      <c r="AE109">
        <v>38.616750000000003</v>
      </c>
      <c r="AF109">
        <v>0.33638470106206941</v>
      </c>
      <c r="AG109">
        <f t="shared" si="26"/>
        <v>12.99008390473867</v>
      </c>
      <c r="AH109">
        <f t="shared" si="36"/>
        <v>-4.5259544623162178</v>
      </c>
      <c r="AI109">
        <f t="shared" si="37"/>
        <v>4.178339425717903</v>
      </c>
      <c r="AJ109">
        <f t="shared" si="43"/>
        <v>0.54948336204070536</v>
      </c>
      <c r="AL109">
        <f t="shared" si="27"/>
        <v>44.394612439046995</v>
      </c>
      <c r="AM109">
        <f t="shared" si="38"/>
        <v>-8.7042938880341207</v>
      </c>
    </row>
    <row r="110" spans="1:39" x14ac:dyDescent="0.35">
      <c r="A110" s="2">
        <v>39783</v>
      </c>
      <c r="B110">
        <v>31.32949</v>
      </c>
      <c r="C110">
        <v>0.22141294300493997</v>
      </c>
      <c r="D110">
        <f t="shared" si="22"/>
        <v>6.9367545837438369</v>
      </c>
      <c r="E110">
        <f t="shared" si="28"/>
        <v>-6.5135708219718484</v>
      </c>
      <c r="F110">
        <f t="shared" si="29"/>
        <v>1.708783907219658</v>
      </c>
      <c r="G110">
        <f t="shared" si="39"/>
        <v>0.69268257545540557</v>
      </c>
      <c r="I110">
        <v>63.084099999999999</v>
      </c>
      <c r="J110">
        <v>0.19731673581161527</v>
      </c>
      <c r="K110">
        <f t="shared" si="23"/>
        <v>12.447548693613518</v>
      </c>
      <c r="L110">
        <f t="shared" si="30"/>
        <v>-6.7115549927590834</v>
      </c>
      <c r="M110">
        <f t="shared" si="31"/>
        <v>1.906768078006893</v>
      </c>
      <c r="N110">
        <f t="shared" si="40"/>
        <v>0.32117399024865723</v>
      </c>
      <c r="P110">
        <v>59.048279999999998</v>
      </c>
      <c r="Q110">
        <v>1.2797022741657079E-2</v>
      </c>
      <c r="R110">
        <f t="shared" si="24"/>
        <v>0.75564218201573485</v>
      </c>
      <c r="S110">
        <f t="shared" si="32"/>
        <v>-26.87105635575908</v>
      </c>
      <c r="T110">
        <f t="shared" si="33"/>
        <v>22.066269441006888</v>
      </c>
      <c r="U110">
        <f t="shared" si="41"/>
        <v>14.507251346416041</v>
      </c>
      <c r="W110">
        <v>38.94567</v>
      </c>
      <c r="X110">
        <v>0.23208859737971826</v>
      </c>
      <c r="Y110">
        <f t="shared" si="25"/>
        <v>9.0388459243133727</v>
      </c>
      <c r="Z110">
        <f t="shared" si="34"/>
        <v>-5.9245839508096365</v>
      </c>
      <c r="AA110">
        <f t="shared" si="35"/>
        <v>1.1197970360574461</v>
      </c>
      <c r="AB110">
        <f t="shared" si="42"/>
        <v>0.9096897169612701</v>
      </c>
      <c r="AE110">
        <v>38.892240000000001</v>
      </c>
      <c r="AF110">
        <v>0.33638470106206941</v>
      </c>
      <c r="AG110">
        <f t="shared" si="26"/>
        <v>13.082754526034259</v>
      </c>
      <c r="AH110">
        <f t="shared" si="36"/>
        <v>0.71339509409775737</v>
      </c>
      <c r="AI110">
        <f t="shared" si="37"/>
        <v>5.5181820088499478</v>
      </c>
      <c r="AJ110">
        <f t="shared" si="43"/>
        <v>1.3398425831320449</v>
      </c>
      <c r="AL110">
        <f t="shared" si="27"/>
        <v>42.261545909720716</v>
      </c>
      <c r="AM110">
        <f t="shared" si="38"/>
        <v>-4.8047869147521904</v>
      </c>
    </row>
    <row r="111" spans="1:39" x14ac:dyDescent="0.35">
      <c r="A111" s="2">
        <v>39814</v>
      </c>
      <c r="B111">
        <v>32.008330000000001</v>
      </c>
      <c r="C111">
        <v>0.22090489337811872</v>
      </c>
      <c r="D111">
        <f t="shared" si="22"/>
        <v>7.0707967258616389</v>
      </c>
      <c r="E111">
        <f t="shared" si="28"/>
        <v>2.1667764141708012</v>
      </c>
      <c r="F111">
        <f t="shared" si="29"/>
        <v>1.2063523795267983</v>
      </c>
      <c r="G111">
        <f t="shared" si="39"/>
        <v>0.5024315276928597</v>
      </c>
      <c r="I111">
        <v>62.768380000000001</v>
      </c>
      <c r="J111">
        <v>0.1903057405179456</v>
      </c>
      <c r="K111">
        <f t="shared" si="23"/>
        <v>11.945183037011807</v>
      </c>
      <c r="L111">
        <f t="shared" si="30"/>
        <v>-0.50047476305439265</v>
      </c>
      <c r="M111">
        <f t="shared" si="31"/>
        <v>1.4608987976983956</v>
      </c>
      <c r="N111">
        <f t="shared" si="40"/>
        <v>0.44586928030849737</v>
      </c>
      <c r="P111">
        <v>48.297759999999997</v>
      </c>
      <c r="Q111">
        <v>1.2397457032974768E-2</v>
      </c>
      <c r="R111">
        <f t="shared" si="24"/>
        <v>0.59876940438892734</v>
      </c>
      <c r="S111">
        <f t="shared" si="32"/>
        <v>-18.206322013105215</v>
      </c>
      <c r="T111">
        <f t="shared" si="33"/>
        <v>19.166746047749218</v>
      </c>
      <c r="U111">
        <f t="shared" si="41"/>
        <v>2.8995233932576703</v>
      </c>
      <c r="W111">
        <v>41.948920000000001</v>
      </c>
      <c r="X111">
        <v>0.23877881633032499</v>
      </c>
      <c r="Y111">
        <f t="shared" si="25"/>
        <v>10.016513463935498</v>
      </c>
      <c r="Z111">
        <f t="shared" si="34"/>
        <v>7.7113835761459582</v>
      </c>
      <c r="AA111">
        <f t="shared" si="35"/>
        <v>6.7509595415019552</v>
      </c>
      <c r="AB111">
        <f t="shared" si="42"/>
        <v>5.6311625054445091</v>
      </c>
      <c r="AE111">
        <v>38.612760000000002</v>
      </c>
      <c r="AF111">
        <v>0.33761309274063589</v>
      </c>
      <c r="AG111">
        <f t="shared" si="26"/>
        <v>13.036173322851916</v>
      </c>
      <c r="AH111">
        <f t="shared" si="36"/>
        <v>-0.71860093427377203</v>
      </c>
      <c r="AI111">
        <f t="shared" si="37"/>
        <v>1.679024968917775</v>
      </c>
      <c r="AJ111">
        <f t="shared" si="43"/>
        <v>3.8391570399321728</v>
      </c>
      <c r="AL111">
        <f t="shared" si="27"/>
        <v>42.667435954049786</v>
      </c>
      <c r="AM111">
        <f t="shared" si="38"/>
        <v>0.96042403464400294</v>
      </c>
    </row>
    <row r="112" spans="1:39" x14ac:dyDescent="0.35">
      <c r="A112" s="2">
        <v>39845</v>
      </c>
      <c r="B112">
        <v>31.512409999999999</v>
      </c>
      <c r="C112">
        <v>0.22090489337811872</v>
      </c>
      <c r="D112">
        <f t="shared" si="22"/>
        <v>6.961245571137562</v>
      </c>
      <c r="E112">
        <f t="shared" si="28"/>
        <v>-1.5493466856908888</v>
      </c>
      <c r="F112">
        <f t="shared" si="29"/>
        <v>1.5863363287563326</v>
      </c>
      <c r="G112">
        <f t="shared" si="39"/>
        <v>0.37998394922953427</v>
      </c>
      <c r="I112">
        <v>57.888579999999997</v>
      </c>
      <c r="J112">
        <v>0.1903057405179456</v>
      </c>
      <c r="K112">
        <f t="shared" si="23"/>
        <v>11.016529084432335</v>
      </c>
      <c r="L112">
        <f t="shared" si="30"/>
        <v>-7.7742965486762632</v>
      </c>
      <c r="M112">
        <f t="shared" si="31"/>
        <v>4.6386135342290418</v>
      </c>
      <c r="N112">
        <f t="shared" si="40"/>
        <v>3.1777147365306462</v>
      </c>
      <c r="P112">
        <v>43.744289999999999</v>
      </c>
      <c r="Q112">
        <v>1.2397457032974768E-2</v>
      </c>
      <c r="R112">
        <f t="shared" si="24"/>
        <v>0.5423179557129878</v>
      </c>
      <c r="S112">
        <f t="shared" si="32"/>
        <v>-9.4279113565515225</v>
      </c>
      <c r="T112">
        <f t="shared" si="33"/>
        <v>6.292228342104301</v>
      </c>
      <c r="U112">
        <f t="shared" si="41"/>
        <v>12.874517705644916</v>
      </c>
      <c r="W112">
        <v>40.636600000000001</v>
      </c>
      <c r="X112">
        <v>0.23877881633032499</v>
      </c>
      <c r="Y112">
        <f t="shared" si="25"/>
        <v>9.7031592476888857</v>
      </c>
      <c r="Z112">
        <f t="shared" si="34"/>
        <v>-3.1283761298264601</v>
      </c>
      <c r="AA112">
        <f t="shared" si="35"/>
        <v>7.3068846207613447E-3</v>
      </c>
      <c r="AB112">
        <f t="shared" si="42"/>
        <v>6.7436526568811939</v>
      </c>
      <c r="AE112">
        <v>38.82038</v>
      </c>
      <c r="AF112">
        <v>0.33761309274063589</v>
      </c>
      <c r="AG112">
        <f t="shared" si="26"/>
        <v>13.106268553166727</v>
      </c>
      <c r="AH112">
        <f t="shared" si="36"/>
        <v>0.53769790090114622</v>
      </c>
      <c r="AI112">
        <f t="shared" si="37"/>
        <v>3.6733809153483676</v>
      </c>
      <c r="AJ112">
        <f t="shared" si="43"/>
        <v>1.9943559464305927</v>
      </c>
      <c r="AL112">
        <f t="shared" si="27"/>
        <v>41.3295204121385</v>
      </c>
      <c r="AM112">
        <f t="shared" si="38"/>
        <v>-3.1356830144472214</v>
      </c>
    </row>
    <row r="113" spans="1:39" x14ac:dyDescent="0.35">
      <c r="A113" s="2">
        <v>39873</v>
      </c>
      <c r="B113">
        <v>27.78219</v>
      </c>
      <c r="C113">
        <v>0.22090489337811872</v>
      </c>
      <c r="D113">
        <f t="shared" si="22"/>
        <v>6.1372217197606362</v>
      </c>
      <c r="E113">
        <f t="shared" si="28"/>
        <v>-11.837304731691422</v>
      </c>
      <c r="F113">
        <f t="shared" si="29"/>
        <v>6.1385155347546512</v>
      </c>
      <c r="G113">
        <f t="shared" si="39"/>
        <v>4.5521792059983186</v>
      </c>
      <c r="I113">
        <v>53.16957</v>
      </c>
      <c r="J113">
        <v>0.1903057405179456</v>
      </c>
      <c r="K113">
        <f t="shared" si="23"/>
        <v>10.118474391870745</v>
      </c>
      <c r="L113">
        <f t="shared" si="30"/>
        <v>-8.1518841885567017</v>
      </c>
      <c r="M113">
        <f t="shared" si="31"/>
        <v>2.4530949916199312</v>
      </c>
      <c r="N113">
        <f t="shared" si="40"/>
        <v>2.1855185426091106</v>
      </c>
      <c r="P113">
        <v>35.594119999999997</v>
      </c>
      <c r="Q113">
        <v>1.2397457032974768E-2</v>
      </c>
      <c r="R113">
        <f t="shared" si="24"/>
        <v>0.44127657332654779</v>
      </c>
      <c r="S113">
        <f t="shared" si="32"/>
        <v>-18.631391662774732</v>
      </c>
      <c r="T113">
        <f t="shared" si="33"/>
        <v>12.932602465837961</v>
      </c>
      <c r="U113">
        <f t="shared" si="41"/>
        <v>6.6403741237336602</v>
      </c>
      <c r="W113">
        <v>39.164389999999997</v>
      </c>
      <c r="X113">
        <v>0.23877881633032499</v>
      </c>
      <c r="Y113">
        <f t="shared" si="25"/>
        <v>9.3516266864992161</v>
      </c>
      <c r="Z113">
        <f t="shared" si="34"/>
        <v>-3.6228670705718558</v>
      </c>
      <c r="AA113">
        <f t="shared" si="35"/>
        <v>2.0759221263649148</v>
      </c>
      <c r="AB113">
        <f t="shared" si="42"/>
        <v>2.0686152417441535</v>
      </c>
      <c r="AE113">
        <v>38.285359999999997</v>
      </c>
      <c r="AF113">
        <v>0.33761309274063589</v>
      </c>
      <c r="AG113">
        <f t="shared" si="26"/>
        <v>12.925638796288631</v>
      </c>
      <c r="AH113">
        <f t="shared" si="36"/>
        <v>-1.3781936189187327</v>
      </c>
      <c r="AI113">
        <f t="shared" si="37"/>
        <v>4.3205955780180378</v>
      </c>
      <c r="AJ113">
        <f t="shared" si="43"/>
        <v>0.6472146626696702</v>
      </c>
      <c r="AL113">
        <f t="shared" si="27"/>
        <v>38.974238167745774</v>
      </c>
      <c r="AM113">
        <f t="shared" si="38"/>
        <v>-5.6987891969367706</v>
      </c>
    </row>
    <row r="114" spans="1:39" x14ac:dyDescent="0.35">
      <c r="A114" s="2">
        <v>39904</v>
      </c>
      <c r="B114">
        <v>30.604590000000002</v>
      </c>
      <c r="C114">
        <v>0.22090489337811872</v>
      </c>
      <c r="D114">
        <f t="shared" si="22"/>
        <v>6.7607036908310389</v>
      </c>
      <c r="E114">
        <f t="shared" si="28"/>
        <v>10.159026340256116</v>
      </c>
      <c r="F114">
        <f t="shared" si="29"/>
        <v>1.4249604897761614</v>
      </c>
      <c r="G114">
        <f t="shared" si="39"/>
        <v>4.7135550449784898</v>
      </c>
      <c r="I114">
        <v>60.700569999999999</v>
      </c>
      <c r="J114">
        <v>0.1903057405179456</v>
      </c>
      <c r="K114">
        <f t="shared" si="23"/>
        <v>11.551666923711393</v>
      </c>
      <c r="L114">
        <f t="shared" si="30"/>
        <v>14.164116805909854</v>
      </c>
      <c r="M114">
        <f t="shared" si="31"/>
        <v>2.5801299758775773</v>
      </c>
      <c r="N114">
        <f t="shared" si="40"/>
        <v>0.12703498425764614</v>
      </c>
      <c r="P114">
        <v>34.173029999999997</v>
      </c>
      <c r="Q114">
        <v>1.2397457032974768E-2</v>
      </c>
      <c r="R114">
        <f t="shared" si="24"/>
        <v>0.42365867111155769</v>
      </c>
      <c r="S114">
        <f t="shared" si="32"/>
        <v>-3.9924852756578866</v>
      </c>
      <c r="T114">
        <f t="shared" si="33"/>
        <v>15.576472105690163</v>
      </c>
      <c r="U114">
        <f t="shared" si="41"/>
        <v>2.6438696398522019</v>
      </c>
      <c r="W114">
        <v>41.982100000000003</v>
      </c>
      <c r="X114">
        <v>0.23877881633032499</v>
      </c>
      <c r="Y114">
        <f t="shared" si="25"/>
        <v>10.024436145061337</v>
      </c>
      <c r="Z114">
        <f t="shared" si="34"/>
        <v>7.1945713950862134</v>
      </c>
      <c r="AA114">
        <f t="shared" si="35"/>
        <v>4.3894154349460637</v>
      </c>
      <c r="AB114">
        <f t="shared" si="42"/>
        <v>2.3134933085811489</v>
      </c>
      <c r="AE114">
        <v>43.625509999999998</v>
      </c>
      <c r="AF114">
        <v>0.33761309274063589</v>
      </c>
      <c r="AG114">
        <f t="shared" si="26"/>
        <v>14.728543353487538</v>
      </c>
      <c r="AH114">
        <f t="shared" si="36"/>
        <v>13.948282058729511</v>
      </c>
      <c r="AI114">
        <f t="shared" si="37"/>
        <v>2.3642952286972339</v>
      </c>
      <c r="AJ114">
        <f t="shared" si="43"/>
        <v>1.956300349320804</v>
      </c>
      <c r="AL114">
        <f t="shared" si="27"/>
        <v>43.489008784202859</v>
      </c>
      <c r="AM114">
        <f t="shared" si="38"/>
        <v>11.583986830032277</v>
      </c>
    </row>
    <row r="115" spans="1:39" x14ac:dyDescent="0.35">
      <c r="A115" s="2">
        <v>39934</v>
      </c>
      <c r="B115">
        <v>35.867269999999998</v>
      </c>
      <c r="C115">
        <v>0.22090489337811872</v>
      </c>
      <c r="D115">
        <f t="shared" si="22"/>
        <v>7.9232554551141954</v>
      </c>
      <c r="E115">
        <f t="shared" si="28"/>
        <v>17.195721295400457</v>
      </c>
      <c r="F115">
        <f t="shared" si="29"/>
        <v>4.6150101486569959</v>
      </c>
      <c r="G115">
        <f t="shared" si="39"/>
        <v>3.1900496588808345</v>
      </c>
      <c r="I115">
        <v>68.202929999999995</v>
      </c>
      <c r="J115">
        <v>0.1903057405179456</v>
      </c>
      <c r="K115">
        <f t="shared" si="23"/>
        <v>12.979409099143608</v>
      </c>
      <c r="L115">
        <f t="shared" si="30"/>
        <v>12.359620346233967</v>
      </c>
      <c r="M115">
        <f t="shared" si="31"/>
        <v>0.22109080050949359</v>
      </c>
      <c r="N115">
        <f t="shared" si="40"/>
        <v>2.3590391753680837</v>
      </c>
      <c r="P115">
        <v>37.762689999999999</v>
      </c>
      <c r="Q115">
        <v>1.2397457032974768E-2</v>
      </c>
      <c r="R115">
        <f t="shared" si="24"/>
        <v>0.46816132672454591</v>
      </c>
      <c r="S115">
        <f t="shared" si="32"/>
        <v>10.504365577181773</v>
      </c>
      <c r="T115">
        <f t="shared" si="33"/>
        <v>2.0763455695616884</v>
      </c>
      <c r="U115">
        <f t="shared" si="41"/>
        <v>13.500126536128475</v>
      </c>
      <c r="W115">
        <v>49.41254</v>
      </c>
      <c r="X115">
        <v>0.23877881633032499</v>
      </c>
      <c r="Y115">
        <f t="shared" si="25"/>
        <v>11.798667813074838</v>
      </c>
      <c r="Z115">
        <f t="shared" si="34"/>
        <v>17.699066983309542</v>
      </c>
      <c r="AA115">
        <f t="shared" si="35"/>
        <v>5.1183558365660815</v>
      </c>
      <c r="AB115">
        <f t="shared" si="42"/>
        <v>0.72894040162001783</v>
      </c>
      <c r="AE115">
        <v>46.771709999999999</v>
      </c>
      <c r="AF115">
        <v>0.33761309274063589</v>
      </c>
      <c r="AG115">
        <f t="shared" si="26"/>
        <v>15.790741665868127</v>
      </c>
      <c r="AH115">
        <f t="shared" si="36"/>
        <v>7.2118354604908896</v>
      </c>
      <c r="AI115">
        <f t="shared" si="37"/>
        <v>5.3688756862525713</v>
      </c>
      <c r="AJ115">
        <f t="shared" si="43"/>
        <v>3.0045804575553374</v>
      </c>
      <c r="AL115">
        <f t="shared" si="27"/>
        <v>48.960235359925314</v>
      </c>
      <c r="AM115">
        <f t="shared" si="38"/>
        <v>12.580711146743461</v>
      </c>
    </row>
    <row r="116" spans="1:39" x14ac:dyDescent="0.35">
      <c r="A116" s="2">
        <v>39965</v>
      </c>
      <c r="B116">
        <v>35.49194</v>
      </c>
      <c r="C116">
        <v>0.22090489337811872</v>
      </c>
      <c r="D116">
        <f t="shared" si="22"/>
        <v>7.8403432214825868</v>
      </c>
      <c r="E116">
        <f t="shared" si="28"/>
        <v>-1.0464415050267184</v>
      </c>
      <c r="F116">
        <f t="shared" si="29"/>
        <v>1.749774022091144</v>
      </c>
      <c r="G116">
        <f t="shared" si="39"/>
        <v>2.8652361265658519</v>
      </c>
      <c r="I116">
        <v>67.572090000000003</v>
      </c>
      <c r="J116">
        <v>0.1903057405179456</v>
      </c>
      <c r="K116">
        <f t="shared" si="23"/>
        <v>12.859356625795268</v>
      </c>
      <c r="L116">
        <f t="shared" si="30"/>
        <v>-0.92494559984445113</v>
      </c>
      <c r="M116">
        <f t="shared" si="31"/>
        <v>1.6282781169088767</v>
      </c>
      <c r="N116">
        <f t="shared" si="40"/>
        <v>1.4071873163993831</v>
      </c>
      <c r="P116">
        <v>39.900480000000002</v>
      </c>
      <c r="Q116">
        <v>1.2397457032974768E-2</v>
      </c>
      <c r="R116">
        <f t="shared" si="24"/>
        <v>0.4946644863950691</v>
      </c>
      <c r="S116">
        <f t="shared" si="32"/>
        <v>5.6611168325138017</v>
      </c>
      <c r="T116">
        <f t="shared" si="33"/>
        <v>4.9577843154493761</v>
      </c>
      <c r="U116">
        <f t="shared" si="41"/>
        <v>2.8814387458876878</v>
      </c>
      <c r="W116">
        <v>51.593699999999998</v>
      </c>
      <c r="X116">
        <v>0.23877881633032499</v>
      </c>
      <c r="Y116">
        <f t="shared" si="25"/>
        <v>12.319482616101888</v>
      </c>
      <c r="Z116">
        <f t="shared" si="34"/>
        <v>4.4141831203172277</v>
      </c>
      <c r="AA116">
        <f t="shared" si="35"/>
        <v>3.7108506032528021</v>
      </c>
      <c r="AB116">
        <f t="shared" si="42"/>
        <v>1.4075052333132794</v>
      </c>
      <c r="AE116">
        <v>46.771709999999999</v>
      </c>
      <c r="AF116">
        <v>0.33761309274063589</v>
      </c>
      <c r="AG116">
        <f t="shared" si="26"/>
        <v>15.790741665868127</v>
      </c>
      <c r="AH116">
        <f t="shared" si="36"/>
        <v>0</v>
      </c>
      <c r="AI116">
        <f t="shared" si="37"/>
        <v>0.70333251706442557</v>
      </c>
      <c r="AJ116">
        <f t="shared" si="43"/>
        <v>4.6655431691881457</v>
      </c>
      <c r="AL116">
        <f t="shared" si="27"/>
        <v>49.304588615642942</v>
      </c>
      <c r="AM116">
        <f t="shared" si="38"/>
        <v>0.70333251706442557</v>
      </c>
    </row>
    <row r="117" spans="1:39" x14ac:dyDescent="0.35">
      <c r="A117" s="2">
        <v>39995</v>
      </c>
      <c r="B117">
        <v>35.42962</v>
      </c>
      <c r="C117">
        <v>0.22090489337811872</v>
      </c>
      <c r="D117">
        <f t="shared" si="22"/>
        <v>7.8265764285272628</v>
      </c>
      <c r="E117">
        <f t="shared" si="28"/>
        <v>-0.17558916193366469</v>
      </c>
      <c r="F117">
        <f t="shared" si="29"/>
        <v>1.8780508714721922E-2</v>
      </c>
      <c r="G117">
        <f t="shared" si="39"/>
        <v>1.730993513376422</v>
      </c>
      <c r="I117">
        <v>65.577780000000004</v>
      </c>
      <c r="J117">
        <v>0.1903057405179456</v>
      </c>
      <c r="K117">
        <f t="shared" si="23"/>
        <v>12.479827984422924</v>
      </c>
      <c r="L117">
        <f t="shared" si="30"/>
        <v>-2.9513812581496324</v>
      </c>
      <c r="M117">
        <f t="shared" si="31"/>
        <v>2.7945726049306896</v>
      </c>
      <c r="N117">
        <f t="shared" si="40"/>
        <v>1.1662944880218129</v>
      </c>
      <c r="P117">
        <v>39.766820000000003</v>
      </c>
      <c r="Q117">
        <v>1.2397457032974768E-2</v>
      </c>
      <c r="R117">
        <f t="shared" si="24"/>
        <v>0.49300744228804166</v>
      </c>
      <c r="S117">
        <f t="shared" si="32"/>
        <v>-0.33498343879572179</v>
      </c>
      <c r="T117">
        <f t="shared" si="33"/>
        <v>0.17817478557677902</v>
      </c>
      <c r="U117">
        <f t="shared" si="41"/>
        <v>4.7796095298725971</v>
      </c>
      <c r="W117">
        <v>50.115459999999999</v>
      </c>
      <c r="X117">
        <v>0.23877881633032499</v>
      </c>
      <c r="Y117">
        <f t="shared" si="25"/>
        <v>11.966510218649749</v>
      </c>
      <c r="Z117">
        <f t="shared" si="34"/>
        <v>-2.865156017110615</v>
      </c>
      <c r="AA117">
        <f t="shared" si="35"/>
        <v>2.7083473638916722</v>
      </c>
      <c r="AB117">
        <f t="shared" si="42"/>
        <v>1.0025032393611299</v>
      </c>
      <c r="AE117">
        <v>48.758040000000001</v>
      </c>
      <c r="AF117">
        <v>0.33761309274063589</v>
      </c>
      <c r="AG117">
        <f t="shared" si="26"/>
        <v>16.461352680371636</v>
      </c>
      <c r="AH117">
        <f t="shared" si="36"/>
        <v>4.2468620454544137</v>
      </c>
      <c r="AI117">
        <f t="shared" si="37"/>
        <v>4.4036706986733565</v>
      </c>
      <c r="AJ117">
        <f t="shared" si="43"/>
        <v>3.7003381816089309</v>
      </c>
      <c r="AL117">
        <f t="shared" si="27"/>
        <v>49.227274754259611</v>
      </c>
      <c r="AM117">
        <f t="shared" si="38"/>
        <v>-0.15680865321894277</v>
      </c>
    </row>
    <row r="118" spans="1:39" x14ac:dyDescent="0.35">
      <c r="A118" s="2">
        <v>40026</v>
      </c>
      <c r="B118">
        <v>39.190989999999999</v>
      </c>
      <c r="C118">
        <v>0.22090489337811872</v>
      </c>
      <c r="D118">
        <f t="shared" si="22"/>
        <v>8.6574814673329161</v>
      </c>
      <c r="E118">
        <f t="shared" si="28"/>
        <v>10.616455948440873</v>
      </c>
      <c r="F118">
        <f t="shared" si="29"/>
        <v>2.8189127790159585</v>
      </c>
      <c r="G118">
        <f t="shared" si="39"/>
        <v>2.8001322703012366</v>
      </c>
      <c r="I118">
        <v>70.326120000000003</v>
      </c>
      <c r="J118">
        <v>0.1903057405179456</v>
      </c>
      <c r="K118">
        <f t="shared" si="23"/>
        <v>13.383464344353905</v>
      </c>
      <c r="L118">
        <f t="shared" si="30"/>
        <v>7.240775762765983</v>
      </c>
      <c r="M118">
        <f t="shared" si="31"/>
        <v>0.55676740665893121</v>
      </c>
      <c r="N118">
        <f t="shared" si="40"/>
        <v>2.2378051982717584</v>
      </c>
      <c r="P118">
        <v>40.807130000000001</v>
      </c>
      <c r="Q118">
        <v>1.2397457032974768E-2</v>
      </c>
      <c r="R118">
        <f t="shared" si="24"/>
        <v>0.50590464081401565</v>
      </c>
      <c r="S118">
        <f t="shared" si="32"/>
        <v>2.6160251184278671</v>
      </c>
      <c r="T118">
        <f t="shared" si="33"/>
        <v>5.1815180509970471</v>
      </c>
      <c r="U118">
        <f t="shared" si="41"/>
        <v>5.0033432654202681</v>
      </c>
      <c r="W118">
        <v>53.188090000000003</v>
      </c>
      <c r="X118">
        <v>0.23877881633032499</v>
      </c>
      <c r="Y118">
        <f t="shared" si="25"/>
        <v>12.700189173070797</v>
      </c>
      <c r="Z118">
        <f t="shared" si="34"/>
        <v>6.131102059125082</v>
      </c>
      <c r="AA118">
        <f t="shared" si="35"/>
        <v>1.6664411102998322</v>
      </c>
      <c r="AB118">
        <f t="shared" si="42"/>
        <v>1.04190625359184</v>
      </c>
      <c r="AE118">
        <v>52.778619999999997</v>
      </c>
      <c r="AF118">
        <v>0.33761309274063589</v>
      </c>
      <c r="AG118">
        <f t="shared" si="26"/>
        <v>17.818753128782777</v>
      </c>
      <c r="AH118">
        <f t="shared" si="36"/>
        <v>8.2459836367499548</v>
      </c>
      <c r="AI118">
        <f t="shared" si="37"/>
        <v>0.44844046732504061</v>
      </c>
      <c r="AJ118">
        <f t="shared" si="43"/>
        <v>3.9552302313483159</v>
      </c>
      <c r="AL118">
        <f t="shared" si="27"/>
        <v>53.065792754354412</v>
      </c>
      <c r="AM118">
        <f t="shared" si="38"/>
        <v>7.7975431694249142</v>
      </c>
    </row>
    <row r="119" spans="1:39" x14ac:dyDescent="0.35">
      <c r="A119" s="2">
        <v>40057</v>
      </c>
      <c r="B119">
        <v>40.058169999999997</v>
      </c>
      <c r="C119">
        <v>0.22090489337811872</v>
      </c>
      <c r="D119">
        <f t="shared" si="22"/>
        <v>8.8490457727725538</v>
      </c>
      <c r="E119">
        <f t="shared" si="28"/>
        <v>2.2127024604379653</v>
      </c>
      <c r="F119">
        <f t="shared" si="29"/>
        <v>1.6721859459527089</v>
      </c>
      <c r="G119">
        <f t="shared" si="39"/>
        <v>1.1467268330632496</v>
      </c>
      <c r="I119">
        <v>75.479830000000007</v>
      </c>
      <c r="J119">
        <v>0.1903057405179456</v>
      </c>
      <c r="K119">
        <f t="shared" si="23"/>
        <v>14.364244942318647</v>
      </c>
      <c r="L119">
        <f t="shared" si="30"/>
        <v>7.3283013480624382</v>
      </c>
      <c r="M119">
        <f t="shared" si="31"/>
        <v>3.443412941671764</v>
      </c>
      <c r="N119">
        <f t="shared" si="40"/>
        <v>2.8866455350128328</v>
      </c>
      <c r="P119">
        <v>42.120939999999997</v>
      </c>
      <c r="Q119">
        <v>1.2397457032974768E-2</v>
      </c>
      <c r="R119">
        <f t="shared" si="24"/>
        <v>0.52219254383850822</v>
      </c>
      <c r="S119">
        <f t="shared" si="32"/>
        <v>3.2195599151422671</v>
      </c>
      <c r="T119">
        <f t="shared" si="33"/>
        <v>0.66532849124840698</v>
      </c>
      <c r="U119">
        <f t="shared" si="41"/>
        <v>4.5161895597486401</v>
      </c>
      <c r="W119">
        <v>54.729689999999998</v>
      </c>
      <c r="X119">
        <v>0.23877881633032499</v>
      </c>
      <c r="Y119">
        <f t="shared" si="25"/>
        <v>13.068290596325625</v>
      </c>
      <c r="Z119">
        <f t="shared" si="34"/>
        <v>2.8983932305145732</v>
      </c>
      <c r="AA119">
        <f t="shared" si="35"/>
        <v>0.98649517587610092</v>
      </c>
      <c r="AB119">
        <f t="shared" si="42"/>
        <v>0.6799459344237313</v>
      </c>
      <c r="AE119">
        <v>54.273859999999999</v>
      </c>
      <c r="AF119">
        <v>0.33761309274063589</v>
      </c>
      <c r="AG119">
        <f t="shared" si="26"/>
        <v>18.323565729572287</v>
      </c>
      <c r="AH119">
        <f t="shared" si="36"/>
        <v>2.8330411064177108</v>
      </c>
      <c r="AI119">
        <f t="shared" si="37"/>
        <v>1.0518472999729633</v>
      </c>
      <c r="AJ119">
        <f t="shared" si="43"/>
        <v>0.60340683264792272</v>
      </c>
      <c r="AL119">
        <f t="shared" si="27"/>
        <v>55.127339584827624</v>
      </c>
      <c r="AM119">
        <f t="shared" si="38"/>
        <v>3.8848884063906741</v>
      </c>
    </row>
    <row r="120" spans="1:39" x14ac:dyDescent="0.35">
      <c r="A120" s="2">
        <v>40087</v>
      </c>
      <c r="B120">
        <v>40.195030000000003</v>
      </c>
      <c r="C120">
        <v>0.22090489337811872</v>
      </c>
      <c r="D120">
        <f t="shared" si="22"/>
        <v>8.8792788164802836</v>
      </c>
      <c r="E120">
        <f t="shared" si="28"/>
        <v>0.34165315090530779</v>
      </c>
      <c r="F120">
        <f t="shared" si="29"/>
        <v>0.7465738289750945</v>
      </c>
      <c r="G120">
        <f t="shared" si="39"/>
        <v>0.92561211697761436</v>
      </c>
      <c r="I120">
        <v>73.195589999999996</v>
      </c>
      <c r="J120">
        <v>0.1903057405179456</v>
      </c>
      <c r="K120">
        <f t="shared" si="23"/>
        <v>13.929540957597933</v>
      </c>
      <c r="L120">
        <f t="shared" si="30"/>
        <v>-3.0262919246108688</v>
      </c>
      <c r="M120">
        <f t="shared" si="31"/>
        <v>4.1145189044912716</v>
      </c>
      <c r="N120">
        <f t="shared" si="40"/>
        <v>0.67110596281950752</v>
      </c>
      <c r="P120">
        <v>42.851709999999997</v>
      </c>
      <c r="Q120">
        <v>1.2397457032974768E-2</v>
      </c>
      <c r="R120">
        <f t="shared" si="24"/>
        <v>0.53125223351449513</v>
      </c>
      <c r="S120">
        <f t="shared" si="32"/>
        <v>1.7349327911485357</v>
      </c>
      <c r="T120">
        <f t="shared" si="33"/>
        <v>0.64670581126813342</v>
      </c>
      <c r="U120">
        <f t="shared" si="41"/>
        <v>1.862267998027356E-2</v>
      </c>
      <c r="W120">
        <v>57.898859999999999</v>
      </c>
      <c r="X120">
        <v>0.23877881633032499</v>
      </c>
      <c r="Y120">
        <f t="shared" si="25"/>
        <v>13.8250212576752</v>
      </c>
      <c r="Z120">
        <f t="shared" si="34"/>
        <v>5.7905864257590478</v>
      </c>
      <c r="AA120">
        <f t="shared" si="35"/>
        <v>4.7023594458786455</v>
      </c>
      <c r="AB120">
        <f t="shared" si="42"/>
        <v>3.7158642700025446</v>
      </c>
      <c r="AE120">
        <v>54.980559999999997</v>
      </c>
      <c r="AF120">
        <v>0.33761309274063589</v>
      </c>
      <c r="AG120">
        <f t="shared" si="26"/>
        <v>18.562156902212095</v>
      </c>
      <c r="AH120">
        <f t="shared" si="36"/>
        <v>1.3021001270224764</v>
      </c>
      <c r="AI120">
        <f t="shared" si="37"/>
        <v>0.21387314714207406</v>
      </c>
      <c r="AJ120">
        <f t="shared" si="43"/>
        <v>0.83797415283088927</v>
      </c>
      <c r="AL120">
        <f t="shared" si="27"/>
        <v>55.727250167480008</v>
      </c>
      <c r="AM120">
        <f t="shared" si="38"/>
        <v>1.0882269798804023</v>
      </c>
    </row>
    <row r="121" spans="1:39" x14ac:dyDescent="0.35">
      <c r="A121" s="2">
        <v>40118</v>
      </c>
      <c r="B121">
        <v>39.964680000000001</v>
      </c>
      <c r="C121">
        <v>0.22090489337811872</v>
      </c>
      <c r="D121">
        <f t="shared" si="22"/>
        <v>8.8283933742906342</v>
      </c>
      <c r="E121">
        <f t="shared" si="28"/>
        <v>-0.57308080128314343</v>
      </c>
      <c r="F121">
        <f t="shared" si="29"/>
        <v>2.710093437061134</v>
      </c>
      <c r="G121">
        <f t="shared" si="39"/>
        <v>1.9635196080860395</v>
      </c>
      <c r="I121">
        <v>73.07002</v>
      </c>
      <c r="J121">
        <v>0.1903057405179456</v>
      </c>
      <c r="K121">
        <f t="shared" si="23"/>
        <v>13.905644265761095</v>
      </c>
      <c r="L121">
        <f t="shared" si="30"/>
        <v>-0.17155405127549095</v>
      </c>
      <c r="M121">
        <f t="shared" si="31"/>
        <v>2.3085666870534816</v>
      </c>
      <c r="N121">
        <f t="shared" si="40"/>
        <v>1.80595221743779</v>
      </c>
      <c r="P121">
        <v>42.805100000000003</v>
      </c>
      <c r="Q121">
        <v>1.2397457032974768E-2</v>
      </c>
      <c r="R121">
        <f t="shared" si="24"/>
        <v>0.53067438804218825</v>
      </c>
      <c r="S121">
        <f t="shared" si="32"/>
        <v>-0.10877045513467687</v>
      </c>
      <c r="T121">
        <f t="shared" si="33"/>
        <v>2.2457830909126675</v>
      </c>
      <c r="U121">
        <f t="shared" si="41"/>
        <v>1.5990772796445341</v>
      </c>
      <c r="W121">
        <v>59.840179999999997</v>
      </c>
      <c r="X121">
        <v>0.23877881633032499</v>
      </c>
      <c r="Y121">
        <f t="shared" si="25"/>
        <v>14.288567349393587</v>
      </c>
      <c r="Z121">
        <f t="shared" si="34"/>
        <v>3.3529502998850047</v>
      </c>
      <c r="AA121">
        <f t="shared" si="35"/>
        <v>1.2159376641070141</v>
      </c>
      <c r="AB121">
        <f t="shared" si="42"/>
        <v>3.4864217817716314</v>
      </c>
      <c r="AE121">
        <v>57.358170000000001</v>
      </c>
      <c r="AF121">
        <v>0.33761309274063589</v>
      </c>
      <c r="AG121">
        <f t="shared" si="26"/>
        <v>19.36486916764316</v>
      </c>
      <c r="AH121">
        <f t="shared" si="36"/>
        <v>4.3244557712762477</v>
      </c>
      <c r="AI121">
        <f t="shared" si="37"/>
        <v>2.1874431354982571</v>
      </c>
      <c r="AJ121">
        <f t="shared" si="43"/>
        <v>1.973569988356183</v>
      </c>
      <c r="AL121">
        <f t="shared" si="27"/>
        <v>56.918148545130663</v>
      </c>
      <c r="AM121">
        <f t="shared" si="38"/>
        <v>2.1370126357779906</v>
      </c>
    </row>
    <row r="122" spans="1:39" x14ac:dyDescent="0.35">
      <c r="A122" s="2">
        <v>40148</v>
      </c>
      <c r="B122">
        <v>40.643520000000002</v>
      </c>
      <c r="C122">
        <v>0.22090489337811872</v>
      </c>
      <c r="D122">
        <f t="shared" si="22"/>
        <v>8.9783524521114355</v>
      </c>
      <c r="E122">
        <f t="shared" si="28"/>
        <v>1.6985998636796396</v>
      </c>
      <c r="F122">
        <f t="shared" si="29"/>
        <v>0.12559502949429646</v>
      </c>
      <c r="G122">
        <f t="shared" si="39"/>
        <v>2.5844984075668376</v>
      </c>
      <c r="I122">
        <v>73.925629999999998</v>
      </c>
      <c r="J122">
        <v>0.1903057405179456</v>
      </c>
      <c r="K122">
        <f t="shared" si="23"/>
        <v>14.068471760405656</v>
      </c>
      <c r="L122">
        <f t="shared" si="30"/>
        <v>1.170945348037411</v>
      </c>
      <c r="M122">
        <f t="shared" si="31"/>
        <v>0.653249545136525</v>
      </c>
      <c r="N122">
        <f t="shared" si="40"/>
        <v>1.6553171419169566</v>
      </c>
      <c r="P122">
        <v>42.833240000000004</v>
      </c>
      <c r="Q122">
        <v>1.2397457032974768E-2</v>
      </c>
      <c r="R122">
        <f t="shared" si="24"/>
        <v>0.53102325248309623</v>
      </c>
      <c r="S122">
        <f t="shared" si="32"/>
        <v>6.5739830066968707E-2</v>
      </c>
      <c r="T122">
        <f t="shared" si="33"/>
        <v>1.7584550631069673</v>
      </c>
      <c r="U122">
        <f t="shared" si="41"/>
        <v>0.48732802780570017</v>
      </c>
      <c r="W122">
        <v>62.38035</v>
      </c>
      <c r="X122">
        <v>0.23877881633032499</v>
      </c>
      <c r="Y122">
        <f t="shared" si="25"/>
        <v>14.895106135271389</v>
      </c>
      <c r="Z122">
        <f t="shared" si="34"/>
        <v>4.2449237285048236</v>
      </c>
      <c r="AA122">
        <f t="shared" si="35"/>
        <v>2.4207288353308876</v>
      </c>
      <c r="AB122">
        <f t="shared" si="42"/>
        <v>1.2047911712238735</v>
      </c>
      <c r="AE122">
        <v>57.709530000000001</v>
      </c>
      <c r="AF122">
        <v>0.33761309274063589</v>
      </c>
      <c r="AG122">
        <f t="shared" si="26"/>
        <v>19.483492903908509</v>
      </c>
      <c r="AH122">
        <f t="shared" si="36"/>
        <v>0.61257184460383751</v>
      </c>
      <c r="AI122">
        <f t="shared" si="37"/>
        <v>1.2116230485700985</v>
      </c>
      <c r="AJ122">
        <f t="shared" si="43"/>
        <v>0.97582008692815858</v>
      </c>
      <c r="AL122">
        <f t="shared" si="27"/>
        <v>57.956446504180086</v>
      </c>
      <c r="AM122">
        <f t="shared" si="38"/>
        <v>1.824194893173936</v>
      </c>
    </row>
    <row r="123" spans="1:39" x14ac:dyDescent="0.35">
      <c r="A123" s="2">
        <v>40179</v>
      </c>
      <c r="B123">
        <v>42.750489999999999</v>
      </c>
      <c r="C123">
        <v>0.21809825174708375</v>
      </c>
      <c r="D123">
        <f t="shared" si="22"/>
        <v>9.3238071303311862</v>
      </c>
      <c r="E123">
        <f t="shared" si="28"/>
        <v>5.1840244152081327</v>
      </c>
      <c r="F123">
        <f t="shared" si="29"/>
        <v>2.1151397726603127</v>
      </c>
      <c r="G123">
        <f t="shared" si="39"/>
        <v>1.9895447431660163</v>
      </c>
      <c r="I123">
        <v>77.676410000000004</v>
      </c>
      <c r="J123">
        <v>0.19031315484289657</v>
      </c>
      <c r="K123">
        <f t="shared" si="23"/>
        <v>14.782842643970321</v>
      </c>
      <c r="L123">
        <f t="shared" si="30"/>
        <v>5.0737207109361249</v>
      </c>
      <c r="M123">
        <f t="shared" si="31"/>
        <v>2.0048360683883049</v>
      </c>
      <c r="N123">
        <f t="shared" si="40"/>
        <v>1.3515865232517799</v>
      </c>
      <c r="P123">
        <v>44.311489999999999</v>
      </c>
      <c r="Q123">
        <v>1.1674780619513683E-2</v>
      </c>
      <c r="R123">
        <f t="shared" si="24"/>
        <v>0.51732692467377439</v>
      </c>
      <c r="S123">
        <f t="shared" si="32"/>
        <v>3.4511748352447746</v>
      </c>
      <c r="T123">
        <f t="shared" si="33"/>
        <v>0.38229019269695463</v>
      </c>
      <c r="U123">
        <f t="shared" si="41"/>
        <v>1.3761648704100127</v>
      </c>
      <c r="W123">
        <v>63.395510000000002</v>
      </c>
      <c r="X123">
        <v>0.23323668123792224</v>
      </c>
      <c r="Y123">
        <f t="shared" si="25"/>
        <v>14.786158357785512</v>
      </c>
      <c r="Z123">
        <f t="shared" si="34"/>
        <v>1.6273714398845174</v>
      </c>
      <c r="AA123">
        <f t="shared" si="35"/>
        <v>1.4415132026633026</v>
      </c>
      <c r="AB123">
        <f t="shared" si="42"/>
        <v>0.97921563266758493</v>
      </c>
      <c r="AE123">
        <v>58.627830000000003</v>
      </c>
      <c r="AF123">
        <v>0.34667713155258378</v>
      </c>
      <c r="AG123">
        <f t="shared" si="26"/>
        <v>20.324927933552519</v>
      </c>
      <c r="AH123">
        <f t="shared" si="36"/>
        <v>1.5912449815481011</v>
      </c>
      <c r="AI123">
        <f t="shared" si="37"/>
        <v>1.4776396609997189</v>
      </c>
      <c r="AJ123">
        <f t="shared" si="43"/>
        <v>0.26601661242962038</v>
      </c>
      <c r="AL123">
        <f t="shared" si="27"/>
        <v>59.73506299031331</v>
      </c>
      <c r="AM123">
        <f t="shared" si="38"/>
        <v>3.06888464254782</v>
      </c>
    </row>
    <row r="124" spans="1:39" x14ac:dyDescent="0.35">
      <c r="A124" s="2">
        <v>40210</v>
      </c>
      <c r="B124">
        <v>43.272150000000003</v>
      </c>
      <c r="C124">
        <v>0.21809825174708375</v>
      </c>
      <c r="D124">
        <f t="shared" si="22"/>
        <v>9.437580264337571</v>
      </c>
      <c r="E124">
        <f t="shared" si="28"/>
        <v>1.2202433235268373</v>
      </c>
      <c r="F124">
        <f t="shared" si="29"/>
        <v>2.8070580801714651</v>
      </c>
      <c r="G124">
        <f t="shared" si="39"/>
        <v>0.69191830751115235</v>
      </c>
      <c r="I124">
        <v>77.809520000000006</v>
      </c>
      <c r="J124">
        <v>0.19031315484289657</v>
      </c>
      <c r="K124">
        <f t="shared" si="23"/>
        <v>14.808175228011459</v>
      </c>
      <c r="L124">
        <f t="shared" si="30"/>
        <v>0.17136476827392944</v>
      </c>
      <c r="M124">
        <f t="shared" si="31"/>
        <v>1.7581795249185572</v>
      </c>
      <c r="N124">
        <f t="shared" si="40"/>
        <v>0.24665654346974764</v>
      </c>
      <c r="P124">
        <v>44.456589999999998</v>
      </c>
      <c r="Q124">
        <v>1.1674780619513683E-2</v>
      </c>
      <c r="R124">
        <f t="shared" si="24"/>
        <v>0.51902093534166582</v>
      </c>
      <c r="S124">
        <f t="shared" si="32"/>
        <v>0.32745457216627472</v>
      </c>
      <c r="T124">
        <f t="shared" si="33"/>
        <v>1.9142693288109025</v>
      </c>
      <c r="U124">
        <f t="shared" si="41"/>
        <v>1.5319791361139479</v>
      </c>
      <c r="W124">
        <v>60.131309999999999</v>
      </c>
      <c r="X124">
        <v>0.23323668123792224</v>
      </c>
      <c r="Y124">
        <f t="shared" si="25"/>
        <v>14.024827182888686</v>
      </c>
      <c r="Z124">
        <f t="shared" si="34"/>
        <v>-5.1489450909062873</v>
      </c>
      <c r="AA124">
        <f t="shared" si="35"/>
        <v>3.5621303342616595</v>
      </c>
      <c r="AB124">
        <f t="shared" si="42"/>
        <v>2.1206171315983569</v>
      </c>
      <c r="AE124">
        <v>57.683570000000003</v>
      </c>
      <c r="AF124">
        <v>0.34667713155258378</v>
      </c>
      <c r="AG124">
        <f t="shared" si="26"/>
        <v>19.997574585312677</v>
      </c>
      <c r="AH124">
        <f t="shared" si="36"/>
        <v>-1.6106002899987981</v>
      </c>
      <c r="AI124">
        <f t="shared" si="37"/>
        <v>2.378553335417033E-2</v>
      </c>
      <c r="AJ124">
        <f t="shared" si="43"/>
        <v>1.4538541276455486</v>
      </c>
      <c r="AL124">
        <f t="shared" si="27"/>
        <v>58.787178195892054</v>
      </c>
      <c r="AM124">
        <f t="shared" si="38"/>
        <v>-1.5868147566446278</v>
      </c>
    </row>
    <row r="125" spans="1:39" x14ac:dyDescent="0.35">
      <c r="A125" s="2">
        <v>40238</v>
      </c>
      <c r="B125">
        <v>45.375050000000002</v>
      </c>
      <c r="C125">
        <v>0.21809825174708375</v>
      </c>
      <c r="D125">
        <f t="shared" si="22"/>
        <v>9.8962190779365127</v>
      </c>
      <c r="E125">
        <f t="shared" si="28"/>
        <v>4.8597076872769263</v>
      </c>
      <c r="F125">
        <f t="shared" si="29"/>
        <v>1.5203912624201177</v>
      </c>
      <c r="G125">
        <f t="shared" si="39"/>
        <v>1.2866668177513474</v>
      </c>
      <c r="I125">
        <v>84.141499999999994</v>
      </c>
      <c r="J125">
        <v>0.19031315484289657</v>
      </c>
      <c r="K125">
        <f t="shared" si="23"/>
        <v>16.013234318213581</v>
      </c>
      <c r="L125">
        <f t="shared" si="30"/>
        <v>8.1377959920585283</v>
      </c>
      <c r="M125">
        <f t="shared" si="31"/>
        <v>1.7576970423614844</v>
      </c>
      <c r="N125">
        <f t="shared" si="40"/>
        <v>4.824825570728386E-4</v>
      </c>
      <c r="P125">
        <v>48.846499999999999</v>
      </c>
      <c r="Q125">
        <v>1.1674780619513683E-2</v>
      </c>
      <c r="R125">
        <f t="shared" si="24"/>
        <v>0.57027217153107512</v>
      </c>
      <c r="S125">
        <f t="shared" si="32"/>
        <v>9.8745990189530897</v>
      </c>
      <c r="T125">
        <f t="shared" si="33"/>
        <v>3.4945000692560457</v>
      </c>
      <c r="U125">
        <f t="shared" si="41"/>
        <v>1.5802307404451432</v>
      </c>
      <c r="W125">
        <v>62.927900000000001</v>
      </c>
      <c r="X125">
        <v>0.23323668123792224</v>
      </c>
      <c r="Y125">
        <f t="shared" si="25"/>
        <v>14.677094553271846</v>
      </c>
      <c r="Z125">
        <f t="shared" si="34"/>
        <v>4.6508050464890927</v>
      </c>
      <c r="AA125">
        <f t="shared" si="35"/>
        <v>1.7292939032079513</v>
      </c>
      <c r="AB125">
        <f t="shared" si="42"/>
        <v>1.8328364310537082</v>
      </c>
      <c r="AE125">
        <v>61.674210000000002</v>
      </c>
      <c r="AF125">
        <v>0.34667713155258378</v>
      </c>
      <c r="AG125">
        <f t="shared" si="26"/>
        <v>21.381038213571678</v>
      </c>
      <c r="AH125">
        <f t="shared" si="36"/>
        <v>6.9181571112883589</v>
      </c>
      <c r="AI125">
        <f t="shared" si="37"/>
        <v>0.53805816159131492</v>
      </c>
      <c r="AJ125">
        <f t="shared" si="43"/>
        <v>0.51427262823714459</v>
      </c>
      <c r="AL125">
        <f t="shared" si="27"/>
        <v>62.537858334524692</v>
      </c>
      <c r="AM125">
        <f t="shared" si="38"/>
        <v>6.3800989496970439</v>
      </c>
    </row>
    <row r="126" spans="1:39" x14ac:dyDescent="0.35">
      <c r="A126" s="2">
        <v>40269</v>
      </c>
      <c r="B126">
        <v>47.759790000000002</v>
      </c>
      <c r="C126">
        <v>0.21809825174708375</v>
      </c>
      <c r="D126">
        <f t="shared" si="22"/>
        <v>10.416326702807854</v>
      </c>
      <c r="E126">
        <f t="shared" si="28"/>
        <v>5.2556195530363059</v>
      </c>
      <c r="F126">
        <f t="shared" si="29"/>
        <v>1.7211481744799473</v>
      </c>
      <c r="G126">
        <f t="shared" si="39"/>
        <v>0.2007569120598296</v>
      </c>
      <c r="I126">
        <v>85.270309999999995</v>
      </c>
      <c r="J126">
        <v>0.19031315484289657</v>
      </c>
      <c r="K126">
        <f t="shared" si="23"/>
        <v>16.22806171053179</v>
      </c>
      <c r="L126">
        <f t="shared" si="30"/>
        <v>1.3415615362217137</v>
      </c>
      <c r="M126">
        <f t="shared" si="31"/>
        <v>2.1929098423346449</v>
      </c>
      <c r="N126">
        <f t="shared" si="40"/>
        <v>0.43521279997316054</v>
      </c>
      <c r="P126">
        <v>52.050989999999999</v>
      </c>
      <c r="Q126">
        <v>1.1674780619513683E-2</v>
      </c>
      <c r="R126">
        <f t="shared" si="24"/>
        <v>0.60768388927850048</v>
      </c>
      <c r="S126">
        <f t="shared" si="32"/>
        <v>6.5603267378420149</v>
      </c>
      <c r="T126">
        <f t="shared" si="33"/>
        <v>3.0258553592856563</v>
      </c>
      <c r="U126">
        <f t="shared" si="41"/>
        <v>0.46864470997038943</v>
      </c>
      <c r="W126">
        <v>65.70187</v>
      </c>
      <c r="X126">
        <v>0.23323668123792224</v>
      </c>
      <c r="Y126">
        <f t="shared" si="25"/>
        <v>15.324086109925405</v>
      </c>
      <c r="Z126">
        <f t="shared" si="34"/>
        <v>4.4081718919589008</v>
      </c>
      <c r="AA126">
        <f t="shared" si="35"/>
        <v>0.87370051340254218</v>
      </c>
      <c r="AB126">
        <f t="shared" si="42"/>
        <v>0.85559338980540911</v>
      </c>
      <c r="AE126">
        <v>63.956000000000003</v>
      </c>
      <c r="AF126">
        <v>0.34667713155258378</v>
      </c>
      <c r="AG126">
        <f t="shared" si="26"/>
        <v>22.172082625577051</v>
      </c>
      <c r="AH126">
        <f t="shared" si="36"/>
        <v>3.6997474308953393</v>
      </c>
      <c r="AI126">
        <f t="shared" si="37"/>
        <v>0.16527605233898068</v>
      </c>
      <c r="AJ126">
        <f t="shared" si="43"/>
        <v>0.37278210925233424</v>
      </c>
      <c r="AL126">
        <f t="shared" si="27"/>
        <v>64.748241038120597</v>
      </c>
      <c r="AM126">
        <f t="shared" si="38"/>
        <v>3.5344713785563586</v>
      </c>
    </row>
    <row r="127" spans="1:39" x14ac:dyDescent="0.35">
      <c r="A127" s="2">
        <v>40299</v>
      </c>
      <c r="B127">
        <v>46.559289999999997</v>
      </c>
      <c r="C127">
        <v>0.21809825174708375</v>
      </c>
      <c r="D127">
        <f t="shared" si="22"/>
        <v>10.154499751585478</v>
      </c>
      <c r="E127">
        <f t="shared" si="28"/>
        <v>-2.5136207675955147</v>
      </c>
      <c r="F127">
        <f t="shared" si="29"/>
        <v>4.2053402719800621</v>
      </c>
      <c r="G127">
        <f t="shared" si="39"/>
        <v>2.4841920975001148</v>
      </c>
      <c r="I127">
        <v>76.975589999999997</v>
      </c>
      <c r="J127">
        <v>0.19031315484289657</v>
      </c>
      <c r="K127">
        <f t="shared" si="23"/>
        <v>14.64946737879332</v>
      </c>
      <c r="L127">
        <f t="shared" si="30"/>
        <v>-9.7275593345444555</v>
      </c>
      <c r="M127">
        <f t="shared" si="31"/>
        <v>3.0085982949688788</v>
      </c>
      <c r="N127">
        <f t="shared" si="40"/>
        <v>0.81568845263423384</v>
      </c>
      <c r="P127">
        <v>49.494610000000002</v>
      </c>
      <c r="Q127">
        <v>1.1674780619513683E-2</v>
      </c>
      <c r="R127">
        <f t="shared" si="24"/>
        <v>0.57783871359838812</v>
      </c>
      <c r="S127">
        <f t="shared" si="32"/>
        <v>-4.9112994776852386</v>
      </c>
      <c r="T127">
        <f t="shared" si="33"/>
        <v>1.8076615618903382</v>
      </c>
      <c r="U127">
        <f t="shared" si="41"/>
        <v>1.2181937973953181</v>
      </c>
      <c r="W127">
        <v>61.525080000000003</v>
      </c>
      <c r="X127">
        <v>0.23323668123792224</v>
      </c>
      <c r="Y127">
        <f t="shared" si="25"/>
        <v>14.349905472097666</v>
      </c>
      <c r="Z127">
        <f t="shared" si="34"/>
        <v>-6.3571858761402034</v>
      </c>
      <c r="AA127">
        <f t="shared" si="35"/>
        <v>0.36177516343537341</v>
      </c>
      <c r="AB127">
        <f t="shared" si="42"/>
        <v>0.51192534996716876</v>
      </c>
      <c r="AE127">
        <v>59.612009999999998</v>
      </c>
      <c r="AF127">
        <v>0.34667713155258378</v>
      </c>
      <c r="AG127">
        <f t="shared" si="26"/>
        <v>20.666120632883938</v>
      </c>
      <c r="AH127">
        <f t="shared" si="36"/>
        <v>-6.7921539808618476</v>
      </c>
      <c r="AI127">
        <f t="shared" si="37"/>
        <v>7.3192941286270852E-2</v>
      </c>
      <c r="AJ127">
        <f t="shared" si="43"/>
        <v>9.2083111052709832E-2</v>
      </c>
      <c r="AL127">
        <f t="shared" si="27"/>
        <v>60.397831948958789</v>
      </c>
      <c r="AM127">
        <f t="shared" si="38"/>
        <v>-6.7189610395755768</v>
      </c>
    </row>
    <row r="128" spans="1:39" x14ac:dyDescent="0.35">
      <c r="A128" s="2">
        <v>40330</v>
      </c>
      <c r="B128">
        <v>47.706949999999999</v>
      </c>
      <c r="C128">
        <v>0.21809825174708375</v>
      </c>
      <c r="D128">
        <f t="shared" si="22"/>
        <v>10.404802391185537</v>
      </c>
      <c r="E128">
        <f t="shared" si="28"/>
        <v>2.4649430865462119</v>
      </c>
      <c r="F128">
        <f t="shared" si="29"/>
        <v>1.418790998236541</v>
      </c>
      <c r="G128">
        <f t="shared" si="39"/>
        <v>2.7865492737435211</v>
      </c>
      <c r="I128">
        <v>76.706280000000007</v>
      </c>
      <c r="J128">
        <v>0.19031315484289657</v>
      </c>
      <c r="K128">
        <f t="shared" si="23"/>
        <v>14.598214143062581</v>
      </c>
      <c r="L128">
        <f t="shared" si="30"/>
        <v>-0.34986415823508032</v>
      </c>
      <c r="M128">
        <f t="shared" si="31"/>
        <v>1.3960162465447512</v>
      </c>
      <c r="N128">
        <f t="shared" si="40"/>
        <v>1.6125820484241276</v>
      </c>
      <c r="P128">
        <v>48.847380000000001</v>
      </c>
      <c r="Q128">
        <v>1.1674780619513683E-2</v>
      </c>
      <c r="R128">
        <f t="shared" si="24"/>
        <v>0.57028244533802031</v>
      </c>
      <c r="S128">
        <f t="shared" si="32"/>
        <v>-1.3076777451120458</v>
      </c>
      <c r="T128">
        <f t="shared" si="33"/>
        <v>2.3538298334217167</v>
      </c>
      <c r="U128">
        <f t="shared" si="41"/>
        <v>0.54616827153137848</v>
      </c>
      <c r="W128">
        <v>60.944339999999997</v>
      </c>
      <c r="X128">
        <v>0.23323668123792224</v>
      </c>
      <c r="Y128">
        <f t="shared" si="25"/>
        <v>14.214455601835553</v>
      </c>
      <c r="Z128">
        <f t="shared" si="34"/>
        <v>-0.94390775274084682</v>
      </c>
      <c r="AA128">
        <f t="shared" si="35"/>
        <v>1.9900598410505177</v>
      </c>
      <c r="AB128">
        <f t="shared" si="42"/>
        <v>1.6282846776151443</v>
      </c>
      <c r="AE128">
        <v>61.272950000000002</v>
      </c>
      <c r="AF128">
        <v>0.34667713155258378</v>
      </c>
      <c r="AG128">
        <f t="shared" si="26"/>
        <v>21.241930547764888</v>
      </c>
      <c r="AH128">
        <f t="shared" si="36"/>
        <v>2.7862506229868744</v>
      </c>
      <c r="AI128">
        <f t="shared" si="37"/>
        <v>1.7400985346772035</v>
      </c>
      <c r="AJ128">
        <f t="shared" si="43"/>
        <v>1.6669055933909327</v>
      </c>
      <c r="AL128">
        <f t="shared" si="27"/>
        <v>61.029685129186589</v>
      </c>
      <c r="AM128">
        <f t="shared" si="38"/>
        <v>1.0461520883096709</v>
      </c>
    </row>
    <row r="129" spans="1:39" x14ac:dyDescent="0.35">
      <c r="A129" s="2">
        <v>40360</v>
      </c>
      <c r="B129">
        <v>47.99962</v>
      </c>
      <c r="C129">
        <v>0.21809825174708375</v>
      </c>
      <c r="D129">
        <f t="shared" si="22"/>
        <v>10.468633206524355</v>
      </c>
      <c r="E129">
        <f t="shared" si="28"/>
        <v>0.61347455664217954</v>
      </c>
      <c r="F129">
        <f t="shared" si="29"/>
        <v>0.62367256676020277</v>
      </c>
      <c r="G129">
        <f t="shared" si="39"/>
        <v>0.79511843147633821</v>
      </c>
      <c r="I129">
        <v>76.011120000000005</v>
      </c>
      <c r="J129">
        <v>0.19031315484289657</v>
      </c>
      <c r="K129">
        <f t="shared" si="23"/>
        <v>14.465916050341994</v>
      </c>
      <c r="L129">
        <f t="shared" si="30"/>
        <v>-0.9062621730580589</v>
      </c>
      <c r="M129">
        <f t="shared" si="31"/>
        <v>0.89606416294003566</v>
      </c>
      <c r="N129">
        <f t="shared" si="40"/>
        <v>0.49995208360471555</v>
      </c>
      <c r="P129">
        <v>49.917589999999997</v>
      </c>
      <c r="Q129">
        <v>1.1674780619513683E-2</v>
      </c>
      <c r="R129">
        <f t="shared" si="24"/>
        <v>0.58277691230482997</v>
      </c>
      <c r="S129">
        <f t="shared" si="32"/>
        <v>2.1909261049415374</v>
      </c>
      <c r="T129">
        <f t="shared" si="33"/>
        <v>2.2011241150595606</v>
      </c>
      <c r="U129">
        <f t="shared" si="41"/>
        <v>0.15270571836215607</v>
      </c>
      <c r="W129">
        <v>60.110190000000003</v>
      </c>
      <c r="X129">
        <v>0.23323668123792224</v>
      </c>
      <c r="Y129">
        <f t="shared" si="25"/>
        <v>14.019901224180941</v>
      </c>
      <c r="Z129">
        <f t="shared" si="34"/>
        <v>-1.3687079062633112</v>
      </c>
      <c r="AA129">
        <f t="shared" si="35"/>
        <v>1.3585098961452879</v>
      </c>
      <c r="AB129">
        <f t="shared" si="42"/>
        <v>0.63154994490522975</v>
      </c>
      <c r="AE129">
        <v>61.977649999999997</v>
      </c>
      <c r="AF129">
        <v>0.34667713155258378</v>
      </c>
      <c r="AG129">
        <f t="shared" si="26"/>
        <v>21.486233922369994</v>
      </c>
      <c r="AH129">
        <f t="shared" si="36"/>
        <v>1.1500996769373772</v>
      </c>
      <c r="AI129">
        <f t="shared" si="37"/>
        <v>1.1602976870554005</v>
      </c>
      <c r="AJ129">
        <f t="shared" si="43"/>
        <v>0.57980084762180306</v>
      </c>
      <c r="AL129">
        <f t="shared" si="27"/>
        <v>61.023461315722116</v>
      </c>
      <c r="AM129">
        <f t="shared" si="38"/>
        <v>-1.0198010118023237E-2</v>
      </c>
    </row>
    <row r="130" spans="1:39" x14ac:dyDescent="0.35">
      <c r="A130" s="2">
        <v>40391</v>
      </c>
      <c r="B130">
        <v>47.998260000000002</v>
      </c>
      <c r="C130">
        <v>0.21809825174708375</v>
      </c>
      <c r="D130">
        <f t="shared" si="22"/>
        <v>10.468336592901981</v>
      </c>
      <c r="E130">
        <f t="shared" si="28"/>
        <v>-2.8333557640647378E-3</v>
      </c>
      <c r="F130">
        <f t="shared" si="29"/>
        <v>1.6357682802104478</v>
      </c>
      <c r="G130">
        <f t="shared" si="39"/>
        <v>1.0120957134502451</v>
      </c>
      <c r="I130">
        <v>78.563590000000005</v>
      </c>
      <c r="J130">
        <v>0.19031315484289657</v>
      </c>
      <c r="K130">
        <f t="shared" si="23"/>
        <v>14.951684668683841</v>
      </c>
      <c r="L130">
        <f t="shared" si="30"/>
        <v>3.3580218262801553</v>
      </c>
      <c r="M130">
        <f t="shared" si="31"/>
        <v>1.7250869018337722</v>
      </c>
      <c r="N130">
        <f t="shared" si="40"/>
        <v>0.82902273889373657</v>
      </c>
      <c r="P130">
        <v>51.103009999999998</v>
      </c>
      <c r="Q130">
        <v>1.1674780619513683E-2</v>
      </c>
      <c r="R130">
        <f t="shared" si="24"/>
        <v>0.59661643074681392</v>
      </c>
      <c r="S130">
        <f t="shared" si="32"/>
        <v>2.3747540696576142</v>
      </c>
      <c r="T130">
        <f t="shared" si="33"/>
        <v>0.74181914521123105</v>
      </c>
      <c r="U130">
        <f t="shared" si="41"/>
        <v>1.4593049698483296</v>
      </c>
      <c r="W130">
        <v>61.259599999999999</v>
      </c>
      <c r="X130">
        <v>0.23323668123792224</v>
      </c>
      <c r="Y130">
        <f t="shared" si="25"/>
        <v>14.287985797962621</v>
      </c>
      <c r="Z130">
        <f t="shared" si="34"/>
        <v>1.9121716301345737</v>
      </c>
      <c r="AA130">
        <f t="shared" si="35"/>
        <v>0.27923670568819059</v>
      </c>
      <c r="AB130">
        <f t="shared" si="42"/>
        <v>1.0792731904570974</v>
      </c>
      <c r="AE130">
        <v>62.63843</v>
      </c>
      <c r="AF130">
        <v>0.34667713155258378</v>
      </c>
      <c r="AG130">
        <f t="shared" si="26"/>
        <v>21.715311237357312</v>
      </c>
      <c r="AH130">
        <f t="shared" si="36"/>
        <v>1.0661585265010931</v>
      </c>
      <c r="AI130">
        <f t="shared" si="37"/>
        <v>0.56677639794529</v>
      </c>
      <c r="AJ130">
        <f t="shared" si="43"/>
        <v>0.59352128911011048</v>
      </c>
      <c r="AL130">
        <f t="shared" si="27"/>
        <v>62.019934727652569</v>
      </c>
      <c r="AM130">
        <f t="shared" si="38"/>
        <v>1.6329349244463831</v>
      </c>
    </row>
    <row r="131" spans="1:39" x14ac:dyDescent="0.35">
      <c r="A131" s="2">
        <v>40422</v>
      </c>
      <c r="B131">
        <v>48.61477</v>
      </c>
      <c r="C131">
        <v>0.21809825174708375</v>
      </c>
      <c r="D131">
        <f t="shared" si="22"/>
        <v>10.602796346086574</v>
      </c>
      <c r="E131">
        <f t="shared" si="28"/>
        <v>1.2844423943701333</v>
      </c>
      <c r="F131">
        <f t="shared" si="29"/>
        <v>1.8147690560165408</v>
      </c>
      <c r="G131">
        <f t="shared" si="39"/>
        <v>0.17900077580609297</v>
      </c>
      <c r="I131">
        <v>81.770449999999997</v>
      </c>
      <c r="J131">
        <v>0.19031315484289657</v>
      </c>
      <c r="K131">
        <f t="shared" si="23"/>
        <v>15.561992312423332</v>
      </c>
      <c r="L131">
        <f t="shared" si="30"/>
        <v>4.0818654035539748</v>
      </c>
      <c r="M131">
        <f t="shared" si="31"/>
        <v>0.98265395316730064</v>
      </c>
      <c r="N131">
        <f t="shared" si="40"/>
        <v>0.74243294866647158</v>
      </c>
      <c r="P131">
        <v>51.942830000000001</v>
      </c>
      <c r="Q131">
        <v>1.1674780619513683E-2</v>
      </c>
      <c r="R131">
        <f t="shared" si="24"/>
        <v>0.60642114500669386</v>
      </c>
      <c r="S131">
        <f t="shared" si="32"/>
        <v>1.6433865637268896</v>
      </c>
      <c r="T131">
        <f t="shared" si="33"/>
        <v>1.4558248866597845</v>
      </c>
      <c r="U131">
        <f t="shared" si="41"/>
        <v>0.71400574144855344</v>
      </c>
      <c r="W131">
        <v>62.8917</v>
      </c>
      <c r="X131">
        <v>0.23323668123792224</v>
      </c>
      <c r="Y131">
        <f t="shared" si="25"/>
        <v>14.668651385411033</v>
      </c>
      <c r="Z131">
        <f t="shared" si="34"/>
        <v>2.6642354830916259</v>
      </c>
      <c r="AA131">
        <f t="shared" si="35"/>
        <v>0.43497596729504817</v>
      </c>
      <c r="AB131">
        <f t="shared" si="42"/>
        <v>0.15573926160685758</v>
      </c>
      <c r="AE131">
        <v>64.908240000000006</v>
      </c>
      <c r="AF131">
        <v>0.34667713155258378</v>
      </c>
      <c r="AG131">
        <f t="shared" si="26"/>
        <v>22.502202457326682</v>
      </c>
      <c r="AH131">
        <f t="shared" si="36"/>
        <v>3.6236700057776128</v>
      </c>
      <c r="AI131">
        <f t="shared" si="37"/>
        <v>0.52445855539093866</v>
      </c>
      <c r="AJ131">
        <f t="shared" si="43"/>
        <v>4.2317842554351337E-2</v>
      </c>
      <c r="AL131">
        <f t="shared" si="27"/>
        <v>63.942063646254311</v>
      </c>
      <c r="AM131">
        <f t="shared" si="38"/>
        <v>3.0992114503866741</v>
      </c>
    </row>
    <row r="132" spans="1:39" x14ac:dyDescent="0.35">
      <c r="A132" s="2">
        <v>40452</v>
      </c>
      <c r="B132">
        <v>49.362720000000003</v>
      </c>
      <c r="C132">
        <v>0.21809825174708375</v>
      </c>
      <c r="D132">
        <f t="shared" ref="D132:D195" si="44">B132*C132</f>
        <v>10.765922933480807</v>
      </c>
      <c r="E132">
        <f t="shared" si="28"/>
        <v>1.53852419748155</v>
      </c>
      <c r="F132">
        <f t="shared" si="29"/>
        <v>1.8560325703188996</v>
      </c>
      <c r="G132">
        <f t="shared" si="39"/>
        <v>4.126351430235875E-2</v>
      </c>
      <c r="I132">
        <v>85.753190000000004</v>
      </c>
      <c r="J132">
        <v>0.19031315484289657</v>
      </c>
      <c r="K132">
        <f t="shared" ref="K132:K195" si="45">I132*J132</f>
        <v>16.31996012674233</v>
      </c>
      <c r="L132">
        <f t="shared" si="30"/>
        <v>4.8706348075619132</v>
      </c>
      <c r="M132">
        <f t="shared" si="31"/>
        <v>1.4760780397614637</v>
      </c>
      <c r="N132">
        <f t="shared" si="40"/>
        <v>0.49342408659416304</v>
      </c>
      <c r="P132">
        <v>51.272730000000003</v>
      </c>
      <c r="Q132">
        <v>1.1674780619513683E-2</v>
      </c>
      <c r="R132">
        <f t="shared" ref="R132:R195" si="46">P132*Q132</f>
        <v>0.59859787451355784</v>
      </c>
      <c r="S132">
        <f t="shared" si="32"/>
        <v>-1.2900721812808436</v>
      </c>
      <c r="T132">
        <f t="shared" si="33"/>
        <v>4.6846289490812936</v>
      </c>
      <c r="U132">
        <f t="shared" si="41"/>
        <v>3.2288040624215091</v>
      </c>
      <c r="W132">
        <v>65.813490000000002</v>
      </c>
      <c r="X132">
        <v>0.23323668123792224</v>
      </c>
      <c r="Y132">
        <f t="shared" ref="Y132:Y195" si="47">W132*X132</f>
        <v>15.350119988285183</v>
      </c>
      <c r="Z132">
        <f t="shared" si="34"/>
        <v>4.6457481670872269</v>
      </c>
      <c r="AA132">
        <f t="shared" si="35"/>
        <v>1.2511913992867774</v>
      </c>
      <c r="AB132">
        <f t="shared" si="42"/>
        <v>0.81621543199172919</v>
      </c>
      <c r="AE132">
        <v>66.569180000000003</v>
      </c>
      <c r="AF132">
        <v>0.34667713155258378</v>
      </c>
      <c r="AG132">
        <f t="shared" ref="AG132:AG195" si="48">AE132*AF132</f>
        <v>23.078012372207631</v>
      </c>
      <c r="AH132">
        <f t="shared" si="36"/>
        <v>2.5589046937646076</v>
      </c>
      <c r="AI132">
        <f t="shared" si="37"/>
        <v>0.83565207403584196</v>
      </c>
      <c r="AJ132">
        <f t="shared" si="43"/>
        <v>0.3111935186449033</v>
      </c>
      <c r="AL132">
        <f t="shared" ref="AL132:AL195" si="49">AG132+Y132+R132+K132+D132</f>
        <v>66.112613295229508</v>
      </c>
      <c r="AM132">
        <f t="shared" si="38"/>
        <v>3.3945567678004496</v>
      </c>
    </row>
    <row r="133" spans="1:39" x14ac:dyDescent="0.35">
      <c r="A133" s="2">
        <v>40483</v>
      </c>
      <c r="B133">
        <v>50.907380000000003</v>
      </c>
      <c r="C133">
        <v>0.21809825174708375</v>
      </c>
      <c r="D133">
        <f t="shared" si="44"/>
        <v>11.102810579024457</v>
      </c>
      <c r="E133">
        <f t="shared" ref="E133:E196" si="50">((B133/B132)-1)*100</f>
        <v>3.1292035771124382</v>
      </c>
      <c r="F133">
        <f t="shared" ref="F133:F196" si="51">ABS(E133-$AM133)</f>
        <v>1.8879864656128786</v>
      </c>
      <c r="G133">
        <f t="shared" si="39"/>
        <v>3.1953895293979073E-2</v>
      </c>
      <c r="I133">
        <v>85.335329999999999</v>
      </c>
      <c r="J133">
        <v>0.19031315484289657</v>
      </c>
      <c r="K133">
        <f t="shared" si="45"/>
        <v>16.240435871859678</v>
      </c>
      <c r="L133">
        <f t="shared" ref="L133:L196" si="52">((I133/I132)-1)*100</f>
        <v>-0.48728216408042702</v>
      </c>
      <c r="M133">
        <f t="shared" ref="M133:M196" si="53">ABS(L133-$AM133)</f>
        <v>1.7284992755799866</v>
      </c>
      <c r="N133">
        <f t="shared" si="40"/>
        <v>0.25242123581852294</v>
      </c>
      <c r="P133">
        <v>50.562190000000001</v>
      </c>
      <c r="Q133">
        <v>1.1674780619513683E-2</v>
      </c>
      <c r="R133">
        <f t="shared" si="46"/>
        <v>0.59030247589216855</v>
      </c>
      <c r="S133">
        <f t="shared" ref="S133:S196" si="54">((P133/P132)-1)*100</f>
        <v>-1.3858048908259812</v>
      </c>
      <c r="T133">
        <f t="shared" ref="T133:T196" si="55">ABS(S133-$AM133)</f>
        <v>2.6270220023255408</v>
      </c>
      <c r="U133">
        <f t="shared" si="41"/>
        <v>2.0576069467557527</v>
      </c>
      <c r="W133">
        <v>67.768389999999997</v>
      </c>
      <c r="X133">
        <v>0.23323668123792224</v>
      </c>
      <c r="Y133">
        <f t="shared" si="47"/>
        <v>15.806074376437197</v>
      </c>
      <c r="Z133">
        <f t="shared" ref="Z133:Z196" si="56">((W133/W132)-1)*100</f>
        <v>2.9703636746812867</v>
      </c>
      <c r="AA133">
        <f t="shared" ref="AA133:AA196" si="57">ABS(Z133-$AM133)</f>
        <v>1.7291465631817271</v>
      </c>
      <c r="AB133">
        <f t="shared" si="42"/>
        <v>0.47795516389494974</v>
      </c>
      <c r="AE133">
        <v>66.902569999999997</v>
      </c>
      <c r="AF133">
        <v>0.34667713155258378</v>
      </c>
      <c r="AG133">
        <f t="shared" si="48"/>
        <v>23.193591061095944</v>
      </c>
      <c r="AH133">
        <f t="shared" ref="AH133:AH196" si="58">((AE133/AE132)-1)*100</f>
        <v>0.50081734520388554</v>
      </c>
      <c r="AI133">
        <f t="shared" ref="AI133:AI196" si="59">ABS(AH133-$AM133)</f>
        <v>0.74039976629567406</v>
      </c>
      <c r="AJ133">
        <f t="shared" si="43"/>
        <v>9.5252307740167907E-2</v>
      </c>
      <c r="AL133">
        <f t="shared" si="49"/>
        <v>66.933214364309435</v>
      </c>
      <c r="AM133">
        <f t="shared" ref="AM133:AM196" si="60">((AL133/AL132)-1)*100</f>
        <v>1.2412171114995596</v>
      </c>
    </row>
    <row r="134" spans="1:39" x14ac:dyDescent="0.35">
      <c r="A134" s="2">
        <v>40513</v>
      </c>
      <c r="B134">
        <v>52.796199999999999</v>
      </c>
      <c r="C134">
        <v>0.21809825174708375</v>
      </c>
      <c r="D134">
        <f t="shared" si="44"/>
        <v>11.514758918889383</v>
      </c>
      <c r="E134">
        <f t="shared" si="50"/>
        <v>3.7103068356689972</v>
      </c>
      <c r="F134">
        <f t="shared" si="51"/>
        <v>0.79912006248608058</v>
      </c>
      <c r="G134">
        <f t="shared" ref="G134:G197" si="61">ABS(F134-F133)</f>
        <v>1.0888664031267981</v>
      </c>
      <c r="I134">
        <v>88.640569999999997</v>
      </c>
      <c r="J134">
        <v>0.19031315484289657</v>
      </c>
      <c r="K134">
        <f t="shared" si="45"/>
        <v>16.869466523772612</v>
      </c>
      <c r="L134">
        <f t="shared" si="52"/>
        <v>3.8732374972944905</v>
      </c>
      <c r="M134">
        <f t="shared" si="53"/>
        <v>0.63618940086058728</v>
      </c>
      <c r="N134">
        <f t="shared" ref="N134:N197" si="62">ABS(M134-M133)</f>
        <v>1.0923098747193993</v>
      </c>
      <c r="P134">
        <v>50.52261</v>
      </c>
      <c r="Q134">
        <v>1.1674780619513683E-2</v>
      </c>
      <c r="R134">
        <f t="shared" si="46"/>
        <v>0.58984038807524819</v>
      </c>
      <c r="S134">
        <f t="shared" si="54"/>
        <v>-7.8279837166861377E-2</v>
      </c>
      <c r="T134">
        <f t="shared" si="55"/>
        <v>4.5877067353219392</v>
      </c>
      <c r="U134">
        <f t="shared" ref="U134:U197" si="63">ABS(T134-T133)</f>
        <v>1.9606847329963983</v>
      </c>
      <c r="W134">
        <v>71.156289999999998</v>
      </c>
      <c r="X134">
        <v>0.23323668123792224</v>
      </c>
      <c r="Y134">
        <f t="shared" si="47"/>
        <v>16.596256928803154</v>
      </c>
      <c r="Z134">
        <f t="shared" si="56"/>
        <v>4.9992334184123299</v>
      </c>
      <c r="AA134">
        <f t="shared" si="57"/>
        <v>0.48980652025725213</v>
      </c>
      <c r="AB134">
        <f t="shared" ref="AB134:AB197" si="64">ABS(AA134-AA133)</f>
        <v>1.239340042924475</v>
      </c>
      <c r="AE134">
        <v>70.328249999999997</v>
      </c>
      <c r="AF134">
        <v>0.34667713155258378</v>
      </c>
      <c r="AG134">
        <f t="shared" si="48"/>
        <v>24.381195977112998</v>
      </c>
      <c r="AH134">
        <f t="shared" si="58"/>
        <v>5.1204012043184699</v>
      </c>
      <c r="AI134">
        <f t="shared" si="59"/>
        <v>0.6109743061633921</v>
      </c>
      <c r="AJ134">
        <f t="shared" ref="AJ134:AJ197" si="65">ABS(AI134-AI133)</f>
        <v>0.12942546013228196</v>
      </c>
      <c r="AL134">
        <f t="shared" si="49"/>
        <v>69.951518736653398</v>
      </c>
      <c r="AM134">
        <f t="shared" si="60"/>
        <v>4.5094268981550778</v>
      </c>
    </row>
    <row r="135" spans="1:39" x14ac:dyDescent="0.35">
      <c r="A135" s="2">
        <v>40544</v>
      </c>
      <c r="B135">
        <v>54.473640000000003</v>
      </c>
      <c r="C135">
        <v>0.21633319760002631</v>
      </c>
      <c r="D135">
        <f t="shared" si="44"/>
        <v>11.784456726112698</v>
      </c>
      <c r="E135">
        <f t="shared" si="50"/>
        <v>3.1771983589728103</v>
      </c>
      <c r="F135">
        <f t="shared" si="51"/>
        <v>0.62093593751808562</v>
      </c>
      <c r="G135">
        <f t="shared" si="61"/>
        <v>0.17818412496799496</v>
      </c>
      <c r="I135">
        <v>91.669200000000004</v>
      </c>
      <c r="J135">
        <v>0.19102863763459479</v>
      </c>
      <c r="K135">
        <f t="shared" si="45"/>
        <v>17.511442389053197</v>
      </c>
      <c r="L135">
        <f t="shared" si="52"/>
        <v>3.41675375056818</v>
      </c>
      <c r="M135">
        <f t="shared" si="53"/>
        <v>0.86049132911345527</v>
      </c>
      <c r="N135">
        <f t="shared" si="62"/>
        <v>0.22430192825286799</v>
      </c>
      <c r="P135">
        <v>52.352620000000002</v>
      </c>
      <c r="Q135">
        <v>1.1638463743895686E-2</v>
      </c>
      <c r="R135">
        <f t="shared" si="46"/>
        <v>0.60930406976794815</v>
      </c>
      <c r="S135">
        <f t="shared" si="54"/>
        <v>3.6221604544975028</v>
      </c>
      <c r="T135">
        <f t="shared" si="55"/>
        <v>1.0658980330427781</v>
      </c>
      <c r="U135">
        <f t="shared" si="63"/>
        <v>3.5218087022791611</v>
      </c>
      <c r="W135">
        <v>73.05386</v>
      </c>
      <c r="X135">
        <v>0.23082146816468627</v>
      </c>
      <c r="Y135">
        <f t="shared" si="47"/>
        <v>16.862399220297448</v>
      </c>
      <c r="Z135">
        <f t="shared" si="56"/>
        <v>2.6667635426186553</v>
      </c>
      <c r="AA135">
        <f t="shared" si="57"/>
        <v>0.11050112116393063</v>
      </c>
      <c r="AB135">
        <f t="shared" si="64"/>
        <v>0.3793053990933215</v>
      </c>
      <c r="AE135">
        <v>71.312430000000006</v>
      </c>
      <c r="AF135">
        <v>0.35017823285679694</v>
      </c>
      <c r="AG135">
        <f t="shared" si="48"/>
        <v>24.972060718124034</v>
      </c>
      <c r="AH135">
        <f t="shared" si="58"/>
        <v>1.3994091990060964</v>
      </c>
      <c r="AI135">
        <f t="shared" si="59"/>
        <v>1.1568532224486283</v>
      </c>
      <c r="AJ135">
        <f t="shared" si="65"/>
        <v>0.54587891628523622</v>
      </c>
      <c r="AL135">
        <f t="shared" si="49"/>
        <v>71.739663123355328</v>
      </c>
      <c r="AM135">
        <f t="shared" si="60"/>
        <v>2.5562624214547247</v>
      </c>
    </row>
    <row r="136" spans="1:39" x14ac:dyDescent="0.35">
      <c r="A136" s="2">
        <v>40575</v>
      </c>
      <c r="B136">
        <v>54.332729999999998</v>
      </c>
      <c r="C136">
        <v>0.21633319760002631</v>
      </c>
      <c r="D136">
        <f t="shared" si="44"/>
        <v>11.753973215238878</v>
      </c>
      <c r="E136">
        <f t="shared" si="50"/>
        <v>-0.25867557225844884</v>
      </c>
      <c r="F136">
        <f t="shared" si="51"/>
        <v>0.98452133473820869</v>
      </c>
      <c r="G136">
        <f t="shared" si="61"/>
        <v>0.36358539722012306</v>
      </c>
      <c r="I136">
        <v>90.2149</v>
      </c>
      <c r="J136">
        <v>0.19102863763459479</v>
      </c>
      <c r="K136">
        <f t="shared" si="45"/>
        <v>17.233629441341208</v>
      </c>
      <c r="L136">
        <f t="shared" si="52"/>
        <v>-1.5864652467786344</v>
      </c>
      <c r="M136">
        <f t="shared" si="53"/>
        <v>0.34326833978197691</v>
      </c>
      <c r="N136">
        <f t="shared" si="62"/>
        <v>0.51722298933147837</v>
      </c>
      <c r="P136">
        <v>54.10172</v>
      </c>
      <c r="Q136">
        <v>1.1638463743895686E-2</v>
      </c>
      <c r="R136">
        <f t="shared" si="46"/>
        <v>0.62966090670239616</v>
      </c>
      <c r="S136">
        <f t="shared" si="54"/>
        <v>3.3409980245496795</v>
      </c>
      <c r="T136">
        <f t="shared" si="55"/>
        <v>4.5841949315463371</v>
      </c>
      <c r="U136">
        <f t="shared" si="63"/>
        <v>3.518296898503559</v>
      </c>
      <c r="W136">
        <v>74.14143</v>
      </c>
      <c r="X136">
        <v>0.23082146816468627</v>
      </c>
      <c r="Y136">
        <f t="shared" si="47"/>
        <v>17.113433724429314</v>
      </c>
      <c r="Z136">
        <f t="shared" si="56"/>
        <v>1.4887235253551179</v>
      </c>
      <c r="AA136">
        <f t="shared" si="57"/>
        <v>2.7319204323517754</v>
      </c>
      <c r="AB136">
        <f t="shared" si="64"/>
        <v>2.6214193111878448</v>
      </c>
      <c r="AE136">
        <v>68.870930000000001</v>
      </c>
      <c r="AF136">
        <v>0.35017823285679694</v>
      </c>
      <c r="AG136">
        <f t="shared" si="48"/>
        <v>24.117100562604161</v>
      </c>
      <c r="AH136">
        <f t="shared" si="58"/>
        <v>-3.4236668137658577</v>
      </c>
      <c r="AI136">
        <f t="shared" si="59"/>
        <v>2.1804699067692002</v>
      </c>
      <c r="AJ136">
        <f t="shared" si="65"/>
        <v>1.0236166843205718</v>
      </c>
      <c r="AL136">
        <f t="shared" si="49"/>
        <v>70.847797850315956</v>
      </c>
      <c r="AM136">
        <f t="shared" si="60"/>
        <v>-1.2431969069966575</v>
      </c>
    </row>
    <row r="137" spans="1:39" x14ac:dyDescent="0.35">
      <c r="A137" s="2">
        <v>40603</v>
      </c>
      <c r="B137">
        <v>53.328699999999998</v>
      </c>
      <c r="C137">
        <v>0.21633319760002631</v>
      </c>
      <c r="D137">
        <f t="shared" si="44"/>
        <v>11.536768194852522</v>
      </c>
      <c r="E137">
        <f t="shared" si="50"/>
        <v>-1.8479284954023067</v>
      </c>
      <c r="F137">
        <f t="shared" si="51"/>
        <v>0.51962206813385148</v>
      </c>
      <c r="G137">
        <f t="shared" si="61"/>
        <v>0.46489926660435721</v>
      </c>
      <c r="I137">
        <v>86.826390000000004</v>
      </c>
      <c r="J137">
        <v>0.19102863763459479</v>
      </c>
      <c r="K137">
        <f t="shared" si="45"/>
        <v>16.586326992430006</v>
      </c>
      <c r="L137">
        <f t="shared" si="52"/>
        <v>-3.7560425162583955</v>
      </c>
      <c r="M137">
        <f t="shared" si="53"/>
        <v>2.4277360889899402</v>
      </c>
      <c r="N137">
        <f t="shared" si="62"/>
        <v>2.0844677492079633</v>
      </c>
      <c r="P137">
        <v>54.663649999999997</v>
      </c>
      <c r="Q137">
        <v>1.1638463743895686E-2</v>
      </c>
      <c r="R137">
        <f t="shared" si="46"/>
        <v>0.63620090863400336</v>
      </c>
      <c r="S137">
        <f t="shared" si="54"/>
        <v>1.0386545936062586</v>
      </c>
      <c r="T137">
        <f t="shared" si="55"/>
        <v>2.3669610208747138</v>
      </c>
      <c r="U137">
        <f t="shared" si="63"/>
        <v>2.2172339106716232</v>
      </c>
      <c r="W137">
        <v>74.441599999999994</v>
      </c>
      <c r="X137">
        <v>0.23082146816468627</v>
      </c>
      <c r="Y137">
        <f t="shared" si="47"/>
        <v>17.182719404528306</v>
      </c>
      <c r="Z137">
        <f t="shared" si="56"/>
        <v>0.40486135754327357</v>
      </c>
      <c r="AA137">
        <f t="shared" si="57"/>
        <v>1.7331677848117288</v>
      </c>
      <c r="AB137">
        <f t="shared" si="64"/>
        <v>0.99875264754004656</v>
      </c>
      <c r="AE137">
        <v>68.435739999999996</v>
      </c>
      <c r="AF137">
        <v>0.35017823285679694</v>
      </c>
      <c r="AG137">
        <f t="shared" si="48"/>
        <v>23.96470649744721</v>
      </c>
      <c r="AH137">
        <f t="shared" si="58"/>
        <v>-0.63189214956151929</v>
      </c>
      <c r="AI137">
        <f t="shared" si="59"/>
        <v>0.69641427770693598</v>
      </c>
      <c r="AJ137">
        <f t="shared" si="65"/>
        <v>1.4840556290622642</v>
      </c>
      <c r="AL137">
        <f t="shared" si="49"/>
        <v>69.906721997892049</v>
      </c>
      <c r="AM137">
        <f t="shared" si="60"/>
        <v>-1.3283064272684553</v>
      </c>
    </row>
    <row r="138" spans="1:39" x14ac:dyDescent="0.35">
      <c r="A138" s="2">
        <v>40634</v>
      </c>
      <c r="B138">
        <v>53.447929999999999</v>
      </c>
      <c r="C138">
        <v>0.21633319760002631</v>
      </c>
      <c r="D138">
        <f t="shared" si="44"/>
        <v>11.562561602002374</v>
      </c>
      <c r="E138">
        <f t="shared" si="50"/>
        <v>0.22357567313660009</v>
      </c>
      <c r="F138">
        <f t="shared" si="51"/>
        <v>1.5994629016193196</v>
      </c>
      <c r="G138">
        <f t="shared" si="61"/>
        <v>1.0798408334854681</v>
      </c>
      <c r="I138">
        <v>88.109859999999998</v>
      </c>
      <c r="J138">
        <v>0.19102863763459479</v>
      </c>
      <c r="K138">
        <f t="shared" si="45"/>
        <v>16.831506517974876</v>
      </c>
      <c r="L138">
        <f t="shared" si="52"/>
        <v>1.4782026524424063</v>
      </c>
      <c r="M138">
        <f t="shared" si="53"/>
        <v>0.34483592231351334</v>
      </c>
      <c r="N138">
        <f t="shared" si="62"/>
        <v>2.0829001666764269</v>
      </c>
      <c r="P138">
        <v>54.577469999999998</v>
      </c>
      <c r="Q138">
        <v>1.1638463743895686E-2</v>
      </c>
      <c r="R138">
        <f t="shared" si="46"/>
        <v>0.63519790582855451</v>
      </c>
      <c r="S138">
        <f t="shared" si="54"/>
        <v>-0.15765504133001818</v>
      </c>
      <c r="T138">
        <f t="shared" si="55"/>
        <v>1.9806936160859379</v>
      </c>
      <c r="U138">
        <f t="shared" si="63"/>
        <v>0.38626740478877597</v>
      </c>
      <c r="W138">
        <v>75.719229999999996</v>
      </c>
      <c r="X138">
        <v>0.23082146816468627</v>
      </c>
      <c r="Y138">
        <f t="shared" si="47"/>
        <v>17.477623836899557</v>
      </c>
      <c r="Z138">
        <f t="shared" si="56"/>
        <v>1.7162849804410518</v>
      </c>
      <c r="AA138">
        <f t="shared" si="57"/>
        <v>0.10675359431486786</v>
      </c>
      <c r="AB138">
        <f t="shared" si="64"/>
        <v>1.626414190496861</v>
      </c>
      <c r="AE138">
        <v>70.462000000000003</v>
      </c>
      <c r="AF138">
        <v>0.35017823285679694</v>
      </c>
      <c r="AG138">
        <f t="shared" si="48"/>
        <v>24.674258643555628</v>
      </c>
      <c r="AH138">
        <f t="shared" si="58"/>
        <v>2.9608213486111312</v>
      </c>
      <c r="AI138">
        <f t="shared" si="59"/>
        <v>1.1377827738552115</v>
      </c>
      <c r="AJ138">
        <f t="shared" si="65"/>
        <v>0.44136849614827556</v>
      </c>
      <c r="AL138">
        <f t="shared" si="49"/>
        <v>71.181148506260996</v>
      </c>
      <c r="AM138">
        <f t="shared" si="60"/>
        <v>1.8230385747559197</v>
      </c>
    </row>
    <row r="139" spans="1:39" x14ac:dyDescent="0.35">
      <c r="A139" s="2">
        <v>40664</v>
      </c>
      <c r="B139">
        <v>53.148490000000002</v>
      </c>
      <c r="C139">
        <v>0.21633319760002631</v>
      </c>
      <c r="D139">
        <f t="shared" si="44"/>
        <v>11.497782789313023</v>
      </c>
      <c r="E139">
        <f t="shared" si="50"/>
        <v>-0.56024620598028596</v>
      </c>
      <c r="F139">
        <f t="shared" si="51"/>
        <v>0.3701767627572683</v>
      </c>
      <c r="G139">
        <f t="shared" si="61"/>
        <v>1.2292861388620513</v>
      </c>
      <c r="I139">
        <v>86.387569999999997</v>
      </c>
      <c r="J139">
        <v>0.19102863763459479</v>
      </c>
      <c r="K139">
        <f t="shared" si="45"/>
        <v>16.502499805663192</v>
      </c>
      <c r="L139">
        <f t="shared" si="52"/>
        <v>-1.9547074527186847</v>
      </c>
      <c r="M139">
        <f t="shared" si="53"/>
        <v>1.0242844839811305</v>
      </c>
      <c r="N139">
        <f t="shared" si="62"/>
        <v>0.67944856166761713</v>
      </c>
      <c r="P139">
        <v>55.127090000000003</v>
      </c>
      <c r="Q139">
        <v>1.1638463743895686E-2</v>
      </c>
      <c r="R139">
        <f t="shared" si="46"/>
        <v>0.64159463827147445</v>
      </c>
      <c r="S139">
        <f t="shared" si="54"/>
        <v>1.0070455812627443</v>
      </c>
      <c r="T139">
        <f t="shared" si="55"/>
        <v>1.9374685500002986</v>
      </c>
      <c r="U139">
        <f t="shared" si="63"/>
        <v>4.3225066085639252E-2</v>
      </c>
      <c r="W139">
        <v>73.571250000000006</v>
      </c>
      <c r="X139">
        <v>0.23082146816468627</v>
      </c>
      <c r="Y139">
        <f t="shared" si="47"/>
        <v>16.981823939711177</v>
      </c>
      <c r="Z139">
        <f t="shared" si="56"/>
        <v>-2.8367694705822899</v>
      </c>
      <c r="AA139">
        <f t="shared" si="57"/>
        <v>1.9063465018447356</v>
      </c>
      <c r="AB139">
        <f t="shared" si="64"/>
        <v>1.7995929075298678</v>
      </c>
      <c r="AE139">
        <v>71.092830000000006</v>
      </c>
      <c r="AF139">
        <v>0.35017823285679694</v>
      </c>
      <c r="AG139">
        <f t="shared" si="48"/>
        <v>24.895161578188681</v>
      </c>
      <c r="AH139">
        <f t="shared" si="58"/>
        <v>0.89527688683261886</v>
      </c>
      <c r="AI139">
        <f t="shared" si="59"/>
        <v>1.8256998555701731</v>
      </c>
      <c r="AJ139">
        <f t="shared" si="65"/>
        <v>0.68791708171496158</v>
      </c>
      <c r="AL139">
        <f t="shared" si="49"/>
        <v>70.518862751147552</v>
      </c>
      <c r="AM139">
        <f t="shared" si="60"/>
        <v>-0.93042296873755426</v>
      </c>
    </row>
    <row r="140" spans="1:39" x14ac:dyDescent="0.35">
      <c r="A140" s="2">
        <v>40695</v>
      </c>
      <c r="B140">
        <v>50.019869999999997</v>
      </c>
      <c r="C140">
        <v>0.21633319760002631</v>
      </c>
      <c r="D140">
        <f t="shared" si="44"/>
        <v>10.820958420637627</v>
      </c>
      <c r="E140">
        <f t="shared" si="50"/>
        <v>-5.8865642278830617</v>
      </c>
      <c r="F140">
        <f t="shared" si="51"/>
        <v>0.10329395851578305</v>
      </c>
      <c r="G140">
        <f t="shared" si="61"/>
        <v>0.26688280424148525</v>
      </c>
      <c r="I140">
        <v>78.550979999999996</v>
      </c>
      <c r="J140">
        <v>0.19102863763459479</v>
      </c>
      <c r="K140">
        <f t="shared" si="45"/>
        <v>15.005486694262302</v>
      </c>
      <c r="L140">
        <f t="shared" si="52"/>
        <v>-9.0714323831541996</v>
      </c>
      <c r="M140">
        <f t="shared" si="53"/>
        <v>3.0815741967553549</v>
      </c>
      <c r="N140">
        <f t="shared" si="62"/>
        <v>2.0572897127742245</v>
      </c>
      <c r="P140">
        <v>53.9619</v>
      </c>
      <c r="Q140">
        <v>1.1638463743895686E-2</v>
      </c>
      <c r="R140">
        <f t="shared" si="46"/>
        <v>0.62803361670172464</v>
      </c>
      <c r="S140">
        <f t="shared" si="54"/>
        <v>-2.1136432196947164</v>
      </c>
      <c r="T140">
        <f t="shared" si="55"/>
        <v>3.8762149667041284</v>
      </c>
      <c r="U140">
        <f t="shared" si="63"/>
        <v>1.9387464167038297</v>
      </c>
      <c r="W140">
        <v>70.693209999999993</v>
      </c>
      <c r="X140">
        <v>0.23082146816468627</v>
      </c>
      <c r="Y140">
        <f t="shared" si="47"/>
        <v>16.317510521474478</v>
      </c>
      <c r="Z140">
        <f t="shared" si="56"/>
        <v>-3.9119085240498341</v>
      </c>
      <c r="AA140">
        <f t="shared" si="57"/>
        <v>2.0779496623490106</v>
      </c>
      <c r="AB140">
        <f t="shared" si="64"/>
        <v>0.17160316050427493</v>
      </c>
      <c r="AE140">
        <v>67.174059999999997</v>
      </c>
      <c r="AF140">
        <v>0.35017823285679694</v>
      </c>
      <c r="AG140">
        <f t="shared" si="48"/>
        <v>23.522893624616447</v>
      </c>
      <c r="AH140">
        <f t="shared" si="58"/>
        <v>-5.5121873752950972</v>
      </c>
      <c r="AI140">
        <f t="shared" si="59"/>
        <v>0.47767081110374754</v>
      </c>
      <c r="AJ140">
        <f t="shared" si="65"/>
        <v>1.3480290444664256</v>
      </c>
      <c r="AL140">
        <f t="shared" si="49"/>
        <v>66.294882877692572</v>
      </c>
      <c r="AM140">
        <f t="shared" si="60"/>
        <v>-5.9898581863988447</v>
      </c>
    </row>
    <row r="141" spans="1:39" x14ac:dyDescent="0.35">
      <c r="A141" s="2">
        <v>40725</v>
      </c>
      <c r="B141">
        <v>49.663519999999998</v>
      </c>
      <c r="C141">
        <v>0.21633319760002631</v>
      </c>
      <c r="D141">
        <f t="shared" si="44"/>
        <v>10.743868085672858</v>
      </c>
      <c r="E141">
        <f t="shared" si="50"/>
        <v>-0.71241688552968752</v>
      </c>
      <c r="F141">
        <f t="shared" si="51"/>
        <v>0.18389026555937216</v>
      </c>
      <c r="G141">
        <f t="shared" si="61"/>
        <v>8.059630704358911E-2</v>
      </c>
      <c r="I141">
        <v>76.051289999999995</v>
      </c>
      <c r="J141">
        <v>0.19102863763459479</v>
      </c>
      <c r="K141">
        <f t="shared" si="45"/>
        <v>14.527974319053481</v>
      </c>
      <c r="L141">
        <f t="shared" si="52"/>
        <v>-3.1822518318676662</v>
      </c>
      <c r="M141">
        <f t="shared" si="53"/>
        <v>2.2859446807786066</v>
      </c>
      <c r="N141">
        <f t="shared" si="62"/>
        <v>0.79562951597674836</v>
      </c>
      <c r="P141">
        <v>54.84393</v>
      </c>
      <c r="Q141">
        <v>1.1638463743895686E-2</v>
      </c>
      <c r="R141">
        <f t="shared" si="46"/>
        <v>0.63829909087775294</v>
      </c>
      <c r="S141">
        <f t="shared" si="54"/>
        <v>1.6345421491830381</v>
      </c>
      <c r="T141">
        <f t="shared" si="55"/>
        <v>2.5308493002720978</v>
      </c>
      <c r="U141">
        <f t="shared" si="63"/>
        <v>1.3453656664320306</v>
      </c>
      <c r="W141">
        <v>70.952650000000006</v>
      </c>
      <c r="X141">
        <v>0.23082146816468627</v>
      </c>
      <c r="Y141">
        <f t="shared" si="47"/>
        <v>16.377394843175129</v>
      </c>
      <c r="Z141">
        <f t="shared" si="56"/>
        <v>0.36699422759274292</v>
      </c>
      <c r="AA141">
        <f t="shared" si="57"/>
        <v>1.2633013786818026</v>
      </c>
      <c r="AB141">
        <f t="shared" si="64"/>
        <v>0.81464828366720798</v>
      </c>
      <c r="AE141">
        <v>66.860640000000004</v>
      </c>
      <c r="AF141">
        <v>0.35017823285679694</v>
      </c>
      <c r="AG141">
        <f t="shared" si="48"/>
        <v>23.413140762874473</v>
      </c>
      <c r="AH141">
        <f t="shared" si="58"/>
        <v>-0.46657891453932843</v>
      </c>
      <c r="AI141">
        <f t="shared" si="59"/>
        <v>0.42972823654973125</v>
      </c>
      <c r="AJ141">
        <f t="shared" si="65"/>
        <v>4.7942574554016293E-2</v>
      </c>
      <c r="AL141">
        <f t="shared" si="49"/>
        <v>65.700677101653696</v>
      </c>
      <c r="AM141">
        <f t="shared" si="60"/>
        <v>-0.89630715108905967</v>
      </c>
    </row>
    <row r="142" spans="1:39" x14ac:dyDescent="0.35">
      <c r="A142" s="2">
        <v>40756</v>
      </c>
      <c r="B142">
        <v>42.247799999999998</v>
      </c>
      <c r="C142">
        <v>0.21633319760002631</v>
      </c>
      <c r="D142">
        <f t="shared" si="44"/>
        <v>9.1396016655663903</v>
      </c>
      <c r="E142">
        <f t="shared" si="50"/>
        <v>-14.931925888458974</v>
      </c>
      <c r="F142">
        <f t="shared" si="51"/>
        <v>0.84598603112408988</v>
      </c>
      <c r="G142">
        <f t="shared" si="61"/>
        <v>0.66209576556471772</v>
      </c>
      <c r="I142">
        <v>64.482439999999997</v>
      </c>
      <c r="J142">
        <v>0.19102863763459479</v>
      </c>
      <c r="K142">
        <f t="shared" si="45"/>
        <v>12.317992664554501</v>
      </c>
      <c r="L142">
        <f t="shared" si="52"/>
        <v>-15.211905018310667</v>
      </c>
      <c r="M142">
        <f t="shared" si="53"/>
        <v>1.1259651609757828</v>
      </c>
      <c r="N142">
        <f t="shared" si="62"/>
        <v>1.1599795198028238</v>
      </c>
      <c r="P142">
        <v>53.310270000000003</v>
      </c>
      <c r="Q142">
        <v>1.1638463743895686E-2</v>
      </c>
      <c r="R142">
        <f t="shared" si="46"/>
        <v>0.6204496445722899</v>
      </c>
      <c r="S142">
        <f t="shared" si="54"/>
        <v>-2.7964079160629041</v>
      </c>
      <c r="T142">
        <f t="shared" si="55"/>
        <v>11.28953194127198</v>
      </c>
      <c r="U142">
        <f t="shared" si="63"/>
        <v>8.7586826409998828</v>
      </c>
      <c r="W142">
        <v>62.588509999999999</v>
      </c>
      <c r="X142">
        <v>0.23082146816468627</v>
      </c>
      <c r="Y142">
        <f t="shared" si="47"/>
        <v>14.446771768440147</v>
      </c>
      <c r="Z142">
        <f t="shared" si="56"/>
        <v>-11.788340534144959</v>
      </c>
      <c r="AA142">
        <f t="shared" si="57"/>
        <v>2.2975993231899245</v>
      </c>
      <c r="AB142">
        <f t="shared" si="64"/>
        <v>1.034297944508122</v>
      </c>
      <c r="AE142">
        <v>56.889040000000001</v>
      </c>
      <c r="AF142">
        <v>0.35017823285679694</v>
      </c>
      <c r="AG142">
        <f t="shared" si="48"/>
        <v>19.921303496119638</v>
      </c>
      <c r="AH142">
        <f t="shared" si="58"/>
        <v>-14.914006207538543</v>
      </c>
      <c r="AI142">
        <f t="shared" si="59"/>
        <v>0.8280663502036596</v>
      </c>
      <c r="AJ142">
        <f t="shared" si="65"/>
        <v>0.39833811365392835</v>
      </c>
      <c r="AL142">
        <f t="shared" si="49"/>
        <v>56.446119239252965</v>
      </c>
      <c r="AM142">
        <f t="shared" si="60"/>
        <v>-14.085939857334884</v>
      </c>
    </row>
    <row r="143" spans="1:39" x14ac:dyDescent="0.35">
      <c r="A143" s="2">
        <v>40787</v>
      </c>
      <c r="B143">
        <v>40.140830000000001</v>
      </c>
      <c r="C143">
        <v>0.21633319760002631</v>
      </c>
      <c r="D143">
        <f t="shared" si="44"/>
        <v>8.6837941082190646</v>
      </c>
      <c r="E143">
        <f t="shared" si="50"/>
        <v>-4.9871709296105298</v>
      </c>
      <c r="F143">
        <f t="shared" si="51"/>
        <v>1.8214344372570861</v>
      </c>
      <c r="G143">
        <f t="shared" si="61"/>
        <v>0.97544840613299622</v>
      </c>
      <c r="I143">
        <v>63.247970000000002</v>
      </c>
      <c r="J143">
        <v>0.19102863763459479</v>
      </c>
      <c r="K143">
        <f t="shared" si="45"/>
        <v>12.082173542253724</v>
      </c>
      <c r="L143">
        <f t="shared" si="52"/>
        <v>-1.9144281761049875</v>
      </c>
      <c r="M143">
        <f t="shared" si="53"/>
        <v>1.2513083162484562</v>
      </c>
      <c r="N143">
        <f t="shared" si="62"/>
        <v>0.12534315527267337</v>
      </c>
      <c r="P143">
        <v>50.775880000000001</v>
      </c>
      <c r="Q143">
        <v>1.1638463743895686E-2</v>
      </c>
      <c r="R143">
        <f t="shared" si="46"/>
        <v>0.59095323844439807</v>
      </c>
      <c r="S143">
        <f t="shared" si="54"/>
        <v>-4.7540370739071474</v>
      </c>
      <c r="T143">
        <f t="shared" si="55"/>
        <v>1.5883005815537037</v>
      </c>
      <c r="U143">
        <f t="shared" si="63"/>
        <v>9.7012313597182764</v>
      </c>
      <c r="W143">
        <v>61.132890000000003</v>
      </c>
      <c r="X143">
        <v>0.23082146816468627</v>
      </c>
      <c r="Y143">
        <f t="shared" si="47"/>
        <v>14.110783422950268</v>
      </c>
      <c r="Z143">
        <f t="shared" si="56"/>
        <v>-2.32569843889876</v>
      </c>
      <c r="AA143">
        <f t="shared" si="57"/>
        <v>0.84003805345468363</v>
      </c>
      <c r="AB143">
        <f t="shared" si="64"/>
        <v>1.4575612697352409</v>
      </c>
      <c r="AE143">
        <v>54.80489</v>
      </c>
      <c r="AF143">
        <v>0.35017823285679694</v>
      </c>
      <c r="AG143">
        <f t="shared" si="48"/>
        <v>19.191479532111142</v>
      </c>
      <c r="AH143">
        <f t="shared" si="58"/>
        <v>-3.6635351906096569</v>
      </c>
      <c r="AI143">
        <f t="shared" si="59"/>
        <v>0.49779869825621326</v>
      </c>
      <c r="AJ143">
        <f t="shared" si="65"/>
        <v>0.33026765194744634</v>
      </c>
      <c r="AL143">
        <f t="shared" si="49"/>
        <v>54.659183843978596</v>
      </c>
      <c r="AM143">
        <f t="shared" si="60"/>
        <v>-3.1657364923534437</v>
      </c>
    </row>
    <row r="144" spans="1:39" x14ac:dyDescent="0.35">
      <c r="A144" s="2">
        <v>40817</v>
      </c>
      <c r="B144">
        <v>40.772239999999996</v>
      </c>
      <c r="C144">
        <v>0.21633319760002631</v>
      </c>
      <c r="D144">
        <f t="shared" si="44"/>
        <v>8.8203890525156954</v>
      </c>
      <c r="E144">
        <f t="shared" si="50"/>
        <v>1.5729869063494606</v>
      </c>
      <c r="F144">
        <f t="shared" si="51"/>
        <v>1.4982448238227697</v>
      </c>
      <c r="G144">
        <f t="shared" si="61"/>
        <v>0.3231896134343164</v>
      </c>
      <c r="I144">
        <v>65.263360000000006</v>
      </c>
      <c r="J144">
        <v>0.19102863763459479</v>
      </c>
      <c r="K144">
        <f t="shared" si="45"/>
        <v>12.467170748256109</v>
      </c>
      <c r="L144">
        <f t="shared" si="52"/>
        <v>3.1864896217222549</v>
      </c>
      <c r="M144">
        <f t="shared" si="53"/>
        <v>0.11525789155002464</v>
      </c>
      <c r="N144">
        <f t="shared" si="62"/>
        <v>1.1360504246984315</v>
      </c>
      <c r="P144">
        <v>49.925510000000003</v>
      </c>
      <c r="Q144">
        <v>1.1638463743895686E-2</v>
      </c>
      <c r="R144">
        <f t="shared" si="46"/>
        <v>0.58105623803050155</v>
      </c>
      <c r="S144">
        <f t="shared" si="54"/>
        <v>-1.6747518703762454</v>
      </c>
      <c r="T144">
        <f t="shared" si="55"/>
        <v>4.7459836005484757</v>
      </c>
      <c r="U144">
        <f t="shared" si="63"/>
        <v>3.157683018994772</v>
      </c>
      <c r="W144">
        <v>62.76952</v>
      </c>
      <c r="X144">
        <v>0.23082146816468627</v>
      </c>
      <c r="Y144">
        <f t="shared" si="47"/>
        <v>14.488552762392638</v>
      </c>
      <c r="Z144">
        <f t="shared" si="56"/>
        <v>2.6771677242806602</v>
      </c>
      <c r="AA144">
        <f t="shared" si="57"/>
        <v>0.39406400589157009</v>
      </c>
      <c r="AB144">
        <f t="shared" si="64"/>
        <v>0.44597404756311354</v>
      </c>
      <c r="AE144">
        <v>57.058729999999997</v>
      </c>
      <c r="AF144">
        <v>0.35017823285679694</v>
      </c>
      <c r="AG144">
        <f t="shared" si="48"/>
        <v>19.980725240453104</v>
      </c>
      <c r="AH144">
        <f t="shared" si="58"/>
        <v>4.1124797440520222</v>
      </c>
      <c r="AI144">
        <f t="shared" si="59"/>
        <v>1.0412480138797919</v>
      </c>
      <c r="AJ144">
        <f t="shared" si="65"/>
        <v>0.54344931562357868</v>
      </c>
      <c r="AL144">
        <f t="shared" si="49"/>
        <v>56.337894041648042</v>
      </c>
      <c r="AM144">
        <f t="shared" si="60"/>
        <v>3.0712317301722303</v>
      </c>
    </row>
    <row r="145" spans="1:39" x14ac:dyDescent="0.35">
      <c r="A145" s="2">
        <v>40848</v>
      </c>
      <c r="B145">
        <v>41.948349999999998</v>
      </c>
      <c r="C145">
        <v>0.21633319760002631</v>
      </c>
      <c r="D145">
        <f t="shared" si="44"/>
        <v>9.0748206895450636</v>
      </c>
      <c r="E145">
        <f t="shared" si="50"/>
        <v>2.8845851981642356</v>
      </c>
      <c r="F145">
        <f t="shared" si="51"/>
        <v>2.0843405577247731</v>
      </c>
      <c r="G145">
        <f t="shared" si="61"/>
        <v>0.58609573390200342</v>
      </c>
      <c r="I145">
        <v>64.432370000000006</v>
      </c>
      <c r="J145">
        <v>0.19102863763459479</v>
      </c>
      <c r="K145">
        <f t="shared" si="45"/>
        <v>12.308427860668138</v>
      </c>
      <c r="L145">
        <f t="shared" si="52"/>
        <v>-1.2732871859493566</v>
      </c>
      <c r="M145">
        <f t="shared" si="53"/>
        <v>2.0735318263888192</v>
      </c>
      <c r="N145">
        <f t="shared" si="62"/>
        <v>1.9582739348387945</v>
      </c>
      <c r="P145">
        <v>50.558669999999999</v>
      </c>
      <c r="Q145">
        <v>1.1638463743895686E-2</v>
      </c>
      <c r="R145">
        <f t="shared" si="46"/>
        <v>0.58842524773458649</v>
      </c>
      <c r="S145">
        <f t="shared" si="54"/>
        <v>1.2682093783318305</v>
      </c>
      <c r="T145">
        <f t="shared" si="55"/>
        <v>0.46796473789236792</v>
      </c>
      <c r="U145">
        <f t="shared" si="63"/>
        <v>4.2780188626561078</v>
      </c>
      <c r="W145">
        <v>64.709339999999997</v>
      </c>
      <c r="X145">
        <v>0.23082146816468627</v>
      </c>
      <c r="Y145">
        <f t="shared" si="47"/>
        <v>14.936304862767859</v>
      </c>
      <c r="Z145">
        <f t="shared" si="56"/>
        <v>3.0903852697933498</v>
      </c>
      <c r="AA145">
        <f t="shared" si="57"/>
        <v>2.2901406293538873</v>
      </c>
      <c r="AB145">
        <f t="shared" si="64"/>
        <v>1.8960766234623172</v>
      </c>
      <c r="AE145">
        <v>56.773249999999997</v>
      </c>
      <c r="AF145">
        <v>0.35017823285679694</v>
      </c>
      <c r="AG145">
        <f t="shared" si="48"/>
        <v>19.880756358537145</v>
      </c>
      <c r="AH145">
        <f t="shared" si="58"/>
        <v>-0.50032659331884499</v>
      </c>
      <c r="AI145">
        <f t="shared" si="59"/>
        <v>1.3005712337583075</v>
      </c>
      <c r="AJ145">
        <f t="shared" si="65"/>
        <v>0.25932321987851559</v>
      </c>
      <c r="AL145">
        <f t="shared" si="49"/>
        <v>56.78873501925279</v>
      </c>
      <c r="AM145">
        <f t="shared" si="60"/>
        <v>0.80024464043946253</v>
      </c>
    </row>
    <row r="146" spans="1:39" x14ac:dyDescent="0.35">
      <c r="A146" s="2">
        <v>40878</v>
      </c>
      <c r="B146">
        <v>43.178660000000001</v>
      </c>
      <c r="C146">
        <v>0.21633319760002631</v>
      </c>
      <c r="D146">
        <f t="shared" si="44"/>
        <v>9.3409775858843531</v>
      </c>
      <c r="E146">
        <f t="shared" si="50"/>
        <v>2.9329163125605628</v>
      </c>
      <c r="F146">
        <f t="shared" si="51"/>
        <v>2.3067631282648104</v>
      </c>
      <c r="G146">
        <f t="shared" si="61"/>
        <v>0.22242257054003733</v>
      </c>
      <c r="I146">
        <v>62.358539999999998</v>
      </c>
      <c r="J146">
        <v>0.19102863763459479</v>
      </c>
      <c r="K146">
        <f t="shared" si="45"/>
        <v>11.912266941082384</v>
      </c>
      <c r="L146">
        <f t="shared" si="52"/>
        <v>-3.2186151153527409</v>
      </c>
      <c r="M146">
        <f t="shared" si="53"/>
        <v>3.8447682996484933</v>
      </c>
      <c r="N146">
        <f t="shared" si="62"/>
        <v>1.7712364732596741</v>
      </c>
      <c r="P146">
        <v>51.174239999999998</v>
      </c>
      <c r="Q146">
        <v>1.1638463743895686E-2</v>
      </c>
      <c r="R146">
        <f t="shared" si="46"/>
        <v>0.59558953686141636</v>
      </c>
      <c r="S146">
        <f t="shared" si="54"/>
        <v>1.217535983442608</v>
      </c>
      <c r="T146">
        <f t="shared" si="55"/>
        <v>0.59138279914685565</v>
      </c>
      <c r="U146">
        <f t="shared" si="63"/>
        <v>0.12341806125448773</v>
      </c>
      <c r="W146">
        <v>65.192019999999999</v>
      </c>
      <c r="X146">
        <v>0.23082146816468627</v>
      </c>
      <c r="Y146">
        <f t="shared" si="47"/>
        <v>15.04771776902159</v>
      </c>
      <c r="Z146">
        <f t="shared" si="56"/>
        <v>0.74592014074010837</v>
      </c>
      <c r="AA146">
        <f t="shared" si="57"/>
        <v>0.11976695644435598</v>
      </c>
      <c r="AB146">
        <f t="shared" si="64"/>
        <v>2.1703736729095313</v>
      </c>
      <c r="AE146">
        <v>57.82132</v>
      </c>
      <c r="AF146">
        <v>0.35017823285679694</v>
      </c>
      <c r="AG146">
        <f t="shared" si="48"/>
        <v>20.247767659047369</v>
      </c>
      <c r="AH146">
        <f t="shared" si="58"/>
        <v>1.8460630666731204</v>
      </c>
      <c r="AI146">
        <f t="shared" si="59"/>
        <v>1.219909882377368</v>
      </c>
      <c r="AJ146">
        <f t="shared" si="65"/>
        <v>8.066135138093955E-2</v>
      </c>
      <c r="AL146">
        <f t="shared" si="49"/>
        <v>57.144319491897114</v>
      </c>
      <c r="AM146">
        <f t="shared" si="60"/>
        <v>0.6261531842957524</v>
      </c>
    </row>
    <row r="147" spans="1:39" x14ac:dyDescent="0.35">
      <c r="A147" s="2">
        <v>40909</v>
      </c>
      <c r="B147">
        <v>45.83032</v>
      </c>
      <c r="C147">
        <v>0.21635638313180544</v>
      </c>
      <c r="D147">
        <f t="shared" si="44"/>
        <v>9.9156822729732461</v>
      </c>
      <c r="E147">
        <f t="shared" si="50"/>
        <v>6.1411354590438894</v>
      </c>
      <c r="F147">
        <f t="shared" si="51"/>
        <v>2.1399095033647342E-2</v>
      </c>
      <c r="G147">
        <f t="shared" si="61"/>
        <v>2.2853640332311631</v>
      </c>
      <c r="I147">
        <v>67.086269999999999</v>
      </c>
      <c r="J147">
        <v>0.18795339840017011</v>
      </c>
      <c r="K147">
        <f t="shared" si="45"/>
        <v>12.60909243249138</v>
      </c>
      <c r="L147">
        <f t="shared" si="52"/>
        <v>7.5815277265952608</v>
      </c>
      <c r="M147">
        <f t="shared" si="53"/>
        <v>1.4189931725177241</v>
      </c>
      <c r="N147">
        <f t="shared" si="62"/>
        <v>2.4257751271307693</v>
      </c>
      <c r="P147">
        <v>52.99194</v>
      </c>
      <c r="Q147">
        <v>1.1736931200574088E-2</v>
      </c>
      <c r="R147">
        <f t="shared" si="46"/>
        <v>0.62196275396495004</v>
      </c>
      <c r="S147">
        <f t="shared" si="54"/>
        <v>3.5519824036468473</v>
      </c>
      <c r="T147">
        <f t="shared" si="55"/>
        <v>2.6105521504306894</v>
      </c>
      <c r="U147">
        <f t="shared" si="63"/>
        <v>2.0191693512838338</v>
      </c>
      <c r="W147">
        <v>68.035390000000007</v>
      </c>
      <c r="X147">
        <v>0.23658464860331382</v>
      </c>
      <c r="Y147">
        <f t="shared" si="47"/>
        <v>16.096128835739414</v>
      </c>
      <c r="Z147">
        <f t="shared" si="56"/>
        <v>4.3615307517699264</v>
      </c>
      <c r="AA147">
        <f t="shared" si="57"/>
        <v>1.8010038023076103</v>
      </c>
      <c r="AB147">
        <f t="shared" si="64"/>
        <v>1.6812368458632543</v>
      </c>
      <c r="AE147">
        <v>61.67221</v>
      </c>
      <c r="AF147">
        <v>0.34736863866413653</v>
      </c>
      <c r="AG147">
        <f t="shared" si="48"/>
        <v>21.422991631108747</v>
      </c>
      <c r="AH147">
        <f t="shared" si="58"/>
        <v>6.659982857534219</v>
      </c>
      <c r="AI147">
        <f t="shared" si="59"/>
        <v>0.49744830345668234</v>
      </c>
      <c r="AJ147">
        <f t="shared" si="65"/>
        <v>0.72246157892068563</v>
      </c>
      <c r="AL147">
        <f t="shared" si="49"/>
        <v>60.665857926277738</v>
      </c>
      <c r="AM147">
        <f t="shared" si="60"/>
        <v>6.1625345540775367</v>
      </c>
    </row>
    <row r="148" spans="1:39" x14ac:dyDescent="0.35">
      <c r="A148" s="2">
        <v>40940</v>
      </c>
      <c r="B148">
        <v>50.113370000000003</v>
      </c>
      <c r="C148">
        <v>0.21635638313180544</v>
      </c>
      <c r="D148">
        <f t="shared" si="44"/>
        <v>10.842347479745925</v>
      </c>
      <c r="E148">
        <f t="shared" si="50"/>
        <v>9.3454507845461379</v>
      </c>
      <c r="F148">
        <f t="shared" si="51"/>
        <v>2.6655366872457389</v>
      </c>
      <c r="G148">
        <f t="shared" si="61"/>
        <v>2.6441375922120915</v>
      </c>
      <c r="I148">
        <v>71.744720000000001</v>
      </c>
      <c r="J148">
        <v>0.18795339840017011</v>
      </c>
      <c r="K148">
        <f t="shared" si="45"/>
        <v>13.484663941268654</v>
      </c>
      <c r="L148">
        <f t="shared" si="52"/>
        <v>6.9439693099646149</v>
      </c>
      <c r="M148">
        <f t="shared" si="53"/>
        <v>0.26405521266421594</v>
      </c>
      <c r="N148">
        <f t="shared" si="62"/>
        <v>1.1549379598535081</v>
      </c>
      <c r="P148">
        <v>53.873959999999997</v>
      </c>
      <c r="Q148">
        <v>1.1736931200574088E-2</v>
      </c>
      <c r="R148">
        <f t="shared" si="46"/>
        <v>0.63231496202248039</v>
      </c>
      <c r="S148">
        <f t="shared" si="54"/>
        <v>1.6644418000171246</v>
      </c>
      <c r="T148">
        <f t="shared" si="55"/>
        <v>5.0154722972832744</v>
      </c>
      <c r="U148">
        <f t="shared" si="63"/>
        <v>2.4049201468525849</v>
      </c>
      <c r="W148">
        <v>71.590710000000001</v>
      </c>
      <c r="X148">
        <v>0.23658464860331382</v>
      </c>
      <c r="Y148">
        <f t="shared" si="47"/>
        <v>16.937262968611744</v>
      </c>
      <c r="Z148">
        <f t="shared" si="56"/>
        <v>5.2256920993618117</v>
      </c>
      <c r="AA148">
        <f t="shared" si="57"/>
        <v>1.4542219979385873</v>
      </c>
      <c r="AB148">
        <f t="shared" si="64"/>
        <v>0.34678180436902295</v>
      </c>
      <c r="AE148">
        <v>65.698779999999999</v>
      </c>
      <c r="AF148">
        <v>0.34736863866413653</v>
      </c>
      <c r="AG148">
        <f t="shared" si="48"/>
        <v>22.8216957704946</v>
      </c>
      <c r="AH148">
        <f t="shared" si="58"/>
        <v>6.5289860700630031</v>
      </c>
      <c r="AI148">
        <f t="shared" si="59"/>
        <v>0.15092802723739585</v>
      </c>
      <c r="AJ148">
        <f t="shared" si="65"/>
        <v>0.34652027621928649</v>
      </c>
      <c r="AL148">
        <f t="shared" si="49"/>
        <v>64.718285122143399</v>
      </c>
      <c r="AM148">
        <f t="shared" si="60"/>
        <v>6.679914097300399</v>
      </c>
    </row>
    <row r="149" spans="1:39" x14ac:dyDescent="0.35">
      <c r="A149" s="2">
        <v>40969</v>
      </c>
      <c r="B149">
        <v>50.899250000000002</v>
      </c>
      <c r="C149">
        <v>0.21635638313180544</v>
      </c>
      <c r="D149">
        <f t="shared" si="44"/>
        <v>11.012377634121549</v>
      </c>
      <c r="E149">
        <f t="shared" si="50"/>
        <v>1.5682042536752094</v>
      </c>
      <c r="F149">
        <f t="shared" si="51"/>
        <v>0.42598802532718416</v>
      </c>
      <c r="G149">
        <f t="shared" si="61"/>
        <v>2.2395486619185547</v>
      </c>
      <c r="I149">
        <v>71.781940000000006</v>
      </c>
      <c r="J149">
        <v>0.18795339840017011</v>
      </c>
      <c r="K149">
        <f t="shared" si="45"/>
        <v>13.491659566757107</v>
      </c>
      <c r="L149">
        <f t="shared" si="52"/>
        <v>5.1878382130432499E-2</v>
      </c>
      <c r="M149">
        <f t="shared" si="53"/>
        <v>1.0903378462175928</v>
      </c>
      <c r="N149">
        <f t="shared" si="62"/>
        <v>0.82628263355337683</v>
      </c>
      <c r="P149">
        <v>56.600059999999999</v>
      </c>
      <c r="Q149">
        <v>1.1736931200574088E-2</v>
      </c>
      <c r="R149">
        <f t="shared" si="46"/>
        <v>0.66431101016836536</v>
      </c>
      <c r="S149">
        <f t="shared" si="54"/>
        <v>5.0601440844519452</v>
      </c>
      <c r="T149">
        <f t="shared" si="55"/>
        <v>3.9179278561039199</v>
      </c>
      <c r="U149">
        <f t="shared" si="63"/>
        <v>1.0975444411793545</v>
      </c>
      <c r="W149">
        <v>73.043300000000002</v>
      </c>
      <c r="X149">
        <v>0.23658464860331382</v>
      </c>
      <c r="Y149">
        <f t="shared" si="47"/>
        <v>17.280923463326435</v>
      </c>
      <c r="Z149">
        <f t="shared" si="56"/>
        <v>2.0290202457832862</v>
      </c>
      <c r="AA149">
        <f t="shared" si="57"/>
        <v>0.88680401743526094</v>
      </c>
      <c r="AB149">
        <f t="shared" si="64"/>
        <v>0.56741798050332637</v>
      </c>
      <c r="AE149">
        <v>66.235789999999994</v>
      </c>
      <c r="AF149">
        <v>0.34736863866413653</v>
      </c>
      <c r="AG149">
        <f t="shared" si="48"/>
        <v>23.008236203143625</v>
      </c>
      <c r="AH149">
        <f t="shared" si="58"/>
        <v>0.81738199704772807</v>
      </c>
      <c r="AI149">
        <f t="shared" si="59"/>
        <v>0.3248342313002972</v>
      </c>
      <c r="AJ149">
        <f t="shared" si="65"/>
        <v>0.17390620406290136</v>
      </c>
      <c r="AL149">
        <f t="shared" si="49"/>
        <v>65.457507877517074</v>
      </c>
      <c r="AM149">
        <f t="shared" si="60"/>
        <v>1.1422162283480253</v>
      </c>
    </row>
    <row r="150" spans="1:39" x14ac:dyDescent="0.35">
      <c r="A150" s="2">
        <v>41000</v>
      </c>
      <c r="B150">
        <v>51.032029999999999</v>
      </c>
      <c r="C150">
        <v>0.21635638313180544</v>
      </c>
      <c r="D150">
        <f t="shared" si="44"/>
        <v>11.041105434673788</v>
      </c>
      <c r="E150">
        <f t="shared" si="50"/>
        <v>0.26086828391380656</v>
      </c>
      <c r="F150">
        <f t="shared" si="51"/>
        <v>3.5586099902322199</v>
      </c>
      <c r="G150">
        <f t="shared" si="61"/>
        <v>3.1326219649050357</v>
      </c>
      <c r="I150">
        <v>66.953620000000001</v>
      </c>
      <c r="J150">
        <v>0.18795339840017011</v>
      </c>
      <c r="K150">
        <f t="shared" si="45"/>
        <v>12.584160414193597</v>
      </c>
      <c r="L150">
        <f t="shared" si="52"/>
        <v>-6.7263715636551531</v>
      </c>
      <c r="M150">
        <f t="shared" si="53"/>
        <v>3.4286298573367398</v>
      </c>
      <c r="N150">
        <f t="shared" si="62"/>
        <v>2.338292011119147</v>
      </c>
      <c r="P150">
        <v>58.887360000000001</v>
      </c>
      <c r="Q150">
        <v>1.1736931200574088E-2</v>
      </c>
      <c r="R150">
        <f t="shared" si="46"/>
        <v>0.69115689290343851</v>
      </c>
      <c r="S150">
        <f t="shared" si="54"/>
        <v>4.0411617938214128</v>
      </c>
      <c r="T150">
        <f t="shared" si="55"/>
        <v>7.3389035001398266</v>
      </c>
      <c r="U150">
        <f t="shared" si="63"/>
        <v>3.4209756440359067</v>
      </c>
      <c r="W150">
        <v>71.462490000000003</v>
      </c>
      <c r="X150">
        <v>0.23658464860331382</v>
      </c>
      <c r="Y150">
        <f t="shared" si="47"/>
        <v>16.906928084967827</v>
      </c>
      <c r="Z150">
        <f t="shared" si="56"/>
        <v>-2.1642094483682928</v>
      </c>
      <c r="AA150">
        <f t="shared" si="57"/>
        <v>1.1335322579501206</v>
      </c>
      <c r="AB150">
        <f t="shared" si="64"/>
        <v>0.24672824051485964</v>
      </c>
      <c r="AE150">
        <v>63.550750000000001</v>
      </c>
      <c r="AF150">
        <v>0.34736863866413653</v>
      </c>
      <c r="AG150">
        <f t="shared" si="48"/>
        <v>22.075537513584877</v>
      </c>
      <c r="AH150">
        <f t="shared" si="58"/>
        <v>-4.0537600593274377</v>
      </c>
      <c r="AI150">
        <f t="shared" si="59"/>
        <v>0.75601835300902431</v>
      </c>
      <c r="AJ150">
        <f t="shared" si="65"/>
        <v>0.43118412170872711</v>
      </c>
      <c r="AL150">
        <f t="shared" si="49"/>
        <v>63.298888340323529</v>
      </c>
      <c r="AM150">
        <f t="shared" si="60"/>
        <v>-3.2977417063184133</v>
      </c>
    </row>
    <row r="151" spans="1:39" x14ac:dyDescent="0.35">
      <c r="A151" s="2">
        <v>41030</v>
      </c>
      <c r="B151">
        <v>49.9467</v>
      </c>
      <c r="C151">
        <v>0.21635638313180544</v>
      </c>
      <c r="D151">
        <f t="shared" si="44"/>
        <v>10.806287361369346</v>
      </c>
      <c r="E151">
        <f t="shared" si="50"/>
        <v>-2.1267623490580312</v>
      </c>
      <c r="F151">
        <f t="shared" si="51"/>
        <v>2.0171087604115789</v>
      </c>
      <c r="G151">
        <f t="shared" si="61"/>
        <v>1.541501229820641</v>
      </c>
      <c r="I151">
        <v>62.366320000000002</v>
      </c>
      <c r="J151">
        <v>0.18795339840017011</v>
      </c>
      <c r="K151">
        <f t="shared" si="45"/>
        <v>11.721961789712498</v>
      </c>
      <c r="L151">
        <f t="shared" si="52"/>
        <v>-6.8514592638904359</v>
      </c>
      <c r="M151">
        <f t="shared" si="53"/>
        <v>2.7075881544208258</v>
      </c>
      <c r="N151">
        <f t="shared" si="62"/>
        <v>0.72104170291591396</v>
      </c>
      <c r="P151">
        <v>60.417490000000001</v>
      </c>
      <c r="Q151">
        <v>1.1736931200574088E-2</v>
      </c>
      <c r="R151">
        <f t="shared" si="46"/>
        <v>0.70911592344137298</v>
      </c>
      <c r="S151">
        <f t="shared" si="54"/>
        <v>2.5984014226482666</v>
      </c>
      <c r="T151">
        <f t="shared" si="55"/>
        <v>6.7422725321178767</v>
      </c>
      <c r="U151">
        <f t="shared" si="63"/>
        <v>0.59663096802194993</v>
      </c>
      <c r="W151">
        <v>68.679469999999995</v>
      </c>
      <c r="X151">
        <v>0.23658464860331382</v>
      </c>
      <c r="Y151">
        <f t="shared" si="47"/>
        <v>16.248508276211833</v>
      </c>
      <c r="Z151">
        <f t="shared" si="56"/>
        <v>-3.8943787153232545</v>
      </c>
      <c r="AA151">
        <f t="shared" si="57"/>
        <v>0.2494923941463556</v>
      </c>
      <c r="AB151">
        <f t="shared" si="64"/>
        <v>0.88403986380376498</v>
      </c>
      <c r="AE151">
        <v>61.001449999999998</v>
      </c>
      <c r="AF151">
        <v>0.34736863866413653</v>
      </c>
      <c r="AG151">
        <f t="shared" si="48"/>
        <v>21.189990643038392</v>
      </c>
      <c r="AH151">
        <f t="shared" si="58"/>
        <v>-4.0114396761643301</v>
      </c>
      <c r="AI151">
        <f t="shared" si="59"/>
        <v>0.13243143330528007</v>
      </c>
      <c r="AJ151">
        <f t="shared" si="65"/>
        <v>0.62358691970374425</v>
      </c>
      <c r="AL151">
        <f t="shared" si="49"/>
        <v>60.675863993773433</v>
      </c>
      <c r="AM151">
        <f t="shared" si="60"/>
        <v>-4.1438711094696101</v>
      </c>
    </row>
    <row r="152" spans="1:39" x14ac:dyDescent="0.35">
      <c r="A152" s="2">
        <v>41061</v>
      </c>
      <c r="B152">
        <v>48.152729999999998</v>
      </c>
      <c r="C152">
        <v>0.21635638313180544</v>
      </c>
      <c r="D152">
        <f t="shared" si="44"/>
        <v>10.418150500722382</v>
      </c>
      <c r="E152">
        <f t="shared" si="50"/>
        <v>-3.5917688255680535</v>
      </c>
      <c r="F152">
        <f t="shared" si="51"/>
        <v>0.28764234121428922</v>
      </c>
      <c r="G152">
        <f t="shared" si="61"/>
        <v>1.7294664191972897</v>
      </c>
      <c r="I152">
        <v>58.381230000000002</v>
      </c>
      <c r="J152">
        <v>0.18795339840017011</v>
      </c>
      <c r="K152">
        <f t="shared" si="45"/>
        <v>10.972950581281964</v>
      </c>
      <c r="L152">
        <f t="shared" si="52"/>
        <v>-6.3898110390351759</v>
      </c>
      <c r="M152">
        <f t="shared" si="53"/>
        <v>2.5103998722528331</v>
      </c>
      <c r="N152">
        <f t="shared" si="62"/>
        <v>0.19718828216799267</v>
      </c>
      <c r="P152">
        <v>59.451039999999999</v>
      </c>
      <c r="Q152">
        <v>1.1736931200574088E-2</v>
      </c>
      <c r="R152">
        <f t="shared" si="46"/>
        <v>0.69777276628257812</v>
      </c>
      <c r="S152">
        <f t="shared" si="54"/>
        <v>-1.5996195803566149</v>
      </c>
      <c r="T152">
        <f t="shared" si="55"/>
        <v>2.2797915864257279</v>
      </c>
      <c r="U152">
        <f t="shared" si="63"/>
        <v>4.4624809456921488</v>
      </c>
      <c r="W152">
        <v>66.284120000000001</v>
      </c>
      <c r="X152">
        <v>0.23658464860331382</v>
      </c>
      <c r="Y152">
        <f t="shared" si="47"/>
        <v>15.681805238179887</v>
      </c>
      <c r="Z152">
        <f t="shared" si="56"/>
        <v>-3.487723478355309</v>
      </c>
      <c r="AA152">
        <f t="shared" si="57"/>
        <v>0.39168768842703372</v>
      </c>
      <c r="AB152">
        <f t="shared" si="64"/>
        <v>0.14219529428067812</v>
      </c>
      <c r="AE152">
        <v>59.162849999999999</v>
      </c>
      <c r="AF152">
        <v>0.34736863866413653</v>
      </c>
      <c r="AG152">
        <f t="shared" si="48"/>
        <v>20.551318663990511</v>
      </c>
      <c r="AH152">
        <f t="shared" si="58"/>
        <v>-3.0140267157584</v>
      </c>
      <c r="AI152">
        <f t="shared" si="59"/>
        <v>0.86538445102394279</v>
      </c>
      <c r="AJ152">
        <f t="shared" si="65"/>
        <v>0.73295301771866272</v>
      </c>
      <c r="AL152">
        <f t="shared" si="49"/>
        <v>58.321997750457321</v>
      </c>
      <c r="AM152">
        <f t="shared" si="60"/>
        <v>-3.8794111667823428</v>
      </c>
    </row>
    <row r="153" spans="1:39" x14ac:dyDescent="0.35">
      <c r="A153" s="2">
        <v>41091</v>
      </c>
      <c r="B153">
        <v>51.639060000000001</v>
      </c>
      <c r="C153">
        <v>0.21635638313180544</v>
      </c>
      <c r="D153">
        <f t="shared" si="44"/>
        <v>11.172440249926289</v>
      </c>
      <c r="E153">
        <f t="shared" si="50"/>
        <v>7.2401502469330525</v>
      </c>
      <c r="F153">
        <f t="shared" si="51"/>
        <v>1.9599373293825773</v>
      </c>
      <c r="G153">
        <f t="shared" si="61"/>
        <v>1.672294988168288</v>
      </c>
      <c r="I153">
        <v>60.324530000000003</v>
      </c>
      <c r="J153">
        <v>0.18795339840017011</v>
      </c>
      <c r="K153">
        <f t="shared" si="45"/>
        <v>11.338200420393015</v>
      </c>
      <c r="L153">
        <f t="shared" si="52"/>
        <v>3.3286383311896595</v>
      </c>
      <c r="M153">
        <f t="shared" si="53"/>
        <v>1.9515745863608158</v>
      </c>
      <c r="N153">
        <f t="shared" si="62"/>
        <v>0.5588252858920173</v>
      </c>
      <c r="P153">
        <v>58.897030000000001</v>
      </c>
      <c r="Q153">
        <v>1.1736931200574088E-2</v>
      </c>
      <c r="R153">
        <f t="shared" si="46"/>
        <v>0.69127038902814808</v>
      </c>
      <c r="S153">
        <f t="shared" si="54"/>
        <v>-0.93187604455700068</v>
      </c>
      <c r="T153">
        <f t="shared" si="55"/>
        <v>6.212088962107476</v>
      </c>
      <c r="U153">
        <f t="shared" si="63"/>
        <v>3.9322973756817481</v>
      </c>
      <c r="W153">
        <v>70.439790000000002</v>
      </c>
      <c r="X153">
        <v>0.23658464860331382</v>
      </c>
      <c r="Y153">
        <f t="shared" si="47"/>
        <v>16.664972964841219</v>
      </c>
      <c r="Z153">
        <f t="shared" si="56"/>
        <v>6.2694805331955816</v>
      </c>
      <c r="AA153">
        <f t="shared" si="57"/>
        <v>0.98926761564510635</v>
      </c>
      <c r="AB153">
        <f t="shared" si="64"/>
        <v>0.59757992721807263</v>
      </c>
      <c r="AE153">
        <v>61.99362</v>
      </c>
      <c r="AF153">
        <v>0.34736863866413653</v>
      </c>
      <c r="AG153">
        <f t="shared" si="48"/>
        <v>21.534639385261787</v>
      </c>
      <c r="AH153">
        <f t="shared" si="58"/>
        <v>4.7847086474028799</v>
      </c>
      <c r="AI153">
        <f t="shared" si="59"/>
        <v>0.49550427014759535</v>
      </c>
      <c r="AJ153">
        <f t="shared" si="65"/>
        <v>0.36988018087634744</v>
      </c>
      <c r="AL153">
        <f t="shared" si="49"/>
        <v>61.401523409450462</v>
      </c>
      <c r="AM153">
        <f t="shared" si="60"/>
        <v>5.2802129175504753</v>
      </c>
    </row>
    <row r="154" spans="1:39" x14ac:dyDescent="0.35">
      <c r="A154" s="2">
        <v>41122</v>
      </c>
      <c r="B154">
        <v>53.859839999999998</v>
      </c>
      <c r="C154">
        <v>0.21635638313180544</v>
      </c>
      <c r="D154">
        <f t="shared" si="44"/>
        <v>11.652920178457739</v>
      </c>
      <c r="E154">
        <f t="shared" si="50"/>
        <v>4.3005817689167891</v>
      </c>
      <c r="F154">
        <f t="shared" si="51"/>
        <v>0.8334804333505863</v>
      </c>
      <c r="G154">
        <f t="shared" si="61"/>
        <v>1.126456896031991</v>
      </c>
      <c r="I154">
        <v>63.191540000000003</v>
      </c>
      <c r="J154">
        <v>0.18795339840017011</v>
      </c>
      <c r="K154">
        <f t="shared" si="45"/>
        <v>11.877064693140285</v>
      </c>
      <c r="L154">
        <f t="shared" si="52"/>
        <v>4.752643742106244</v>
      </c>
      <c r="M154">
        <f t="shared" si="53"/>
        <v>1.2855424065400411</v>
      </c>
      <c r="N154">
        <f t="shared" si="62"/>
        <v>0.66603217982077467</v>
      </c>
      <c r="P154">
        <v>56.717030000000001</v>
      </c>
      <c r="Q154">
        <v>1.1736931200574088E-2</v>
      </c>
      <c r="R154">
        <f t="shared" si="46"/>
        <v>0.66568387901089654</v>
      </c>
      <c r="S154">
        <f t="shared" si="54"/>
        <v>-3.7013750948052926</v>
      </c>
      <c r="T154">
        <f t="shared" si="55"/>
        <v>7.168476430371495</v>
      </c>
      <c r="U154">
        <f t="shared" si="63"/>
        <v>0.95638746826401899</v>
      </c>
      <c r="W154">
        <v>72.901520000000005</v>
      </c>
      <c r="X154">
        <v>0.23658464860331382</v>
      </c>
      <c r="Y154">
        <f t="shared" si="47"/>
        <v>17.247380491847455</v>
      </c>
      <c r="Z154">
        <f t="shared" si="56"/>
        <v>3.4948003110174097</v>
      </c>
      <c r="AA154">
        <f t="shared" si="57"/>
        <v>2.769897545120692E-2</v>
      </c>
      <c r="AB154">
        <f t="shared" si="64"/>
        <v>0.96156864019389943</v>
      </c>
      <c r="AE154">
        <v>63.584690000000002</v>
      </c>
      <c r="AF154">
        <v>0.34736863866413653</v>
      </c>
      <c r="AG154">
        <f t="shared" si="48"/>
        <v>22.087327205181136</v>
      </c>
      <c r="AH154">
        <f t="shared" si="58"/>
        <v>2.5665060372341619</v>
      </c>
      <c r="AI154">
        <f t="shared" si="59"/>
        <v>0.90059529833204088</v>
      </c>
      <c r="AJ154">
        <f t="shared" si="65"/>
        <v>0.40509102818444553</v>
      </c>
      <c r="AL154">
        <f t="shared" si="49"/>
        <v>63.530376447637515</v>
      </c>
      <c r="AM154">
        <f t="shared" si="60"/>
        <v>3.4671013355662028</v>
      </c>
    </row>
    <row r="155" spans="1:39" x14ac:dyDescent="0.35">
      <c r="A155" s="2">
        <v>41153</v>
      </c>
      <c r="B155">
        <v>54.38015</v>
      </c>
      <c r="C155">
        <v>0.21635638313180544</v>
      </c>
      <c r="D155">
        <f t="shared" si="44"/>
        <v>11.765492568165049</v>
      </c>
      <c r="E155">
        <f t="shared" si="50"/>
        <v>0.96604445909977965</v>
      </c>
      <c r="F155">
        <f t="shared" si="51"/>
        <v>1.103620526638438</v>
      </c>
      <c r="G155">
        <f t="shared" si="61"/>
        <v>0.27014009328785171</v>
      </c>
      <c r="I155">
        <v>65.121409999999997</v>
      </c>
      <c r="J155">
        <v>0.18795339840017011</v>
      </c>
      <c r="K155">
        <f t="shared" si="45"/>
        <v>12.239790318110822</v>
      </c>
      <c r="L155">
        <f t="shared" si="52"/>
        <v>3.0540005829894135</v>
      </c>
      <c r="M155">
        <f t="shared" si="53"/>
        <v>0.98433559725119579</v>
      </c>
      <c r="N155">
        <f t="shared" si="62"/>
        <v>0.30120680928884536</v>
      </c>
      <c r="P155">
        <v>56.770670000000003</v>
      </c>
      <c r="Q155">
        <v>1.1736931200574088E-2</v>
      </c>
      <c r="R155">
        <f t="shared" si="46"/>
        <v>0.66631344800049541</v>
      </c>
      <c r="S155">
        <f t="shared" si="54"/>
        <v>9.4574768812827337E-2</v>
      </c>
      <c r="T155">
        <f t="shared" si="55"/>
        <v>1.9750902169253903</v>
      </c>
      <c r="U155">
        <f t="shared" si="63"/>
        <v>5.1933862134461046</v>
      </c>
      <c r="W155">
        <v>75.201840000000004</v>
      </c>
      <c r="X155">
        <v>0.23658464860331382</v>
      </c>
      <c r="Y155">
        <f t="shared" si="47"/>
        <v>17.791600890722631</v>
      </c>
      <c r="Z155">
        <f t="shared" si="56"/>
        <v>3.1553800249981112</v>
      </c>
      <c r="AA155">
        <f t="shared" si="57"/>
        <v>1.0857150392598935</v>
      </c>
      <c r="AB155">
        <f t="shared" si="64"/>
        <v>1.0580160638086866</v>
      </c>
      <c r="AE155">
        <v>64.433120000000002</v>
      </c>
      <c r="AF155">
        <v>0.34736863866413653</v>
      </c>
      <c r="AG155">
        <f t="shared" si="48"/>
        <v>22.382045179282951</v>
      </c>
      <c r="AH155">
        <f t="shared" si="58"/>
        <v>1.3343306383973852</v>
      </c>
      <c r="AI155">
        <f t="shared" si="59"/>
        <v>0.73533434734083247</v>
      </c>
      <c r="AJ155">
        <f t="shared" si="65"/>
        <v>0.16526095099120841</v>
      </c>
      <c r="AL155">
        <f t="shared" si="49"/>
        <v>64.845242404281947</v>
      </c>
      <c r="AM155">
        <f t="shared" si="60"/>
        <v>2.0696649857382177</v>
      </c>
    </row>
    <row r="156" spans="1:39" x14ac:dyDescent="0.35">
      <c r="A156" s="2">
        <v>41183</v>
      </c>
      <c r="B156">
        <v>54.846260000000001</v>
      </c>
      <c r="C156">
        <v>0.21635638313180544</v>
      </c>
      <c r="D156">
        <f t="shared" si="44"/>
        <v>11.866338441906615</v>
      </c>
      <c r="E156">
        <f t="shared" si="50"/>
        <v>0.85713261180779821</v>
      </c>
      <c r="F156">
        <f t="shared" si="51"/>
        <v>1.3770751000360293</v>
      </c>
      <c r="G156">
        <f t="shared" si="61"/>
        <v>0.27345457339759127</v>
      </c>
      <c r="I156">
        <v>64.848690000000005</v>
      </c>
      <c r="J156">
        <v>0.18795339840017011</v>
      </c>
      <c r="K156">
        <f t="shared" si="45"/>
        <v>12.188531667299129</v>
      </c>
      <c r="L156">
        <f t="shared" si="52"/>
        <v>-0.41878700107996769</v>
      </c>
      <c r="M156">
        <f t="shared" si="53"/>
        <v>0.10115548714826339</v>
      </c>
      <c r="N156">
        <f t="shared" si="62"/>
        <v>0.8831801101029324</v>
      </c>
      <c r="P156">
        <v>56.40748</v>
      </c>
      <c r="Q156">
        <v>1.1736931200574088E-2</v>
      </c>
      <c r="R156">
        <f t="shared" si="46"/>
        <v>0.66205071195775889</v>
      </c>
      <c r="S156">
        <f t="shared" si="54"/>
        <v>-0.63974936353579093</v>
      </c>
      <c r="T156">
        <f t="shared" si="55"/>
        <v>0.11980687530755985</v>
      </c>
      <c r="U156">
        <f t="shared" si="63"/>
        <v>1.8552833416178305</v>
      </c>
      <c r="W156">
        <v>74.473280000000003</v>
      </c>
      <c r="X156">
        <v>0.23658464860331382</v>
      </c>
      <c r="Y156">
        <f t="shared" si="47"/>
        <v>17.6192347791362</v>
      </c>
      <c r="Z156">
        <f t="shared" si="56"/>
        <v>-0.96880608240437205</v>
      </c>
      <c r="AA156">
        <f t="shared" si="57"/>
        <v>0.44886359417614097</v>
      </c>
      <c r="AB156">
        <f t="shared" si="64"/>
        <v>0.63685144508375258</v>
      </c>
      <c r="AE156">
        <v>63.828240000000001</v>
      </c>
      <c r="AF156">
        <v>0.34736863866413653</v>
      </c>
      <c r="AG156">
        <f t="shared" si="48"/>
        <v>22.171928837127787</v>
      </c>
      <c r="AH156">
        <f t="shared" si="58"/>
        <v>-0.93877186142778957</v>
      </c>
      <c r="AI156">
        <f t="shared" si="59"/>
        <v>0.41882937319955849</v>
      </c>
      <c r="AJ156">
        <f t="shared" si="65"/>
        <v>0.31650497414127399</v>
      </c>
      <c r="AL156">
        <f t="shared" si="49"/>
        <v>64.508084437427499</v>
      </c>
      <c r="AM156">
        <f t="shared" si="60"/>
        <v>-0.51994248822823108</v>
      </c>
    </row>
    <row r="157" spans="1:39" x14ac:dyDescent="0.35">
      <c r="A157" s="2">
        <v>41214</v>
      </c>
      <c r="B157">
        <v>53.489939999999997</v>
      </c>
      <c r="C157">
        <v>0.21635638313180544</v>
      </c>
      <c r="D157">
        <f t="shared" si="44"/>
        <v>11.572889952337285</v>
      </c>
      <c r="E157">
        <f t="shared" si="50"/>
        <v>-2.472948930337282</v>
      </c>
      <c r="F157">
        <f t="shared" si="51"/>
        <v>1.4260590683003671</v>
      </c>
      <c r="G157">
        <f t="shared" si="61"/>
        <v>4.8983968264337818E-2</v>
      </c>
      <c r="I157">
        <v>65.417209999999997</v>
      </c>
      <c r="J157">
        <v>0.18795339840017011</v>
      </c>
      <c r="K157">
        <f t="shared" si="45"/>
        <v>12.295386933357591</v>
      </c>
      <c r="L157">
        <f t="shared" si="52"/>
        <v>0.8766869461819482</v>
      </c>
      <c r="M157">
        <f t="shared" si="53"/>
        <v>1.9235768082188631</v>
      </c>
      <c r="N157">
        <f t="shared" si="62"/>
        <v>1.8224213210705997</v>
      </c>
      <c r="P157">
        <v>55.80686</v>
      </c>
      <c r="Q157">
        <v>1.1736931200574088E-2</v>
      </c>
      <c r="R157">
        <f t="shared" si="46"/>
        <v>0.65500127634006999</v>
      </c>
      <c r="S157">
        <f t="shared" si="54"/>
        <v>-1.0647878614680195</v>
      </c>
      <c r="T157">
        <f t="shared" si="55"/>
        <v>1.7897999431104594E-2</v>
      </c>
      <c r="U157">
        <f t="shared" si="63"/>
        <v>0.10190887587645525</v>
      </c>
      <c r="W157">
        <v>72.862300000000005</v>
      </c>
      <c r="X157">
        <v>0.23658464860331382</v>
      </c>
      <c r="Y157">
        <f t="shared" si="47"/>
        <v>17.238101641929234</v>
      </c>
      <c r="Z157">
        <f t="shared" si="56"/>
        <v>-2.1631650976027927</v>
      </c>
      <c r="AA157">
        <f t="shared" si="57"/>
        <v>1.1162752355658778</v>
      </c>
      <c r="AB157">
        <f t="shared" si="64"/>
        <v>0.66741164138973685</v>
      </c>
      <c r="AE157">
        <v>63.53877</v>
      </c>
      <c r="AF157">
        <v>0.34736863866413653</v>
      </c>
      <c r="AG157">
        <f t="shared" si="48"/>
        <v>22.071376037293678</v>
      </c>
      <c r="AH157">
        <f t="shared" si="58"/>
        <v>-0.45351399317919983</v>
      </c>
      <c r="AI157">
        <f t="shared" si="59"/>
        <v>0.59337586885771509</v>
      </c>
      <c r="AJ157">
        <f t="shared" si="65"/>
        <v>0.17454649565815661</v>
      </c>
      <c r="AL157">
        <f t="shared" si="49"/>
        <v>63.832755841257857</v>
      </c>
      <c r="AM157">
        <f t="shared" si="60"/>
        <v>-1.0468898620369149</v>
      </c>
    </row>
    <row r="158" spans="1:39" x14ac:dyDescent="0.35">
      <c r="A158" s="2">
        <v>41244</v>
      </c>
      <c r="B158">
        <v>54.815089999999998</v>
      </c>
      <c r="C158">
        <v>0.21635638313180544</v>
      </c>
      <c r="D158">
        <f t="shared" si="44"/>
        <v>11.859594613444397</v>
      </c>
      <c r="E158">
        <f t="shared" si="50"/>
        <v>2.4773817282277788</v>
      </c>
      <c r="F158">
        <f t="shared" si="51"/>
        <v>0.72734388218884671</v>
      </c>
      <c r="G158">
        <f t="shared" si="61"/>
        <v>0.69871518611152039</v>
      </c>
      <c r="I158">
        <v>68.604879999999994</v>
      </c>
      <c r="J158">
        <v>0.18795339840017011</v>
      </c>
      <c r="K158">
        <f t="shared" si="45"/>
        <v>12.894520342835861</v>
      </c>
      <c r="L158">
        <f t="shared" si="52"/>
        <v>4.8728308651500019</v>
      </c>
      <c r="M158">
        <f t="shared" si="53"/>
        <v>1.6681052547333763</v>
      </c>
      <c r="N158">
        <f t="shared" si="62"/>
        <v>0.25547155348548678</v>
      </c>
      <c r="P158">
        <v>57.834719999999997</v>
      </c>
      <c r="Q158">
        <v>1.1736931200574088E-2</v>
      </c>
      <c r="R158">
        <f t="shared" si="46"/>
        <v>0.67880212964446618</v>
      </c>
      <c r="S158">
        <f t="shared" si="54"/>
        <v>3.6337109810514301</v>
      </c>
      <c r="T158">
        <f t="shared" si="55"/>
        <v>0.42898537063480457</v>
      </c>
      <c r="U158">
        <f t="shared" si="63"/>
        <v>0.41108737120369998</v>
      </c>
      <c r="W158">
        <v>73.915170000000003</v>
      </c>
      <c r="X158">
        <v>0.23658464860331382</v>
      </c>
      <c r="Y158">
        <f t="shared" si="47"/>
        <v>17.487194520904204</v>
      </c>
      <c r="Z158">
        <f t="shared" si="56"/>
        <v>1.4450134019925231</v>
      </c>
      <c r="AA158">
        <f t="shared" si="57"/>
        <v>1.7597122084241024</v>
      </c>
      <c r="AB158">
        <f t="shared" si="64"/>
        <v>0.64343697285822454</v>
      </c>
      <c r="AE158">
        <v>66.092060000000004</v>
      </c>
      <c r="AF158">
        <v>0.34736863866413653</v>
      </c>
      <c r="AG158">
        <f t="shared" si="48"/>
        <v>22.958308908708432</v>
      </c>
      <c r="AH158">
        <f t="shared" si="58"/>
        <v>4.0184756488046647</v>
      </c>
      <c r="AI158">
        <f t="shared" si="59"/>
        <v>0.81375003838803917</v>
      </c>
      <c r="AJ158">
        <f t="shared" si="65"/>
        <v>0.22037416953032407</v>
      </c>
      <c r="AL158">
        <f t="shared" si="49"/>
        <v>65.878420515537357</v>
      </c>
      <c r="AM158">
        <f t="shared" si="60"/>
        <v>3.2047256104166255</v>
      </c>
    </row>
    <row r="159" spans="1:39" x14ac:dyDescent="0.35">
      <c r="A159" s="2">
        <v>41275</v>
      </c>
      <c r="B159">
        <v>57.86918</v>
      </c>
      <c r="C159">
        <v>0.21677398189636482</v>
      </c>
      <c r="D159">
        <f t="shared" si="44"/>
        <v>12.544532577677478</v>
      </c>
      <c r="E159">
        <f t="shared" si="50"/>
        <v>5.5716227046238576</v>
      </c>
      <c r="F159">
        <f t="shared" si="51"/>
        <v>1.2855773434138351</v>
      </c>
      <c r="G159">
        <f t="shared" si="61"/>
        <v>0.5582334612249884</v>
      </c>
      <c r="I159">
        <v>71.618080000000006</v>
      </c>
      <c r="J159">
        <v>0.1848924582578596</v>
      </c>
      <c r="K159">
        <f t="shared" si="45"/>
        <v>13.241642866908052</v>
      </c>
      <c r="L159">
        <f t="shared" si="52"/>
        <v>4.3921073836147073</v>
      </c>
      <c r="M159">
        <f t="shared" si="53"/>
        <v>0.10606202240468487</v>
      </c>
      <c r="N159">
        <f t="shared" si="62"/>
        <v>1.5620432323286915</v>
      </c>
      <c r="P159">
        <v>63.745980000000003</v>
      </c>
      <c r="Q159">
        <v>1.2181243071808238E-2</v>
      </c>
      <c r="R159">
        <f t="shared" si="46"/>
        <v>0.77650527723062657</v>
      </c>
      <c r="S159">
        <f t="shared" si="54"/>
        <v>10.220953780013131</v>
      </c>
      <c r="T159">
        <f t="shared" si="55"/>
        <v>5.9349084188031087</v>
      </c>
      <c r="U159">
        <f t="shared" si="63"/>
        <v>5.5059230481683041</v>
      </c>
      <c r="W159">
        <v>76.906350000000003</v>
      </c>
      <c r="X159">
        <v>0.23723586314786982</v>
      </c>
      <c r="Y159">
        <f t="shared" si="47"/>
        <v>18.24494432380218</v>
      </c>
      <c r="Z159">
        <f t="shared" si="56"/>
        <v>4.0467741601622587</v>
      </c>
      <c r="AA159">
        <f t="shared" si="57"/>
        <v>0.23927120104776378</v>
      </c>
      <c r="AB159">
        <f t="shared" si="64"/>
        <v>1.5204410073763386</v>
      </c>
      <c r="AE159">
        <v>68.481650000000002</v>
      </c>
      <c r="AF159">
        <v>0.34891645362609752</v>
      </c>
      <c r="AG159">
        <f t="shared" si="48"/>
        <v>23.894374456463641</v>
      </c>
      <c r="AH159">
        <f t="shared" si="58"/>
        <v>3.6155477677651371</v>
      </c>
      <c r="AI159">
        <f t="shared" si="59"/>
        <v>0.67049759344488535</v>
      </c>
      <c r="AJ159">
        <f t="shared" si="65"/>
        <v>0.14325244494315381</v>
      </c>
      <c r="AL159">
        <f t="shared" si="49"/>
        <v>68.701999502081975</v>
      </c>
      <c r="AM159">
        <f t="shared" si="60"/>
        <v>4.2860453612100224</v>
      </c>
    </row>
    <row r="160" spans="1:39" x14ac:dyDescent="0.35">
      <c r="A160" s="2">
        <v>41306</v>
      </c>
      <c r="B160">
        <v>59.207889999999999</v>
      </c>
      <c r="C160">
        <v>0.21677398189636482</v>
      </c>
      <c r="D160">
        <f t="shared" si="44"/>
        <v>12.834730074981959</v>
      </c>
      <c r="E160">
        <f t="shared" si="50"/>
        <v>2.3133384644468791</v>
      </c>
      <c r="F160">
        <f t="shared" si="51"/>
        <v>0.50965623867866849</v>
      </c>
      <c r="G160">
        <f t="shared" si="61"/>
        <v>0.77592110473516662</v>
      </c>
      <c r="I160">
        <v>73.248260000000002</v>
      </c>
      <c r="J160">
        <v>0.1848924582578596</v>
      </c>
      <c r="K160">
        <f t="shared" si="45"/>
        <v>13.543050854510847</v>
      </c>
      <c r="L160">
        <f t="shared" si="52"/>
        <v>2.2762129339406911</v>
      </c>
      <c r="M160">
        <f t="shared" si="53"/>
        <v>0.54678176918485644</v>
      </c>
      <c r="N160">
        <f t="shared" si="62"/>
        <v>0.44071974678017156</v>
      </c>
      <c r="P160">
        <v>67.995180000000005</v>
      </c>
      <c r="Q160">
        <v>1.2181243071808238E-2</v>
      </c>
      <c r="R160">
        <f t="shared" si="46"/>
        <v>0.82826581529135412</v>
      </c>
      <c r="S160">
        <f t="shared" si="54"/>
        <v>6.6658321042362134</v>
      </c>
      <c r="T160">
        <f t="shared" si="55"/>
        <v>3.8428374011106659</v>
      </c>
      <c r="U160">
        <f t="shared" si="63"/>
        <v>2.0920710176924429</v>
      </c>
      <c r="W160">
        <v>78.303139999999999</v>
      </c>
      <c r="X160">
        <v>0.23723586314786982</v>
      </c>
      <c r="Y160">
        <f t="shared" si="47"/>
        <v>18.57631300508849</v>
      </c>
      <c r="Z160">
        <f t="shared" si="56"/>
        <v>1.8162219374602939</v>
      </c>
      <c r="AA160">
        <f t="shared" si="57"/>
        <v>1.0067727656652536</v>
      </c>
      <c r="AB160">
        <f t="shared" si="64"/>
        <v>0.76750156461748986</v>
      </c>
      <c r="AE160">
        <v>71.246549999999999</v>
      </c>
      <c r="AF160">
        <v>0.34891645362609752</v>
      </c>
      <c r="AG160">
        <f t="shared" si="48"/>
        <v>24.85909355909444</v>
      </c>
      <c r="AH160">
        <f t="shared" si="58"/>
        <v>4.0374319251945456</v>
      </c>
      <c r="AI160">
        <f t="shared" si="59"/>
        <v>1.2144372220689981</v>
      </c>
      <c r="AJ160">
        <f t="shared" si="65"/>
        <v>0.54393962862411271</v>
      </c>
      <c r="AL160">
        <f t="shared" si="49"/>
        <v>70.641453308967087</v>
      </c>
      <c r="AM160">
        <f t="shared" si="60"/>
        <v>2.8229947031255476</v>
      </c>
    </row>
    <row r="161" spans="1:39" x14ac:dyDescent="0.35">
      <c r="A161" s="2">
        <v>41334</v>
      </c>
      <c r="B161">
        <v>60.516779999999997</v>
      </c>
      <c r="C161">
        <v>0.21677398189636482</v>
      </c>
      <c r="D161">
        <f t="shared" si="44"/>
        <v>13.118463372146293</v>
      </c>
      <c r="E161">
        <f t="shared" si="50"/>
        <v>2.2106682065515137</v>
      </c>
      <c r="F161">
        <f t="shared" si="51"/>
        <v>0.88190828575027691</v>
      </c>
      <c r="G161">
        <f t="shared" si="61"/>
        <v>0.37225204707160842</v>
      </c>
      <c r="I161">
        <v>73.54383</v>
      </c>
      <c r="J161">
        <v>0.1848924582578596</v>
      </c>
      <c r="K161">
        <f t="shared" si="45"/>
        <v>13.597699518398123</v>
      </c>
      <c r="L161">
        <f t="shared" si="52"/>
        <v>0.4035181176999858</v>
      </c>
      <c r="M161">
        <f t="shared" si="53"/>
        <v>0.92524180310125104</v>
      </c>
      <c r="N161">
        <f t="shared" si="62"/>
        <v>0.3784600339163946</v>
      </c>
      <c r="P161">
        <v>69.264139999999998</v>
      </c>
      <c r="Q161">
        <v>1.2181243071808238E-2</v>
      </c>
      <c r="R161">
        <f t="shared" si="46"/>
        <v>0.84372332549975582</v>
      </c>
      <c r="S161">
        <f t="shared" si="54"/>
        <v>1.866249931245112</v>
      </c>
      <c r="T161">
        <f t="shared" si="55"/>
        <v>0.53749001044387512</v>
      </c>
      <c r="U161">
        <f t="shared" si="63"/>
        <v>3.3053473906667907</v>
      </c>
      <c r="W161">
        <v>78.806950000000001</v>
      </c>
      <c r="X161">
        <v>0.23723586314786982</v>
      </c>
      <c r="Y161">
        <f t="shared" si="47"/>
        <v>18.695834805301018</v>
      </c>
      <c r="Z161">
        <f t="shared" si="56"/>
        <v>0.64340970234399997</v>
      </c>
      <c r="AA161">
        <f t="shared" si="57"/>
        <v>0.68535021845723687</v>
      </c>
      <c r="AB161">
        <f t="shared" si="64"/>
        <v>0.32142254720801677</v>
      </c>
      <c r="AE161">
        <v>72.580089999999998</v>
      </c>
      <c r="AF161">
        <v>0.34891645362609752</v>
      </c>
      <c r="AG161">
        <f t="shared" si="48"/>
        <v>25.324387606662984</v>
      </c>
      <c r="AH161">
        <f t="shared" si="58"/>
        <v>1.8717257186488423</v>
      </c>
      <c r="AI161">
        <f t="shared" si="59"/>
        <v>0.54296579784760546</v>
      </c>
      <c r="AJ161">
        <f t="shared" si="65"/>
        <v>0.67147142422139261</v>
      </c>
      <c r="AL161">
        <f t="shared" si="49"/>
        <v>71.580108628008162</v>
      </c>
      <c r="AM161">
        <f t="shared" si="60"/>
        <v>1.3287599208012368</v>
      </c>
    </row>
    <row r="162" spans="1:39" x14ac:dyDescent="0.35">
      <c r="A162" s="2">
        <v>41365</v>
      </c>
      <c r="B162">
        <v>59.291899999999998</v>
      </c>
      <c r="C162">
        <v>0.21677398189636482</v>
      </c>
      <c r="D162">
        <f t="shared" si="44"/>
        <v>12.852941257201072</v>
      </c>
      <c r="E162">
        <f t="shared" si="50"/>
        <v>-2.024033664712499</v>
      </c>
      <c r="F162">
        <f t="shared" si="51"/>
        <v>6.7784077356880523E-2</v>
      </c>
      <c r="G162">
        <f t="shared" si="61"/>
        <v>0.81412420839339639</v>
      </c>
      <c r="I162">
        <v>71.132729999999995</v>
      </c>
      <c r="J162">
        <v>0.1848924582578596</v>
      </c>
      <c r="K162">
        <f t="shared" si="45"/>
        <v>13.151905312292596</v>
      </c>
      <c r="L162">
        <f t="shared" si="52"/>
        <v>-3.2784531346817358</v>
      </c>
      <c r="M162">
        <f t="shared" si="53"/>
        <v>1.1866353926123563</v>
      </c>
      <c r="N162">
        <f t="shared" si="62"/>
        <v>0.26139358951110525</v>
      </c>
      <c r="P162">
        <v>67.488650000000007</v>
      </c>
      <c r="Q162">
        <v>1.2181243071808238E-2</v>
      </c>
      <c r="R162">
        <f t="shared" si="46"/>
        <v>0.82209565023819109</v>
      </c>
      <c r="S162">
        <f t="shared" si="54"/>
        <v>-2.5633610696674913</v>
      </c>
      <c r="T162">
        <f t="shared" si="55"/>
        <v>0.47154332759811179</v>
      </c>
      <c r="U162">
        <f t="shared" si="63"/>
        <v>6.5946682845763327E-2</v>
      </c>
      <c r="W162">
        <v>77.722399999999993</v>
      </c>
      <c r="X162">
        <v>0.23723586314786982</v>
      </c>
      <c r="Y162">
        <f t="shared" si="47"/>
        <v>18.438540649923997</v>
      </c>
      <c r="Z162">
        <f t="shared" si="56"/>
        <v>-1.3762111082842421</v>
      </c>
      <c r="AA162">
        <f t="shared" si="57"/>
        <v>0.71560663378513745</v>
      </c>
      <c r="AB162">
        <f t="shared" si="64"/>
        <v>3.0256415327900577E-2</v>
      </c>
      <c r="AE162">
        <v>71.126769999999993</v>
      </c>
      <c r="AF162">
        <v>0.34891645362609752</v>
      </c>
      <c r="AG162">
        <f t="shared" si="48"/>
        <v>24.817300346279101</v>
      </c>
      <c r="AH162">
        <f t="shared" si="58"/>
        <v>-2.002367315885123</v>
      </c>
      <c r="AI162">
        <f t="shared" si="59"/>
        <v>8.9450426184256582E-2</v>
      </c>
      <c r="AJ162">
        <f t="shared" si="65"/>
        <v>0.45351537166334888</v>
      </c>
      <c r="AL162">
        <f t="shared" si="49"/>
        <v>70.082783215934953</v>
      </c>
      <c r="AM162">
        <f t="shared" si="60"/>
        <v>-2.0918177420693795</v>
      </c>
    </row>
    <row r="163" spans="1:39" x14ac:dyDescent="0.35">
      <c r="A163" s="2">
        <v>41395</v>
      </c>
      <c r="B163">
        <v>60.65363</v>
      </c>
      <c r="C163">
        <v>0.21677398189636482</v>
      </c>
      <c r="D163">
        <f t="shared" si="44"/>
        <v>13.14812889156881</v>
      </c>
      <c r="E163">
        <f t="shared" si="50"/>
        <v>2.2966543490763547</v>
      </c>
      <c r="F163">
        <f t="shared" si="51"/>
        <v>1.2815730696277727</v>
      </c>
      <c r="G163">
        <f t="shared" si="61"/>
        <v>1.2137889922708922</v>
      </c>
      <c r="I163">
        <v>74.541510000000002</v>
      </c>
      <c r="J163">
        <v>0.1848924582578596</v>
      </c>
      <c r="K163">
        <f t="shared" si="45"/>
        <v>13.782163026152825</v>
      </c>
      <c r="L163">
        <f t="shared" si="52"/>
        <v>4.7921399895660022</v>
      </c>
      <c r="M163">
        <f t="shared" si="53"/>
        <v>1.2139125708618748</v>
      </c>
      <c r="N163">
        <f t="shared" si="62"/>
        <v>2.7277178249518474E-2</v>
      </c>
      <c r="P163">
        <v>66.519559999999998</v>
      </c>
      <c r="Q163">
        <v>1.2181243071808238E-2</v>
      </c>
      <c r="R163">
        <f t="shared" si="46"/>
        <v>0.81029092938973235</v>
      </c>
      <c r="S163">
        <f t="shared" si="54"/>
        <v>-1.4359303379160915</v>
      </c>
      <c r="T163">
        <f t="shared" si="55"/>
        <v>5.0141577566202189</v>
      </c>
      <c r="U163">
        <f t="shared" si="63"/>
        <v>4.5426144290221071</v>
      </c>
      <c r="W163">
        <v>80.196200000000005</v>
      </c>
      <c r="X163">
        <v>0.23723586314786982</v>
      </c>
      <c r="Y163">
        <f t="shared" si="47"/>
        <v>19.0254147281792</v>
      </c>
      <c r="Z163">
        <f t="shared" si="56"/>
        <v>3.1828662007349351</v>
      </c>
      <c r="AA163">
        <f t="shared" si="57"/>
        <v>0.39536121796919232</v>
      </c>
      <c r="AB163">
        <f t="shared" si="64"/>
        <v>0.32024541581594512</v>
      </c>
      <c r="AE163">
        <v>74.013440000000003</v>
      </c>
      <c r="AF163">
        <v>0.34891645362609752</v>
      </c>
      <c r="AG163">
        <f t="shared" si="48"/>
        <v>25.824507005467954</v>
      </c>
      <c r="AH163">
        <f t="shared" si="58"/>
        <v>4.058485996200889</v>
      </c>
      <c r="AI163">
        <f t="shared" si="59"/>
        <v>0.4802585774967616</v>
      </c>
      <c r="AJ163">
        <f t="shared" si="65"/>
        <v>0.39080815131250501</v>
      </c>
      <c r="AL163">
        <f t="shared" si="49"/>
        <v>72.590504580758505</v>
      </c>
      <c r="AM163">
        <f t="shared" si="60"/>
        <v>3.5782274187041274</v>
      </c>
    </row>
    <row r="164" spans="1:39" x14ac:dyDescent="0.35">
      <c r="A164" s="2">
        <v>41426</v>
      </c>
      <c r="B164">
        <v>58.300060000000002</v>
      </c>
      <c r="C164">
        <v>0.21677398189636482</v>
      </c>
      <c r="D164">
        <f t="shared" si="44"/>
        <v>12.637936150996984</v>
      </c>
      <c r="E164">
        <f t="shared" si="50"/>
        <v>-3.8803448367393689</v>
      </c>
      <c r="F164">
        <f t="shared" si="51"/>
        <v>0.1080174664428557</v>
      </c>
      <c r="G164">
        <f t="shared" si="61"/>
        <v>1.173555603184917</v>
      </c>
      <c r="I164">
        <v>70.763289999999998</v>
      </c>
      <c r="J164">
        <v>0.1848924582578596</v>
      </c>
      <c r="K164">
        <f t="shared" si="45"/>
        <v>13.083598642513813</v>
      </c>
      <c r="L164">
        <f t="shared" si="52"/>
        <v>-5.0686121061942586</v>
      </c>
      <c r="M164">
        <f t="shared" si="53"/>
        <v>1.2962847358977454</v>
      </c>
      <c r="N164">
        <f t="shared" si="62"/>
        <v>8.2372165035870637E-2</v>
      </c>
      <c r="P164">
        <v>64.571719999999999</v>
      </c>
      <c r="Q164">
        <v>1.2181243071808238E-2</v>
      </c>
      <c r="R164">
        <f t="shared" si="46"/>
        <v>0.78656381688474142</v>
      </c>
      <c r="S164">
        <f t="shared" si="54"/>
        <v>-2.9282214133707463</v>
      </c>
      <c r="T164">
        <f t="shared" si="55"/>
        <v>0.84410595692576695</v>
      </c>
      <c r="U164">
        <f t="shared" si="63"/>
        <v>4.1700517996944519</v>
      </c>
      <c r="W164">
        <v>78.232240000000004</v>
      </c>
      <c r="X164">
        <v>0.23723586314786982</v>
      </c>
      <c r="Y164">
        <f t="shared" si="47"/>
        <v>18.559492982391308</v>
      </c>
      <c r="Z164">
        <f t="shared" si="56"/>
        <v>-2.4489439649260203</v>
      </c>
      <c r="AA164">
        <f t="shared" si="57"/>
        <v>1.3233834053704929</v>
      </c>
      <c r="AB164">
        <f t="shared" si="64"/>
        <v>0.9280221874013006</v>
      </c>
      <c r="AE164">
        <v>71.032939999999996</v>
      </c>
      <c r="AF164">
        <v>0.34891645362609752</v>
      </c>
      <c r="AG164">
        <f t="shared" si="48"/>
        <v>24.784561515435367</v>
      </c>
      <c r="AH164">
        <f t="shared" si="58"/>
        <v>-4.026971317641781</v>
      </c>
      <c r="AI164">
        <f t="shared" si="59"/>
        <v>0.25464394734526774</v>
      </c>
      <c r="AJ164">
        <f t="shared" si="65"/>
        <v>0.22561463015149386</v>
      </c>
      <c r="AL164">
        <f t="shared" si="49"/>
        <v>69.852153108222211</v>
      </c>
      <c r="AM164">
        <f t="shared" si="60"/>
        <v>-3.7723273702965132</v>
      </c>
    </row>
    <row r="165" spans="1:39" x14ac:dyDescent="0.35">
      <c r="A165" s="2">
        <v>41456</v>
      </c>
      <c r="B165">
        <v>60.108939999999997</v>
      </c>
      <c r="C165">
        <v>0.21677398189636482</v>
      </c>
      <c r="D165">
        <f t="shared" si="44"/>
        <v>13.030054271369679</v>
      </c>
      <c r="E165">
        <f t="shared" si="50"/>
        <v>3.1027069268882324</v>
      </c>
      <c r="F165">
        <f t="shared" si="51"/>
        <v>0.31256722977388574</v>
      </c>
      <c r="G165">
        <f t="shared" si="61"/>
        <v>0.20454976333103003</v>
      </c>
      <c r="I165">
        <v>72.268479999999997</v>
      </c>
      <c r="J165">
        <v>0.1848924582578596</v>
      </c>
      <c r="K165">
        <f t="shared" si="45"/>
        <v>13.36189692175896</v>
      </c>
      <c r="L165">
        <f t="shared" si="52"/>
        <v>2.1270774719490904</v>
      </c>
      <c r="M165">
        <f t="shared" si="53"/>
        <v>0.66306222516525626</v>
      </c>
      <c r="N165">
        <f t="shared" si="62"/>
        <v>0.63322251073248914</v>
      </c>
      <c r="P165">
        <v>65.622590000000002</v>
      </c>
      <c r="Q165">
        <v>1.2181243071808238E-2</v>
      </c>
      <c r="R165">
        <f t="shared" si="46"/>
        <v>0.79936471979161261</v>
      </c>
      <c r="S165">
        <f t="shared" si="54"/>
        <v>1.6274461947118679</v>
      </c>
      <c r="T165">
        <f t="shared" si="55"/>
        <v>1.1626935024024787</v>
      </c>
      <c r="U165">
        <f t="shared" si="63"/>
        <v>0.31858754547671175</v>
      </c>
      <c r="W165">
        <v>80.44659</v>
      </c>
      <c r="X165">
        <v>0.23723586314786982</v>
      </c>
      <c r="Y165">
        <f t="shared" si="47"/>
        <v>19.084816215952792</v>
      </c>
      <c r="Z165">
        <f t="shared" si="56"/>
        <v>2.830482675684598</v>
      </c>
      <c r="AA165">
        <f t="shared" si="57"/>
        <v>4.0342978570251375E-2</v>
      </c>
      <c r="AB165">
        <f t="shared" si="64"/>
        <v>1.2830404268002416</v>
      </c>
      <c r="AE165">
        <v>73.155029999999996</v>
      </c>
      <c r="AF165">
        <v>0.34891645362609752</v>
      </c>
      <c r="AG165">
        <f t="shared" si="48"/>
        <v>25.524993632510771</v>
      </c>
      <c r="AH165">
        <f t="shared" si="58"/>
        <v>2.987473135702956</v>
      </c>
      <c r="AI165">
        <f t="shared" si="59"/>
        <v>0.19733343858860941</v>
      </c>
      <c r="AJ165">
        <f t="shared" si="65"/>
        <v>5.7310508756658329E-2</v>
      </c>
      <c r="AL165">
        <f t="shared" si="49"/>
        <v>71.801125761383815</v>
      </c>
      <c r="AM165">
        <f t="shared" si="60"/>
        <v>2.7901396971143466</v>
      </c>
    </row>
    <row r="166" spans="1:39" x14ac:dyDescent="0.35">
      <c r="A166" s="2">
        <v>41487</v>
      </c>
      <c r="B166">
        <v>62.986890000000002</v>
      </c>
      <c r="C166">
        <v>0.21677398189636482</v>
      </c>
      <c r="D166">
        <f t="shared" si="44"/>
        <v>13.653918952568322</v>
      </c>
      <c r="E166">
        <f t="shared" si="50"/>
        <v>4.7878901208372682</v>
      </c>
      <c r="F166">
        <f t="shared" si="51"/>
        <v>1.6374419290789533</v>
      </c>
      <c r="G166">
        <f t="shared" si="61"/>
        <v>1.3248746993050675</v>
      </c>
      <c r="I166">
        <v>74.727059999999994</v>
      </c>
      <c r="J166">
        <v>0.1848924582578596</v>
      </c>
      <c r="K166">
        <f t="shared" si="45"/>
        <v>13.816469821782569</v>
      </c>
      <c r="L166">
        <f t="shared" si="52"/>
        <v>3.4020087318842096</v>
      </c>
      <c r="M166">
        <f t="shared" si="53"/>
        <v>0.25156054012589468</v>
      </c>
      <c r="N166">
        <f t="shared" si="62"/>
        <v>0.41150168503936158</v>
      </c>
      <c r="P166">
        <v>68.033869999999993</v>
      </c>
      <c r="Q166">
        <v>1.2181243071808238E-2</v>
      </c>
      <c r="R166">
        <f t="shared" si="46"/>
        <v>0.82873710758580221</v>
      </c>
      <c r="S166">
        <f t="shared" si="54"/>
        <v>3.6744663689744606</v>
      </c>
      <c r="T166">
        <f t="shared" si="55"/>
        <v>0.52401817721614563</v>
      </c>
      <c r="U166">
        <f t="shared" si="63"/>
        <v>0.63867532518633308</v>
      </c>
      <c r="W166">
        <v>81.938410000000005</v>
      </c>
      <c r="X166">
        <v>0.23723586314786982</v>
      </c>
      <c r="Y166">
        <f t="shared" si="47"/>
        <v>19.438729421314051</v>
      </c>
      <c r="Z166">
        <f t="shared" si="56"/>
        <v>1.854422915874987</v>
      </c>
      <c r="AA166">
        <f t="shared" si="57"/>
        <v>1.2960252758833279</v>
      </c>
      <c r="AB166">
        <f t="shared" si="64"/>
        <v>1.2556822973130766</v>
      </c>
      <c r="AE166">
        <v>75.448800000000006</v>
      </c>
      <c r="AF166">
        <v>0.34891645362609752</v>
      </c>
      <c r="AG166">
        <f t="shared" si="48"/>
        <v>26.32532772634471</v>
      </c>
      <c r="AH166">
        <f t="shared" si="58"/>
        <v>3.135491845195082</v>
      </c>
      <c r="AI166">
        <f t="shared" si="59"/>
        <v>1.495634656323297E-2</v>
      </c>
      <c r="AJ166">
        <f t="shared" si="65"/>
        <v>0.18237709202537644</v>
      </c>
      <c r="AL166">
        <f t="shared" si="49"/>
        <v>74.06318302959545</v>
      </c>
      <c r="AM166">
        <f t="shared" si="60"/>
        <v>3.1504481917583149</v>
      </c>
    </row>
    <row r="167" spans="1:39" x14ac:dyDescent="0.35">
      <c r="A167" s="2">
        <v>41518</v>
      </c>
      <c r="B167">
        <v>63.935360000000003</v>
      </c>
      <c r="C167">
        <v>0.21677398189636482</v>
      </c>
      <c r="D167">
        <f t="shared" si="44"/>
        <v>13.859522571177568</v>
      </c>
      <c r="E167">
        <f t="shared" si="50"/>
        <v>1.5058212907479662</v>
      </c>
      <c r="F167">
        <f t="shared" si="51"/>
        <v>1.567999729213132</v>
      </c>
      <c r="G167">
        <f t="shared" si="61"/>
        <v>6.944219986582123E-2</v>
      </c>
      <c r="I167">
        <v>80.485209999999995</v>
      </c>
      <c r="J167">
        <v>0.1848924582578596</v>
      </c>
      <c r="K167">
        <f t="shared" si="45"/>
        <v>14.881108330300064</v>
      </c>
      <c r="L167">
        <f t="shared" si="52"/>
        <v>7.7055754635603213</v>
      </c>
      <c r="M167">
        <f t="shared" si="53"/>
        <v>4.6317544435992231</v>
      </c>
      <c r="N167">
        <f t="shared" si="62"/>
        <v>4.3801939034733284</v>
      </c>
      <c r="P167">
        <v>66.925839999999994</v>
      </c>
      <c r="Q167">
        <v>1.2181243071808238E-2</v>
      </c>
      <c r="R167">
        <f t="shared" si="46"/>
        <v>0.81523992482494656</v>
      </c>
      <c r="S167">
        <f t="shared" si="54"/>
        <v>-1.6286446736015425</v>
      </c>
      <c r="T167">
        <f t="shared" si="55"/>
        <v>4.7024656935626403</v>
      </c>
      <c r="U167">
        <f t="shared" si="63"/>
        <v>4.1784475163464947</v>
      </c>
      <c r="W167">
        <v>83.541849999999997</v>
      </c>
      <c r="X167">
        <v>0.23723586314786982</v>
      </c>
      <c r="Y167">
        <f t="shared" si="47"/>
        <v>19.819122893719868</v>
      </c>
      <c r="Z167">
        <f t="shared" si="56"/>
        <v>1.9568844452802825</v>
      </c>
      <c r="AA167">
        <f t="shared" si="57"/>
        <v>1.1169365746808158</v>
      </c>
      <c r="AB167">
        <f t="shared" si="64"/>
        <v>0.17908870120251219</v>
      </c>
      <c r="AE167">
        <v>77.281419999999997</v>
      </c>
      <c r="AF167">
        <v>0.34891645362609752</v>
      </c>
      <c r="AG167">
        <f t="shared" si="48"/>
        <v>26.964758997588966</v>
      </c>
      <c r="AH167">
        <f t="shared" si="58"/>
        <v>2.4289584459925129</v>
      </c>
      <c r="AI167">
        <f t="shared" si="59"/>
        <v>0.64486257396858537</v>
      </c>
      <c r="AJ167">
        <f t="shared" si="65"/>
        <v>0.6299062274053524</v>
      </c>
      <c r="AL167">
        <f t="shared" si="49"/>
        <v>76.339752717611418</v>
      </c>
      <c r="AM167">
        <f t="shared" si="60"/>
        <v>3.0738210199610982</v>
      </c>
    </row>
    <row r="168" spans="1:39" x14ac:dyDescent="0.35">
      <c r="A168" s="2">
        <v>41548</v>
      </c>
      <c r="B168">
        <v>65.54777</v>
      </c>
      <c r="C168">
        <v>0.21677398189636482</v>
      </c>
      <c r="D168">
        <f t="shared" si="44"/>
        <v>14.209051107327085</v>
      </c>
      <c r="E168">
        <f t="shared" si="50"/>
        <v>2.5219377821599664</v>
      </c>
      <c r="F168">
        <f t="shared" si="51"/>
        <v>0.86743830708344571</v>
      </c>
      <c r="G168">
        <f t="shared" si="61"/>
        <v>0.70056142212968631</v>
      </c>
      <c r="I168">
        <v>81.884730000000005</v>
      </c>
      <c r="J168">
        <v>0.1848924582578596</v>
      </c>
      <c r="K168">
        <f t="shared" si="45"/>
        <v>15.139869023481104</v>
      </c>
      <c r="L168">
        <f t="shared" si="52"/>
        <v>1.7388536353449391</v>
      </c>
      <c r="M168">
        <f t="shared" si="53"/>
        <v>8.4354160268418354E-2</v>
      </c>
      <c r="N168">
        <f t="shared" si="62"/>
        <v>4.5474002833308047</v>
      </c>
      <c r="P168">
        <v>68.932609999999997</v>
      </c>
      <c r="Q168">
        <v>1.2181243071808238E-2</v>
      </c>
      <c r="R168">
        <f t="shared" si="46"/>
        <v>0.83968487798415925</v>
      </c>
      <c r="S168">
        <f t="shared" si="54"/>
        <v>2.9984980390235005</v>
      </c>
      <c r="T168">
        <f t="shared" si="55"/>
        <v>1.3439985639469798</v>
      </c>
      <c r="U168">
        <f t="shared" si="63"/>
        <v>3.3584671296156605</v>
      </c>
      <c r="W168">
        <v>85.561610000000002</v>
      </c>
      <c r="X168">
        <v>0.23723586314786982</v>
      </c>
      <c r="Y168">
        <f t="shared" si="47"/>
        <v>20.298282400671411</v>
      </c>
      <c r="Z168">
        <f t="shared" si="56"/>
        <v>2.4176625248303774</v>
      </c>
      <c r="AA168">
        <f t="shared" si="57"/>
        <v>0.76316304975385663</v>
      </c>
      <c r="AB168">
        <f t="shared" si="64"/>
        <v>0.35377352492695913</v>
      </c>
      <c r="AE168">
        <v>77.714609999999993</v>
      </c>
      <c r="AF168">
        <v>0.34891645362609752</v>
      </c>
      <c r="AG168">
        <f t="shared" si="48"/>
        <v>27.115906116135253</v>
      </c>
      <c r="AH168">
        <f t="shared" si="58"/>
        <v>0.56053576655294979</v>
      </c>
      <c r="AI168">
        <f t="shared" si="59"/>
        <v>1.0939637085235709</v>
      </c>
      <c r="AJ168">
        <f t="shared" si="65"/>
        <v>0.44910113455498557</v>
      </c>
      <c r="AL168">
        <f t="shared" si="49"/>
        <v>77.602793525599012</v>
      </c>
      <c r="AM168">
        <f t="shared" si="60"/>
        <v>1.6544994750765207</v>
      </c>
    </row>
    <row r="169" spans="1:39" x14ac:dyDescent="0.35">
      <c r="A169" s="2">
        <v>41579</v>
      </c>
      <c r="B169">
        <v>66.787559999999999</v>
      </c>
      <c r="C169">
        <v>0.21677398189636482</v>
      </c>
      <c r="D169">
        <f t="shared" si="44"/>
        <v>14.477805322342379</v>
      </c>
      <c r="E169">
        <f t="shared" si="50"/>
        <v>1.8914297160681492</v>
      </c>
      <c r="F169">
        <f t="shared" si="51"/>
        <v>1.1918356910203487</v>
      </c>
      <c r="G169">
        <f t="shared" si="61"/>
        <v>0.32439738393690298</v>
      </c>
      <c r="I169">
        <v>85.915639999999996</v>
      </c>
      <c r="J169">
        <v>0.1848924582578596</v>
      </c>
      <c r="K169">
        <f t="shared" si="45"/>
        <v>15.885153882397292</v>
      </c>
      <c r="L169">
        <f t="shared" si="52"/>
        <v>4.9226638470933448</v>
      </c>
      <c r="M169">
        <f t="shared" si="53"/>
        <v>1.8393984400048469</v>
      </c>
      <c r="N169">
        <f t="shared" si="62"/>
        <v>1.7550442797364285</v>
      </c>
      <c r="P169">
        <v>71.966489999999993</v>
      </c>
      <c r="Q169">
        <v>1.2181243071808238E-2</v>
      </c>
      <c r="R169">
        <f t="shared" si="46"/>
        <v>0.87664130771485671</v>
      </c>
      <c r="S169">
        <f t="shared" si="54"/>
        <v>4.401226067024</v>
      </c>
      <c r="T169">
        <f t="shared" si="55"/>
        <v>1.317960659935502</v>
      </c>
      <c r="U169">
        <f t="shared" si="63"/>
        <v>2.6037904011477764E-2</v>
      </c>
      <c r="W169">
        <v>89.041520000000006</v>
      </c>
      <c r="X169">
        <v>0.23723586314786982</v>
      </c>
      <c r="Y169">
        <f t="shared" si="47"/>
        <v>21.123841853198314</v>
      </c>
      <c r="Z169">
        <f t="shared" si="56"/>
        <v>4.0671394565857222</v>
      </c>
      <c r="AA169">
        <f t="shared" si="57"/>
        <v>0.98387404949722423</v>
      </c>
      <c r="AB169">
        <f t="shared" si="64"/>
        <v>0.22071099974336761</v>
      </c>
      <c r="AE169">
        <v>79.193889999999996</v>
      </c>
      <c r="AF169">
        <v>0.34891645362609752</v>
      </c>
      <c r="AG169">
        <f t="shared" si="48"/>
        <v>27.632051247655266</v>
      </c>
      <c r="AH169">
        <f t="shared" si="58"/>
        <v>1.9034773512985659</v>
      </c>
      <c r="AI169">
        <f t="shared" si="59"/>
        <v>1.1797880557899321</v>
      </c>
      <c r="AJ169">
        <f t="shared" si="65"/>
        <v>8.5824347266361123E-2</v>
      </c>
      <c r="AL169">
        <f t="shared" si="49"/>
        <v>79.995493613308113</v>
      </c>
      <c r="AM169">
        <f t="shared" si="60"/>
        <v>3.0832654070884979</v>
      </c>
    </row>
    <row r="170" spans="1:39" x14ac:dyDescent="0.35">
      <c r="A170" s="2">
        <v>41609</v>
      </c>
      <c r="B170">
        <v>68.025999999999996</v>
      </c>
      <c r="C170">
        <v>0.21677398189636482</v>
      </c>
      <c r="D170">
        <f t="shared" si="44"/>
        <v>14.746266892482112</v>
      </c>
      <c r="E170">
        <f t="shared" si="50"/>
        <v>1.8542974170638882</v>
      </c>
      <c r="F170">
        <f t="shared" si="51"/>
        <v>1.7362502503690758</v>
      </c>
      <c r="G170">
        <f t="shared" si="61"/>
        <v>0.54441455934872707</v>
      </c>
      <c r="I170">
        <v>84.264499999999998</v>
      </c>
      <c r="J170">
        <v>0.1848924582578596</v>
      </c>
      <c r="K170">
        <f t="shared" si="45"/>
        <v>15.57987054886941</v>
      </c>
      <c r="L170">
        <f t="shared" si="52"/>
        <v>-1.9218153993847853</v>
      </c>
      <c r="M170">
        <f t="shared" si="53"/>
        <v>2.0398625660795977</v>
      </c>
      <c r="N170">
        <f t="shared" si="62"/>
        <v>0.20046412607475084</v>
      </c>
      <c r="P170">
        <v>75.387309999999999</v>
      </c>
      <c r="Q170">
        <v>1.2181243071808238E-2</v>
      </c>
      <c r="R170">
        <f t="shared" si="46"/>
        <v>0.91831114763975985</v>
      </c>
      <c r="S170">
        <f t="shared" si="54"/>
        <v>4.7533511777495319</v>
      </c>
      <c r="T170">
        <f t="shared" si="55"/>
        <v>4.6353040110547195</v>
      </c>
      <c r="U170">
        <f t="shared" si="63"/>
        <v>3.3173433511192174</v>
      </c>
      <c r="W170">
        <v>88.999279999999999</v>
      </c>
      <c r="X170">
        <v>0.23723586314786982</v>
      </c>
      <c r="Y170">
        <f t="shared" si="47"/>
        <v>21.113821010338945</v>
      </c>
      <c r="Z170">
        <f t="shared" si="56"/>
        <v>-4.743854327734498E-2</v>
      </c>
      <c r="AA170">
        <f t="shared" si="57"/>
        <v>0.16548570997215739</v>
      </c>
      <c r="AB170">
        <f t="shared" si="64"/>
        <v>0.81838833952506684</v>
      </c>
      <c r="AE170">
        <v>79.47936</v>
      </c>
      <c r="AF170">
        <v>0.34891645362609752</v>
      </c>
      <c r="AG170">
        <f t="shared" si="48"/>
        <v>27.731656427671911</v>
      </c>
      <c r="AH170">
        <f t="shared" si="58"/>
        <v>0.36046972815706457</v>
      </c>
      <c r="AI170">
        <f t="shared" si="59"/>
        <v>0.24242256146225216</v>
      </c>
      <c r="AJ170">
        <f t="shared" si="65"/>
        <v>0.9373654943276799</v>
      </c>
      <c r="AL170">
        <f t="shared" si="49"/>
        <v>80.08992602700215</v>
      </c>
      <c r="AM170">
        <f t="shared" si="60"/>
        <v>0.11804716669481241</v>
      </c>
    </row>
    <row r="171" spans="1:39" x14ac:dyDescent="0.35">
      <c r="A171" s="2">
        <v>41640</v>
      </c>
      <c r="B171">
        <v>72.712819999999994</v>
      </c>
      <c r="C171">
        <v>0.21656518948479164</v>
      </c>
      <c r="D171">
        <f t="shared" si="44"/>
        <v>15.747065641273545</v>
      </c>
      <c r="E171">
        <f t="shared" si="50"/>
        <v>6.8897480375150533</v>
      </c>
      <c r="F171">
        <f t="shared" si="51"/>
        <v>3.2420973154681842</v>
      </c>
      <c r="G171">
        <f t="shared" si="61"/>
        <v>1.5058470650991085</v>
      </c>
      <c r="I171">
        <v>86.388149999999996</v>
      </c>
      <c r="J171">
        <v>0.18110749216389996</v>
      </c>
      <c r="K171">
        <f t="shared" si="45"/>
        <v>15.645541199178814</v>
      </c>
      <c r="L171">
        <f t="shared" si="52"/>
        <v>2.5202190720884809</v>
      </c>
      <c r="M171">
        <f t="shared" si="53"/>
        <v>1.1274316499583881</v>
      </c>
      <c r="N171">
        <f t="shared" si="62"/>
        <v>0.91243091612120963</v>
      </c>
      <c r="P171">
        <v>77.380009999999999</v>
      </c>
      <c r="Q171">
        <v>1.2177632321605947E-2</v>
      </c>
      <c r="R171">
        <f t="shared" si="46"/>
        <v>0.94230531082219138</v>
      </c>
      <c r="S171">
        <f t="shared" si="54"/>
        <v>2.6432830671369034</v>
      </c>
      <c r="T171">
        <f t="shared" si="55"/>
        <v>1.0043676549099656</v>
      </c>
      <c r="U171">
        <f t="shared" si="63"/>
        <v>3.6309363561447539</v>
      </c>
      <c r="W171">
        <v>91.55453</v>
      </c>
      <c r="X171">
        <v>0.23800731023005073</v>
      </c>
      <c r="Y171">
        <f t="shared" si="47"/>
        <v>21.790647424676486</v>
      </c>
      <c r="Z171">
        <f t="shared" si="56"/>
        <v>2.8710906425310379</v>
      </c>
      <c r="AA171">
        <f t="shared" si="57"/>
        <v>0.77656007951583117</v>
      </c>
      <c r="AB171">
        <f t="shared" si="64"/>
        <v>0.61107436954367378</v>
      </c>
      <c r="AE171">
        <v>82.028660000000002</v>
      </c>
      <c r="AF171">
        <v>0.35214237579965174</v>
      </c>
      <c r="AG171">
        <f t="shared" si="48"/>
        <v>28.885767216061861</v>
      </c>
      <c r="AH171">
        <f t="shared" si="58"/>
        <v>3.2074994061351392</v>
      </c>
      <c r="AI171">
        <f t="shared" si="59"/>
        <v>0.44015131591172985</v>
      </c>
      <c r="AJ171">
        <f t="shared" si="65"/>
        <v>0.19772875444947768</v>
      </c>
      <c r="AL171">
        <f t="shared" si="49"/>
        <v>83.011326792012895</v>
      </c>
      <c r="AM171">
        <f t="shared" si="60"/>
        <v>3.647650722046869</v>
      </c>
    </row>
    <row r="172" spans="1:39" x14ac:dyDescent="0.35">
      <c r="A172" s="2">
        <v>41671</v>
      </c>
      <c r="B172">
        <v>76.980959999999996</v>
      </c>
      <c r="C172">
        <v>0.21656518948479164</v>
      </c>
      <c r="D172">
        <f t="shared" si="44"/>
        <v>16.671396189121165</v>
      </c>
      <c r="E172">
        <f t="shared" si="50"/>
        <v>5.8698589877273388</v>
      </c>
      <c r="F172">
        <f t="shared" si="51"/>
        <v>4.4251405143613587</v>
      </c>
      <c r="G172">
        <f t="shared" si="61"/>
        <v>1.1830431988931744</v>
      </c>
      <c r="I172">
        <v>86.989189999999994</v>
      </c>
      <c r="J172">
        <v>0.18110749216389996</v>
      </c>
      <c r="K172">
        <f t="shared" si="45"/>
        <v>15.754394046269004</v>
      </c>
      <c r="L172">
        <f t="shared" si="52"/>
        <v>0.69574357131156894</v>
      </c>
      <c r="M172">
        <f t="shared" si="53"/>
        <v>0.7489749020544112</v>
      </c>
      <c r="N172">
        <f t="shared" si="62"/>
        <v>0.37845674790397688</v>
      </c>
      <c r="P172">
        <v>76.855009999999993</v>
      </c>
      <c r="Q172">
        <v>1.2177632321605947E-2</v>
      </c>
      <c r="R172">
        <f t="shared" si="46"/>
        <v>0.93591205385334819</v>
      </c>
      <c r="S172">
        <f t="shared" si="54"/>
        <v>-0.67846980117992617</v>
      </c>
      <c r="T172">
        <f t="shared" si="55"/>
        <v>2.1231882745459063</v>
      </c>
      <c r="U172">
        <f t="shared" si="63"/>
        <v>1.1188206196359407</v>
      </c>
      <c r="W172">
        <v>91.183459999999997</v>
      </c>
      <c r="X172">
        <v>0.23800731023005073</v>
      </c>
      <c r="Y172">
        <f t="shared" si="47"/>
        <v>21.702330052069421</v>
      </c>
      <c r="Z172">
        <f t="shared" si="56"/>
        <v>-0.40529944285662145</v>
      </c>
      <c r="AA172">
        <f t="shared" si="57"/>
        <v>1.8500179162226016</v>
      </c>
      <c r="AB172">
        <f t="shared" si="64"/>
        <v>1.0734578367067704</v>
      </c>
      <c r="AE172">
        <v>82.769289999999998</v>
      </c>
      <c r="AF172">
        <v>0.35214237579965174</v>
      </c>
      <c r="AG172">
        <f t="shared" si="48"/>
        <v>29.146574423850357</v>
      </c>
      <c r="AH172">
        <f t="shared" si="58"/>
        <v>0.9028917453972829</v>
      </c>
      <c r="AI172">
        <f t="shared" si="59"/>
        <v>0.54182672796869724</v>
      </c>
      <c r="AJ172">
        <f t="shared" si="65"/>
        <v>0.1016754120569674</v>
      </c>
      <c r="AL172">
        <f t="shared" si="49"/>
        <v>84.210606765163305</v>
      </c>
      <c r="AM172">
        <f t="shared" si="60"/>
        <v>1.4447184733659801</v>
      </c>
    </row>
    <row r="173" spans="1:39" x14ac:dyDescent="0.35">
      <c r="A173" s="2">
        <v>41699</v>
      </c>
      <c r="B173">
        <v>78.213970000000003</v>
      </c>
      <c r="C173">
        <v>0.21656518948479164</v>
      </c>
      <c r="D173">
        <f t="shared" si="44"/>
        <v>16.938423233407811</v>
      </c>
      <c r="E173">
        <f t="shared" si="50"/>
        <v>1.6017077469545837</v>
      </c>
      <c r="F173">
        <f t="shared" si="51"/>
        <v>0.59767927216052286</v>
      </c>
      <c r="G173">
        <f t="shared" si="61"/>
        <v>3.8274612422008358</v>
      </c>
      <c r="I173">
        <v>86.207080000000005</v>
      </c>
      <c r="J173">
        <v>0.18110749216389996</v>
      </c>
      <c r="K173">
        <f t="shared" si="45"/>
        <v>15.612748065572697</v>
      </c>
      <c r="L173">
        <f t="shared" si="52"/>
        <v>-0.89908872585201527</v>
      </c>
      <c r="M173">
        <f t="shared" si="53"/>
        <v>1.9031172006460761</v>
      </c>
      <c r="N173">
        <f t="shared" si="62"/>
        <v>1.154142298591665</v>
      </c>
      <c r="P173">
        <v>73.845749999999995</v>
      </c>
      <c r="Q173">
        <v>1.2177632321605947E-2</v>
      </c>
      <c r="R173">
        <f t="shared" si="46"/>
        <v>0.89926639201323233</v>
      </c>
      <c r="S173">
        <f t="shared" si="54"/>
        <v>-3.9155027108837781</v>
      </c>
      <c r="T173">
        <f t="shared" si="55"/>
        <v>4.9195311856778385</v>
      </c>
      <c r="U173">
        <f t="shared" si="63"/>
        <v>2.7963429111319322</v>
      </c>
      <c r="W173">
        <v>92.452029999999993</v>
      </c>
      <c r="X173">
        <v>0.23800731023005073</v>
      </c>
      <c r="Y173">
        <f t="shared" si="47"/>
        <v>22.004258985607954</v>
      </c>
      <c r="Z173">
        <f t="shared" si="56"/>
        <v>1.3912281898493362</v>
      </c>
      <c r="AA173">
        <f t="shared" si="57"/>
        <v>0.38719971505527528</v>
      </c>
      <c r="AB173">
        <f t="shared" si="64"/>
        <v>1.4628182011673263</v>
      </c>
      <c r="AE173">
        <v>84.060910000000007</v>
      </c>
      <c r="AF173">
        <v>0.35214237579965174</v>
      </c>
      <c r="AG173">
        <f t="shared" si="48"/>
        <v>29.601408559280706</v>
      </c>
      <c r="AH173">
        <f t="shared" si="58"/>
        <v>1.5605063182250412</v>
      </c>
      <c r="AI173">
        <f t="shared" si="59"/>
        <v>0.55647784343098028</v>
      </c>
      <c r="AJ173">
        <f t="shared" si="65"/>
        <v>1.4651115462283038E-2</v>
      </c>
      <c r="AL173">
        <f t="shared" si="49"/>
        <v>85.056105235882399</v>
      </c>
      <c r="AM173">
        <f t="shared" si="60"/>
        <v>1.0040284747940609</v>
      </c>
    </row>
    <row r="174" spans="1:39" x14ac:dyDescent="0.35">
      <c r="A174" s="2">
        <v>41730</v>
      </c>
      <c r="B174">
        <v>77.808840000000004</v>
      </c>
      <c r="C174">
        <v>0.21656518948479164</v>
      </c>
      <c r="D174">
        <f t="shared" si="44"/>
        <v>16.850686178191836</v>
      </c>
      <c r="E174">
        <f t="shared" si="50"/>
        <v>-0.5179765200513442</v>
      </c>
      <c r="F174">
        <f t="shared" si="51"/>
        <v>0.97929575774975408</v>
      </c>
      <c r="G174">
        <f t="shared" si="61"/>
        <v>0.38161648558923122</v>
      </c>
      <c r="I174">
        <v>86.381320000000002</v>
      </c>
      <c r="J174">
        <v>0.18110749216389996</v>
      </c>
      <c r="K174">
        <f t="shared" si="45"/>
        <v>15.644304235007334</v>
      </c>
      <c r="L174">
        <f t="shared" si="52"/>
        <v>0.20211796989295649</v>
      </c>
      <c r="M174">
        <f t="shared" si="53"/>
        <v>0.25920126780545338</v>
      </c>
      <c r="N174">
        <f t="shared" si="62"/>
        <v>1.6439159328406228</v>
      </c>
      <c r="P174">
        <v>73.614469999999997</v>
      </c>
      <c r="Q174">
        <v>1.2177632321605947E-2</v>
      </c>
      <c r="R174">
        <f t="shared" si="46"/>
        <v>0.89644994920989129</v>
      </c>
      <c r="S174">
        <f t="shared" si="54"/>
        <v>-0.31319337944295533</v>
      </c>
      <c r="T174">
        <f t="shared" si="55"/>
        <v>0.77451261714136521</v>
      </c>
      <c r="U174">
        <f t="shared" si="63"/>
        <v>4.1450185685364733</v>
      </c>
      <c r="W174">
        <v>93.450609999999998</v>
      </c>
      <c r="X174">
        <v>0.23800731023005073</v>
      </c>
      <c r="Y174">
        <f t="shared" si="47"/>
        <v>22.241928325457479</v>
      </c>
      <c r="Z174">
        <f t="shared" si="56"/>
        <v>1.0801060831222564</v>
      </c>
      <c r="AA174">
        <f t="shared" si="57"/>
        <v>0.61878684542384654</v>
      </c>
      <c r="AB174">
        <f t="shared" si="64"/>
        <v>0.23158713036857126</v>
      </c>
      <c r="AE174">
        <v>84.667789999999997</v>
      </c>
      <c r="AF174">
        <v>0.35214237579965174</v>
      </c>
      <c r="AG174">
        <f t="shared" si="48"/>
        <v>29.815116724305994</v>
      </c>
      <c r="AH174">
        <f t="shared" si="58"/>
        <v>0.72195268883001873</v>
      </c>
      <c r="AI174">
        <f t="shared" si="59"/>
        <v>0.26063345113160885</v>
      </c>
      <c r="AJ174">
        <f t="shared" si="65"/>
        <v>0.29584439229937143</v>
      </c>
      <c r="AL174">
        <f t="shared" si="49"/>
        <v>85.448485412172531</v>
      </c>
      <c r="AM174">
        <f t="shared" si="60"/>
        <v>0.46131923769840988</v>
      </c>
    </row>
    <row r="175" spans="1:39" x14ac:dyDescent="0.35">
      <c r="A175" s="2">
        <v>41760</v>
      </c>
      <c r="B175">
        <v>80.007949999999994</v>
      </c>
      <c r="C175">
        <v>0.21656518948479164</v>
      </c>
      <c r="D175">
        <f t="shared" si="44"/>
        <v>17.326936852039733</v>
      </c>
      <c r="E175">
        <f t="shared" si="50"/>
        <v>2.8262984000275493</v>
      </c>
      <c r="F175">
        <f t="shared" si="51"/>
        <v>0.64036502443982624</v>
      </c>
      <c r="G175">
        <f t="shared" si="61"/>
        <v>0.33893073330992785</v>
      </c>
      <c r="I175">
        <v>88.307180000000002</v>
      </c>
      <c r="J175">
        <v>0.18110749216389996</v>
      </c>
      <c r="K175">
        <f t="shared" si="45"/>
        <v>15.993091909866104</v>
      </c>
      <c r="L175">
        <f t="shared" si="52"/>
        <v>2.2294866529013468</v>
      </c>
      <c r="M175">
        <f t="shared" si="53"/>
        <v>1.2371767715660287</v>
      </c>
      <c r="N175">
        <f t="shared" si="62"/>
        <v>0.97797550376057529</v>
      </c>
      <c r="P175">
        <v>73.340100000000007</v>
      </c>
      <c r="Q175">
        <v>1.2177632321605947E-2</v>
      </c>
      <c r="R175">
        <f t="shared" si="46"/>
        <v>0.89310877222981244</v>
      </c>
      <c r="S175">
        <f t="shared" si="54"/>
        <v>-0.37271204968261085</v>
      </c>
      <c r="T175">
        <f t="shared" si="55"/>
        <v>3.8393754741499864</v>
      </c>
      <c r="U175">
        <f t="shared" si="63"/>
        <v>3.0648628570086212</v>
      </c>
      <c r="W175">
        <v>99.850790000000003</v>
      </c>
      <c r="X175">
        <v>0.23800731023005073</v>
      </c>
      <c r="Y175">
        <f t="shared" si="47"/>
        <v>23.765217952245649</v>
      </c>
      <c r="Z175">
        <f t="shared" si="56"/>
        <v>6.8487300403924589</v>
      </c>
      <c r="AA175">
        <f t="shared" si="57"/>
        <v>3.3820666159250834</v>
      </c>
      <c r="AB175">
        <f t="shared" si="64"/>
        <v>2.7632797705012369</v>
      </c>
      <c r="AE175">
        <v>86.420559999999995</v>
      </c>
      <c r="AF175">
        <v>0.35214237579965174</v>
      </c>
      <c r="AG175">
        <f t="shared" si="48"/>
        <v>30.432341316336348</v>
      </c>
      <c r="AH175">
        <f t="shared" si="58"/>
        <v>2.0701733209287809</v>
      </c>
      <c r="AI175">
        <f t="shared" si="59"/>
        <v>1.3964901035385946</v>
      </c>
      <c r="AJ175">
        <f t="shared" si="65"/>
        <v>1.1358566524069857</v>
      </c>
      <c r="AL175">
        <f t="shared" si="49"/>
        <v>88.410696802717652</v>
      </c>
      <c r="AM175">
        <f t="shared" si="60"/>
        <v>3.4666634244673755</v>
      </c>
    </row>
    <row r="176" spans="1:39" x14ac:dyDescent="0.35">
      <c r="A176" s="2">
        <v>41791</v>
      </c>
      <c r="B176">
        <v>82.6</v>
      </c>
      <c r="C176">
        <v>0.21656518948479164</v>
      </c>
      <c r="D176">
        <f t="shared" si="44"/>
        <v>17.88828465144379</v>
      </c>
      <c r="E176">
        <f t="shared" si="50"/>
        <v>3.239740550782777</v>
      </c>
      <c r="F176">
        <f t="shared" si="51"/>
        <v>0.53115721878025379</v>
      </c>
      <c r="G176">
        <f t="shared" si="61"/>
        <v>0.10920780565957244</v>
      </c>
      <c r="I176">
        <v>90.819010000000006</v>
      </c>
      <c r="J176">
        <v>0.18110749216389996</v>
      </c>
      <c r="K176">
        <f t="shared" si="45"/>
        <v>16.448003141908153</v>
      </c>
      <c r="L176">
        <f t="shared" si="52"/>
        <v>2.8444232960445515</v>
      </c>
      <c r="M176">
        <f t="shared" si="53"/>
        <v>0.13583996404202825</v>
      </c>
      <c r="N176">
        <f t="shared" si="62"/>
        <v>1.1013368075240004</v>
      </c>
      <c r="P176">
        <v>73.37527</v>
      </c>
      <c r="Q176">
        <v>1.2177632321605947E-2</v>
      </c>
      <c r="R176">
        <f t="shared" si="46"/>
        <v>0.89353705955856322</v>
      </c>
      <c r="S176">
        <f t="shared" si="54"/>
        <v>4.7954666001270851E-2</v>
      </c>
      <c r="T176">
        <f t="shared" si="55"/>
        <v>2.6606286660012524</v>
      </c>
      <c r="U176">
        <f t="shared" si="63"/>
        <v>1.178746808148734</v>
      </c>
      <c r="W176">
        <v>104.39109999999999</v>
      </c>
      <c r="X176">
        <v>0.23800731023005073</v>
      </c>
      <c r="Y176">
        <f t="shared" si="47"/>
        <v>24.845844922956246</v>
      </c>
      <c r="Z176">
        <f t="shared" si="56"/>
        <v>4.5470947200317413</v>
      </c>
      <c r="AA176">
        <f t="shared" si="57"/>
        <v>1.8385113880292181</v>
      </c>
      <c r="AB176">
        <f t="shared" si="64"/>
        <v>1.5435552278958653</v>
      </c>
      <c r="AE176">
        <v>87.265000000000001</v>
      </c>
      <c r="AF176">
        <v>0.35214237579965174</v>
      </c>
      <c r="AG176">
        <f t="shared" si="48"/>
        <v>30.729704424156608</v>
      </c>
      <c r="AH176">
        <f t="shared" si="58"/>
        <v>0.9771285906964744</v>
      </c>
      <c r="AI176">
        <f t="shared" si="59"/>
        <v>1.7314547413060488</v>
      </c>
      <c r="AJ176">
        <f t="shared" si="65"/>
        <v>0.33496463776745422</v>
      </c>
      <c r="AL176">
        <f t="shared" si="49"/>
        <v>90.805374200023351</v>
      </c>
      <c r="AM176">
        <f t="shared" si="60"/>
        <v>2.7085833320025232</v>
      </c>
    </row>
    <row r="177" spans="1:39" x14ac:dyDescent="0.35">
      <c r="A177" s="2">
        <v>41821</v>
      </c>
      <c r="B177">
        <v>82.400819999999996</v>
      </c>
      <c r="C177">
        <v>0.21656518948479164</v>
      </c>
      <c r="D177">
        <f t="shared" si="44"/>
        <v>17.845149197002208</v>
      </c>
      <c r="E177">
        <f t="shared" si="50"/>
        <v>-0.24113801452784189</v>
      </c>
      <c r="F177">
        <f t="shared" si="51"/>
        <v>1.2048528603625375E-2</v>
      </c>
      <c r="G177">
        <f t="shared" si="61"/>
        <v>0.51910869017662842</v>
      </c>
      <c r="I177">
        <v>89.925929999999994</v>
      </c>
      <c r="J177">
        <v>0.18110749216389996</v>
      </c>
      <c r="K177">
        <f t="shared" si="45"/>
        <v>16.286259662806415</v>
      </c>
      <c r="L177">
        <f t="shared" si="52"/>
        <v>-0.98336240397248753</v>
      </c>
      <c r="M177">
        <f t="shared" si="53"/>
        <v>0.73017586084102026</v>
      </c>
      <c r="N177">
        <f t="shared" si="62"/>
        <v>0.59433589679899201</v>
      </c>
      <c r="P177">
        <v>73.028790000000001</v>
      </c>
      <c r="Q177">
        <v>1.2177632321605947E-2</v>
      </c>
      <c r="R177">
        <f t="shared" si="46"/>
        <v>0.88931775351177322</v>
      </c>
      <c r="S177">
        <f t="shared" si="54"/>
        <v>-0.47220269172433271</v>
      </c>
      <c r="T177">
        <f t="shared" si="55"/>
        <v>0.21901614859286545</v>
      </c>
      <c r="U177">
        <f t="shared" si="63"/>
        <v>2.4416125174083869</v>
      </c>
      <c r="W177">
        <v>104.44840000000001</v>
      </c>
      <c r="X177">
        <v>0.23800731023005073</v>
      </c>
      <c r="Y177">
        <f t="shared" si="47"/>
        <v>24.859482741832434</v>
      </c>
      <c r="Z177">
        <f t="shared" si="56"/>
        <v>5.4889736768748421E-2</v>
      </c>
      <c r="AA177">
        <f t="shared" si="57"/>
        <v>0.30807627990021569</v>
      </c>
      <c r="AB177">
        <f t="shared" si="64"/>
        <v>1.5304351081290024</v>
      </c>
      <c r="AE177">
        <v>87.167180000000002</v>
      </c>
      <c r="AF177">
        <v>0.35214237579965174</v>
      </c>
      <c r="AG177">
        <f t="shared" si="48"/>
        <v>30.695257856955887</v>
      </c>
      <c r="AH177">
        <f t="shared" si="58"/>
        <v>-0.11209534177505365</v>
      </c>
      <c r="AI177">
        <f t="shared" si="59"/>
        <v>0.14109120135641362</v>
      </c>
      <c r="AJ177">
        <f t="shared" si="65"/>
        <v>1.5903635399496352</v>
      </c>
      <c r="AL177">
        <f t="shared" si="49"/>
        <v>90.57546721210872</v>
      </c>
      <c r="AM177">
        <f t="shared" si="60"/>
        <v>-0.25318654313146727</v>
      </c>
    </row>
    <row r="178" spans="1:39" x14ac:dyDescent="0.35">
      <c r="A178" s="2">
        <v>41852</v>
      </c>
      <c r="B178">
        <v>81.342590000000001</v>
      </c>
      <c r="C178">
        <v>0.21656518948479164</v>
      </c>
      <c r="D178">
        <f t="shared" si="44"/>
        <v>17.61597341653372</v>
      </c>
      <c r="E178">
        <f t="shared" si="50"/>
        <v>-1.284246928610655</v>
      </c>
      <c r="F178">
        <f t="shared" si="51"/>
        <v>0.74652128540424467</v>
      </c>
      <c r="G178">
        <f t="shared" si="61"/>
        <v>0.7344727568006193</v>
      </c>
      <c r="I178">
        <v>88.396600000000007</v>
      </c>
      <c r="J178">
        <v>0.18110749216389996</v>
      </c>
      <c r="K178">
        <f t="shared" si="45"/>
        <v>16.009286541815399</v>
      </c>
      <c r="L178">
        <f t="shared" si="52"/>
        <v>-1.7006551947808424</v>
      </c>
      <c r="M178">
        <f t="shared" si="53"/>
        <v>0.33011301923405734</v>
      </c>
      <c r="N178">
        <f t="shared" si="62"/>
        <v>0.40006284160696293</v>
      </c>
      <c r="P178">
        <v>75.584299999999999</v>
      </c>
      <c r="Q178">
        <v>1.2177632321605947E-2</v>
      </c>
      <c r="R178">
        <f t="shared" si="46"/>
        <v>0.92043781468596042</v>
      </c>
      <c r="S178">
        <f t="shared" si="54"/>
        <v>3.4993185564213825</v>
      </c>
      <c r="T178">
        <f t="shared" si="55"/>
        <v>5.5300867704362826</v>
      </c>
      <c r="U178">
        <f t="shared" si="63"/>
        <v>5.3110706218434167</v>
      </c>
      <c r="W178">
        <v>101.37430000000001</v>
      </c>
      <c r="X178">
        <v>0.23800731023005073</v>
      </c>
      <c r="Y178">
        <f t="shared" si="47"/>
        <v>24.127824469454232</v>
      </c>
      <c r="Z178">
        <f t="shared" si="56"/>
        <v>-2.9431757690878912</v>
      </c>
      <c r="AA178">
        <f t="shared" si="57"/>
        <v>0.91240755507299154</v>
      </c>
      <c r="AB178">
        <f t="shared" si="64"/>
        <v>0.60433127517277585</v>
      </c>
      <c r="AE178">
        <v>85.370490000000004</v>
      </c>
      <c r="AF178">
        <v>0.35214237579965174</v>
      </c>
      <c r="AG178">
        <f t="shared" si="48"/>
        <v>30.062567171780412</v>
      </c>
      <c r="AH178">
        <f t="shared" si="58"/>
        <v>-2.0612000984774337</v>
      </c>
      <c r="AI178">
        <f t="shared" si="59"/>
        <v>3.0431884462533976E-2</v>
      </c>
      <c r="AJ178">
        <f t="shared" si="65"/>
        <v>0.11065931689387964</v>
      </c>
      <c r="AL178">
        <f t="shared" si="49"/>
        <v>88.736089414269728</v>
      </c>
      <c r="AM178">
        <f t="shared" si="60"/>
        <v>-2.0307682140148997</v>
      </c>
    </row>
    <row r="179" spans="1:39" x14ac:dyDescent="0.35">
      <c r="A179" s="2">
        <v>41883</v>
      </c>
      <c r="B179">
        <v>84.041679999999999</v>
      </c>
      <c r="C179">
        <v>0.21656518948479164</v>
      </c>
      <c r="D179">
        <f t="shared" si="44"/>
        <v>18.200502353820223</v>
      </c>
      <c r="E179">
        <f t="shared" si="50"/>
        <v>3.3181756322241407</v>
      </c>
      <c r="F179">
        <f t="shared" si="51"/>
        <v>1.362951653520228</v>
      </c>
      <c r="G179">
        <f t="shared" si="61"/>
        <v>0.61643036811598328</v>
      </c>
      <c r="I179">
        <v>90.470429999999993</v>
      </c>
      <c r="J179">
        <v>0.18110749216389996</v>
      </c>
      <c r="K179">
        <f t="shared" si="45"/>
        <v>16.384872692289658</v>
      </c>
      <c r="L179">
        <f t="shared" si="52"/>
        <v>2.3460517712219575</v>
      </c>
      <c r="M179">
        <f t="shared" si="53"/>
        <v>0.39082779251804478</v>
      </c>
      <c r="N179">
        <f t="shared" si="62"/>
        <v>6.0714773283987444E-2</v>
      </c>
      <c r="P179">
        <v>75.451509999999999</v>
      </c>
      <c r="Q179">
        <v>1.2177632321605947E-2</v>
      </c>
      <c r="R179">
        <f t="shared" si="46"/>
        <v>0.91882074688997439</v>
      </c>
      <c r="S179">
        <f t="shared" si="54"/>
        <v>-0.17568463291980363</v>
      </c>
      <c r="T179">
        <f t="shared" si="55"/>
        <v>2.1309086116237164</v>
      </c>
      <c r="U179">
        <f t="shared" si="63"/>
        <v>3.3991781588125662</v>
      </c>
      <c r="W179">
        <v>102.72280000000001</v>
      </c>
      <c r="X179">
        <v>0.23800731023005073</v>
      </c>
      <c r="Y179">
        <f t="shared" si="47"/>
        <v>24.448777327299457</v>
      </c>
      <c r="Z179">
        <f t="shared" si="56"/>
        <v>1.3302188029905126</v>
      </c>
      <c r="AA179">
        <f t="shared" si="57"/>
        <v>0.62500517571340009</v>
      </c>
      <c r="AB179">
        <f t="shared" si="64"/>
        <v>0.28740237935959145</v>
      </c>
      <c r="AE179">
        <v>86.664109999999994</v>
      </c>
      <c r="AF179">
        <v>0.35214237579965174</v>
      </c>
      <c r="AG179">
        <f t="shared" si="48"/>
        <v>30.518105591962353</v>
      </c>
      <c r="AH179">
        <f t="shared" si="58"/>
        <v>1.5153011304023023</v>
      </c>
      <c r="AI179">
        <f t="shared" si="59"/>
        <v>0.43992284830161044</v>
      </c>
      <c r="AJ179">
        <f t="shared" si="65"/>
        <v>0.40949096383907646</v>
      </c>
      <c r="AL179">
        <f t="shared" si="49"/>
        <v>90.471078712261672</v>
      </c>
      <c r="AM179">
        <f t="shared" si="60"/>
        <v>1.9552239787039127</v>
      </c>
    </row>
    <row r="180" spans="1:39" x14ac:dyDescent="0.35">
      <c r="A180" s="2">
        <v>41913</v>
      </c>
      <c r="B180">
        <v>80.460509999999999</v>
      </c>
      <c r="C180">
        <v>0.21656518948479164</v>
      </c>
      <c r="D180">
        <f t="shared" si="44"/>
        <v>17.424945594192973</v>
      </c>
      <c r="E180">
        <f t="shared" si="50"/>
        <v>-4.261183260496459</v>
      </c>
      <c r="F180">
        <f t="shared" si="51"/>
        <v>0.74137773220834902</v>
      </c>
      <c r="G180">
        <f t="shared" si="61"/>
        <v>0.62157392131187894</v>
      </c>
      <c r="I180">
        <v>86.865729999999999</v>
      </c>
      <c r="J180">
        <v>0.18110749216389996</v>
      </c>
      <c r="K180">
        <f t="shared" si="45"/>
        <v>15.732034515286449</v>
      </c>
      <c r="L180">
        <f t="shared" si="52"/>
        <v>-3.9843957854516554</v>
      </c>
      <c r="M180">
        <f t="shared" si="53"/>
        <v>1.0181652072531526</v>
      </c>
      <c r="N180">
        <f t="shared" si="62"/>
        <v>0.62733741473510785</v>
      </c>
      <c r="P180">
        <v>76.432029999999997</v>
      </c>
      <c r="Q180">
        <v>1.2177632321605947E-2</v>
      </c>
      <c r="R180">
        <f t="shared" si="46"/>
        <v>0.93076115893395539</v>
      </c>
      <c r="S180">
        <f t="shared" si="54"/>
        <v>1.2995366162983357</v>
      </c>
      <c r="T180">
        <f t="shared" si="55"/>
        <v>6.3020976090031438</v>
      </c>
      <c r="U180">
        <f t="shared" si="63"/>
        <v>4.1711889973794278</v>
      </c>
      <c r="W180">
        <v>95.087230000000005</v>
      </c>
      <c r="X180">
        <v>0.23800731023005073</v>
      </c>
      <c r="Y180">
        <f t="shared" si="47"/>
        <v>22.631455849526187</v>
      </c>
      <c r="Z180">
        <f t="shared" si="56"/>
        <v>-7.4331793915274886</v>
      </c>
      <c r="AA180">
        <f t="shared" si="57"/>
        <v>2.4306183988226806</v>
      </c>
      <c r="AB180">
        <f t="shared" si="64"/>
        <v>1.8056132231092805</v>
      </c>
      <c r="AE180">
        <v>82.994870000000006</v>
      </c>
      <c r="AF180">
        <v>0.35214237579965174</v>
      </c>
      <c r="AG180">
        <f t="shared" si="48"/>
        <v>29.226010700983245</v>
      </c>
      <c r="AH180">
        <f t="shared" si="58"/>
        <v>-4.2338633605075842</v>
      </c>
      <c r="AI180">
        <f t="shared" si="59"/>
        <v>0.76869763219722387</v>
      </c>
      <c r="AJ180">
        <f t="shared" si="65"/>
        <v>0.32877478389561343</v>
      </c>
      <c r="AL180">
        <f t="shared" si="49"/>
        <v>85.94520781892281</v>
      </c>
      <c r="AM180">
        <f t="shared" si="60"/>
        <v>-5.002560992704808</v>
      </c>
    </row>
    <row r="181" spans="1:39" x14ac:dyDescent="0.35">
      <c r="A181" s="2">
        <v>41944</v>
      </c>
      <c r="B181">
        <v>82.556640000000002</v>
      </c>
      <c r="C181">
        <v>0.21656518948479164</v>
      </c>
      <c r="D181">
        <f t="shared" si="44"/>
        <v>17.878894384827728</v>
      </c>
      <c r="E181">
        <f t="shared" si="50"/>
        <v>2.6051661864932241</v>
      </c>
      <c r="F181">
        <f t="shared" si="51"/>
        <v>1.8979600610231184</v>
      </c>
      <c r="G181">
        <f t="shared" si="61"/>
        <v>1.1565823288147694</v>
      </c>
      <c r="I181">
        <v>90.653369999999995</v>
      </c>
      <c r="J181">
        <v>0.18110749216389996</v>
      </c>
      <c r="K181">
        <f t="shared" si="45"/>
        <v>16.418004496906121</v>
      </c>
      <c r="L181">
        <f t="shared" si="52"/>
        <v>4.3603386513876075</v>
      </c>
      <c r="M181">
        <f t="shared" si="53"/>
        <v>0.14278759612873504</v>
      </c>
      <c r="N181">
        <f t="shared" si="62"/>
        <v>0.87537761112441759</v>
      </c>
      <c r="P181">
        <v>80.522940000000006</v>
      </c>
      <c r="Q181">
        <v>1.2177632321605947E-2</v>
      </c>
      <c r="R181">
        <f t="shared" si="46"/>
        <v>0.98057875677473649</v>
      </c>
      <c r="S181">
        <f t="shared" si="54"/>
        <v>5.3523503170071596</v>
      </c>
      <c r="T181">
        <f t="shared" si="55"/>
        <v>0.84922406949081708</v>
      </c>
      <c r="U181">
        <f t="shared" si="63"/>
        <v>5.4528735395123267</v>
      </c>
      <c r="W181">
        <v>97.482590000000002</v>
      </c>
      <c r="X181">
        <v>0.23800731023005073</v>
      </c>
      <c r="Y181">
        <f t="shared" si="47"/>
        <v>23.201569040158841</v>
      </c>
      <c r="Z181">
        <f t="shared" si="56"/>
        <v>2.5191184978256231</v>
      </c>
      <c r="AA181">
        <f t="shared" si="57"/>
        <v>1.9840077496907194</v>
      </c>
      <c r="AB181">
        <f t="shared" si="64"/>
        <v>0.44661064913196125</v>
      </c>
      <c r="AE181">
        <v>88.987819999999999</v>
      </c>
      <c r="AF181">
        <v>0.35214237579965174</v>
      </c>
      <c r="AG181">
        <f t="shared" si="48"/>
        <v>31.336382352031766</v>
      </c>
      <c r="AH181">
        <f t="shared" si="58"/>
        <v>7.2208679885877203</v>
      </c>
      <c r="AI181">
        <f t="shared" si="59"/>
        <v>2.7177417410713778</v>
      </c>
      <c r="AJ181">
        <f t="shared" si="65"/>
        <v>1.9490441088741539</v>
      </c>
      <c r="AL181">
        <f t="shared" si="49"/>
        <v>89.815429030699192</v>
      </c>
      <c r="AM181">
        <f t="shared" si="60"/>
        <v>4.5031262475163425</v>
      </c>
    </row>
    <row r="182" spans="1:39" x14ac:dyDescent="0.35">
      <c r="A182" s="2">
        <v>41974</v>
      </c>
      <c r="B182">
        <v>82.60812</v>
      </c>
      <c r="C182">
        <v>0.21656518948479164</v>
      </c>
      <c r="D182">
        <f t="shared" si="44"/>
        <v>17.890043160782405</v>
      </c>
      <c r="E182">
        <f t="shared" si="50"/>
        <v>6.2357188955353138E-2</v>
      </c>
      <c r="F182">
        <f t="shared" si="51"/>
        <v>0.55324501944247206</v>
      </c>
      <c r="G182">
        <f t="shared" si="61"/>
        <v>1.3447150415806464</v>
      </c>
      <c r="I182">
        <v>91.785589999999999</v>
      </c>
      <c r="J182">
        <v>0.18110749216389996</v>
      </c>
      <c r="K182">
        <f t="shared" si="45"/>
        <v>16.623058021683935</v>
      </c>
      <c r="L182">
        <f t="shared" si="52"/>
        <v>1.2489552236171653</v>
      </c>
      <c r="M182">
        <f t="shared" si="53"/>
        <v>1.7398430541042842</v>
      </c>
      <c r="N182">
        <f t="shared" si="62"/>
        <v>1.5970554579755492</v>
      </c>
      <c r="P182">
        <v>84.398409999999998</v>
      </c>
      <c r="Q182">
        <v>1.2177632321605947E-2</v>
      </c>
      <c r="R182">
        <f t="shared" si="46"/>
        <v>1.0277728055081505</v>
      </c>
      <c r="S182">
        <f t="shared" si="54"/>
        <v>4.8128769267490545</v>
      </c>
      <c r="T182">
        <f t="shared" si="55"/>
        <v>5.3037647572361735</v>
      </c>
      <c r="U182">
        <f t="shared" si="63"/>
        <v>4.4545406877453564</v>
      </c>
      <c r="W182">
        <v>91.933139999999995</v>
      </c>
      <c r="X182">
        <v>0.23800731023005073</v>
      </c>
      <c r="Y182">
        <f t="shared" si="47"/>
        <v>21.880759372402686</v>
      </c>
      <c r="Z182">
        <f t="shared" si="56"/>
        <v>-5.6927601123441747</v>
      </c>
      <c r="AA182">
        <f t="shared" si="57"/>
        <v>5.2018722818570557</v>
      </c>
      <c r="AB182">
        <f t="shared" si="64"/>
        <v>3.2178645321663364</v>
      </c>
      <c r="AE182">
        <v>90.738590000000002</v>
      </c>
      <c r="AF182">
        <v>0.35214237579965174</v>
      </c>
      <c r="AG182">
        <f t="shared" si="48"/>
        <v>31.952902659310521</v>
      </c>
      <c r="AH182">
        <f t="shared" si="58"/>
        <v>1.9674265534316948</v>
      </c>
      <c r="AI182">
        <f t="shared" si="59"/>
        <v>2.4583143839188137</v>
      </c>
      <c r="AJ182">
        <f t="shared" si="65"/>
        <v>0.25942735715256404</v>
      </c>
      <c r="AL182">
        <f t="shared" si="49"/>
        <v>89.374536019687696</v>
      </c>
      <c r="AM182">
        <f t="shared" si="60"/>
        <v>-0.49088783048711893</v>
      </c>
    </row>
    <row r="183" spans="1:39" x14ac:dyDescent="0.35">
      <c r="A183" s="2">
        <v>42005</v>
      </c>
      <c r="B183">
        <v>85.537559999999999</v>
      </c>
      <c r="C183">
        <v>0.2158477929591254</v>
      </c>
      <c r="D183">
        <f t="shared" si="44"/>
        <v>18.463093541108766</v>
      </c>
      <c r="E183">
        <f t="shared" si="50"/>
        <v>3.5461889218638465</v>
      </c>
      <c r="F183">
        <f t="shared" si="51"/>
        <v>0.39366914908181005</v>
      </c>
      <c r="G183">
        <f t="shared" si="61"/>
        <v>0.15957587036066201</v>
      </c>
      <c r="I183">
        <v>94.608890000000002</v>
      </c>
      <c r="J183">
        <v>0.17733467290842772</v>
      </c>
      <c r="K183">
        <f t="shared" si="45"/>
        <v>16.777436562379417</v>
      </c>
      <c r="L183">
        <f t="shared" si="52"/>
        <v>3.0759730367261318</v>
      </c>
      <c r="M183">
        <f t="shared" si="53"/>
        <v>7.6546736055904674E-2</v>
      </c>
      <c r="N183">
        <f t="shared" si="62"/>
        <v>1.6632963180483795</v>
      </c>
      <c r="P183">
        <v>88.606279999999998</v>
      </c>
      <c r="Q183">
        <v>1.2385638533967475E-2</v>
      </c>
      <c r="R183">
        <f t="shared" si="46"/>
        <v>1.0974453559195116</v>
      </c>
      <c r="S183">
        <f t="shared" si="54"/>
        <v>4.9857218874147069</v>
      </c>
      <c r="T183">
        <f t="shared" si="55"/>
        <v>1.8332021146326705</v>
      </c>
      <c r="U183">
        <f t="shared" si="63"/>
        <v>3.470562642603503</v>
      </c>
      <c r="W183">
        <v>94.773480000000006</v>
      </c>
      <c r="X183">
        <v>0.23609412487237993</v>
      </c>
      <c r="Y183">
        <f t="shared" si="47"/>
        <v>22.375461821710005</v>
      </c>
      <c r="Z183">
        <f t="shared" si="56"/>
        <v>3.0895713993887464</v>
      </c>
      <c r="AA183">
        <f t="shared" si="57"/>
        <v>6.2948373393290069E-2</v>
      </c>
      <c r="AB183">
        <f t="shared" si="64"/>
        <v>5.1389239084637657</v>
      </c>
      <c r="AE183">
        <v>93.427629999999994</v>
      </c>
      <c r="AF183">
        <v>0.35833777072609946</v>
      </c>
      <c r="AG183">
        <f t="shared" si="48"/>
        <v>33.478648658422848</v>
      </c>
      <c r="AH183">
        <f t="shared" si="58"/>
        <v>2.9635020777818877</v>
      </c>
      <c r="AI183">
        <f t="shared" si="59"/>
        <v>0.18901769500014876</v>
      </c>
      <c r="AJ183">
        <f t="shared" si="65"/>
        <v>2.269296688918665</v>
      </c>
      <c r="AL183">
        <f t="shared" si="49"/>
        <v>92.192085939540547</v>
      </c>
      <c r="AM183">
        <f t="shared" si="60"/>
        <v>3.1525197727820364</v>
      </c>
    </row>
    <row r="184" spans="1:39" x14ac:dyDescent="0.35">
      <c r="A184" s="2">
        <v>42036</v>
      </c>
      <c r="B184">
        <v>90.554990000000004</v>
      </c>
      <c r="C184">
        <v>0.2158477929591254</v>
      </c>
      <c r="D184">
        <f t="shared" si="44"/>
        <v>19.546094732935671</v>
      </c>
      <c r="E184">
        <f t="shared" si="50"/>
        <v>5.865762362171667</v>
      </c>
      <c r="F184">
        <f t="shared" si="51"/>
        <v>1.5504937964506027</v>
      </c>
      <c r="G184">
        <f t="shared" si="61"/>
        <v>1.1568246473687926</v>
      </c>
      <c r="I184">
        <v>102.379</v>
      </c>
      <c r="J184">
        <v>0.17733467290842772</v>
      </c>
      <c r="K184">
        <f t="shared" si="45"/>
        <v>18.155346477691921</v>
      </c>
      <c r="L184">
        <f t="shared" si="52"/>
        <v>8.2128751325589064</v>
      </c>
      <c r="M184">
        <f t="shared" si="53"/>
        <v>0.79661897393663672</v>
      </c>
      <c r="N184">
        <f t="shared" si="62"/>
        <v>0.72007223788073205</v>
      </c>
      <c r="P184">
        <v>90.395840000000007</v>
      </c>
      <c r="Q184">
        <v>1.2385638533967475E-2</v>
      </c>
      <c r="R184">
        <f t="shared" si="46"/>
        <v>1.1196101992143586</v>
      </c>
      <c r="S184">
        <f t="shared" si="54"/>
        <v>2.019676257709957</v>
      </c>
      <c r="T184">
        <f t="shared" si="55"/>
        <v>5.3965799009123128</v>
      </c>
      <c r="U184">
        <f t="shared" si="63"/>
        <v>3.5633777862796423</v>
      </c>
      <c r="W184">
        <v>99.535539999999997</v>
      </c>
      <c r="X184">
        <v>0.23609412487237993</v>
      </c>
      <c r="Y184">
        <f t="shared" si="47"/>
        <v>23.499756209999767</v>
      </c>
      <c r="Z184">
        <f t="shared" si="56"/>
        <v>5.0246756793145053</v>
      </c>
      <c r="AA184">
        <f t="shared" si="57"/>
        <v>2.3915804793077644</v>
      </c>
      <c r="AB184">
        <f t="shared" si="64"/>
        <v>2.3286321059144743</v>
      </c>
      <c r="AE184">
        <v>102.441</v>
      </c>
      <c r="AF184">
        <v>0.35833777072609946</v>
      </c>
      <c r="AG184">
        <f t="shared" si="48"/>
        <v>36.708479570952356</v>
      </c>
      <c r="AH184">
        <f t="shared" si="58"/>
        <v>9.6474351324121308</v>
      </c>
      <c r="AI184">
        <f t="shared" si="59"/>
        <v>2.2311789737898611</v>
      </c>
      <c r="AJ184">
        <f t="shared" si="65"/>
        <v>2.0421612787897123</v>
      </c>
      <c r="AL184">
        <f t="shared" si="49"/>
        <v>99.029287190794065</v>
      </c>
      <c r="AM184">
        <f t="shared" si="60"/>
        <v>7.4162561586222697</v>
      </c>
    </row>
    <row r="185" spans="1:39" x14ac:dyDescent="0.35">
      <c r="A185" s="2">
        <v>42064</v>
      </c>
      <c r="B185">
        <v>99.014039999999994</v>
      </c>
      <c r="C185">
        <v>0.2158477929591254</v>
      </c>
      <c r="D185">
        <f t="shared" si="44"/>
        <v>21.371962005966559</v>
      </c>
      <c r="E185">
        <f t="shared" si="50"/>
        <v>9.3413405489857446</v>
      </c>
      <c r="F185">
        <f t="shared" si="51"/>
        <v>5.8411988292807813</v>
      </c>
      <c r="G185">
        <f t="shared" si="61"/>
        <v>4.2907050328301786</v>
      </c>
      <c r="I185">
        <v>106.8111</v>
      </c>
      <c r="J185">
        <v>0.17733467290842772</v>
      </c>
      <c r="K185">
        <f t="shared" si="45"/>
        <v>18.941311481489365</v>
      </c>
      <c r="L185">
        <f t="shared" si="52"/>
        <v>4.3291104621064669</v>
      </c>
      <c r="M185">
        <f t="shared" si="53"/>
        <v>0.82896874240150353</v>
      </c>
      <c r="N185">
        <f t="shared" si="62"/>
        <v>3.2349768464866813E-2</v>
      </c>
      <c r="P185">
        <v>91.713160000000002</v>
      </c>
      <c r="Q185">
        <v>1.2385638533967475E-2</v>
      </c>
      <c r="R185">
        <f t="shared" si="46"/>
        <v>1.1359260485679246</v>
      </c>
      <c r="S185">
        <f t="shared" si="54"/>
        <v>1.4572794500277819</v>
      </c>
      <c r="T185">
        <f t="shared" si="55"/>
        <v>2.0428622696771814</v>
      </c>
      <c r="U185">
        <f t="shared" si="63"/>
        <v>3.3537176312351313</v>
      </c>
      <c r="W185">
        <v>99.552120000000002</v>
      </c>
      <c r="X185">
        <v>0.23609412487237993</v>
      </c>
      <c r="Y185">
        <f t="shared" si="47"/>
        <v>23.503670650590152</v>
      </c>
      <c r="Z185">
        <f t="shared" si="56"/>
        <v>1.6657366805872265E-2</v>
      </c>
      <c r="AA185">
        <f t="shared" si="57"/>
        <v>3.4834843528990911</v>
      </c>
      <c r="AB185">
        <f t="shared" si="64"/>
        <v>1.0919038735913267</v>
      </c>
      <c r="AE185">
        <v>104.7687</v>
      </c>
      <c r="AF185">
        <v>0.35833777072609946</v>
      </c>
      <c r="AG185">
        <f t="shared" si="48"/>
        <v>37.542582399871492</v>
      </c>
      <c r="AH185">
        <f t="shared" si="58"/>
        <v>2.272234749758395</v>
      </c>
      <c r="AI185">
        <f t="shared" si="59"/>
        <v>1.2279069699465683</v>
      </c>
      <c r="AJ185">
        <f t="shared" si="65"/>
        <v>1.0032720038432927</v>
      </c>
      <c r="AL185">
        <f t="shared" si="49"/>
        <v>102.4954525864855</v>
      </c>
      <c r="AM185">
        <f t="shared" si="60"/>
        <v>3.5001417197049634</v>
      </c>
    </row>
    <row r="186" spans="1:39" x14ac:dyDescent="0.35">
      <c r="A186" s="2">
        <v>42095</v>
      </c>
      <c r="B186">
        <v>104.648</v>
      </c>
      <c r="C186">
        <v>0.2158477929591254</v>
      </c>
      <c r="D186">
        <f t="shared" si="44"/>
        <v>22.588039837586553</v>
      </c>
      <c r="E186">
        <f t="shared" si="50"/>
        <v>5.690061732659335</v>
      </c>
      <c r="F186">
        <f t="shared" si="51"/>
        <v>2.5903389167975632</v>
      </c>
      <c r="G186">
        <f t="shared" si="61"/>
        <v>3.250859912483218</v>
      </c>
      <c r="I186">
        <v>106.9481</v>
      </c>
      <c r="J186">
        <v>0.17733467290842772</v>
      </c>
      <c r="K186">
        <f t="shared" si="45"/>
        <v>18.965606331677819</v>
      </c>
      <c r="L186">
        <f t="shared" si="52"/>
        <v>0.12826382276749371</v>
      </c>
      <c r="M186">
        <f t="shared" si="53"/>
        <v>2.9714589930942781</v>
      </c>
      <c r="N186">
        <f t="shared" si="62"/>
        <v>2.1424902506927745</v>
      </c>
      <c r="P186">
        <v>90.839929999999995</v>
      </c>
      <c r="Q186">
        <v>1.2385638533967475E-2</v>
      </c>
      <c r="R186">
        <f t="shared" si="46"/>
        <v>1.1251105374309081</v>
      </c>
      <c r="S186">
        <f t="shared" si="54"/>
        <v>-0.95213162429470533</v>
      </c>
      <c r="T186">
        <f t="shared" si="55"/>
        <v>4.0518544401564771</v>
      </c>
      <c r="U186">
        <f t="shared" si="63"/>
        <v>2.0089921704792957</v>
      </c>
      <c r="W186">
        <v>104.8104</v>
      </c>
      <c r="X186">
        <v>0.23609412487237993</v>
      </c>
      <c r="Y186">
        <f t="shared" si="47"/>
        <v>24.74511966552409</v>
      </c>
      <c r="Z186">
        <f t="shared" si="56"/>
        <v>5.2819367382633375</v>
      </c>
      <c r="AA186">
        <f t="shared" si="57"/>
        <v>2.1822139224015658</v>
      </c>
      <c r="AB186">
        <f t="shared" si="64"/>
        <v>1.3012704304975253</v>
      </c>
      <c r="AE186">
        <v>106.73909999999999</v>
      </c>
      <c r="AF186">
        <v>0.35833777072609946</v>
      </c>
      <c r="AG186">
        <f t="shared" si="48"/>
        <v>38.248651143310198</v>
      </c>
      <c r="AH186">
        <f t="shared" si="58"/>
        <v>1.8807143736631282</v>
      </c>
      <c r="AI186">
        <f t="shared" si="59"/>
        <v>1.2190084421986436</v>
      </c>
      <c r="AJ186">
        <f t="shared" si="65"/>
        <v>8.8985277479247671E-3</v>
      </c>
      <c r="AL186">
        <f t="shared" si="49"/>
        <v>105.67252751552957</v>
      </c>
      <c r="AM186">
        <f t="shared" si="60"/>
        <v>3.0997228158617718</v>
      </c>
    </row>
    <row r="187" spans="1:39" x14ac:dyDescent="0.35">
      <c r="A187" s="2">
        <v>42125</v>
      </c>
      <c r="B187">
        <v>103.3879</v>
      </c>
      <c r="C187">
        <v>0.2158477929591254</v>
      </c>
      <c r="D187">
        <f t="shared" si="44"/>
        <v>22.31605003367876</v>
      </c>
      <c r="E187">
        <f t="shared" si="50"/>
        <v>-1.204131947098841</v>
      </c>
      <c r="F187">
        <f t="shared" si="51"/>
        <v>0.7919428742845791</v>
      </c>
      <c r="G187">
        <f t="shared" si="61"/>
        <v>1.7983960425129841</v>
      </c>
      <c r="I187">
        <v>101.4953</v>
      </c>
      <c r="J187">
        <v>0.17733467290842772</v>
      </c>
      <c r="K187">
        <f t="shared" si="45"/>
        <v>17.998635827242744</v>
      </c>
      <c r="L187">
        <f t="shared" si="52"/>
        <v>-5.0985478002881779</v>
      </c>
      <c r="M187">
        <f t="shared" si="53"/>
        <v>3.1024729789047578</v>
      </c>
      <c r="N187">
        <f t="shared" si="62"/>
        <v>0.13101398581047974</v>
      </c>
      <c r="P187">
        <v>93.656610000000001</v>
      </c>
      <c r="Q187">
        <v>1.2385638533967475E-2</v>
      </c>
      <c r="R187">
        <f t="shared" si="46"/>
        <v>1.1599969177767635</v>
      </c>
      <c r="S187">
        <f t="shared" si="54"/>
        <v>3.100706924807195</v>
      </c>
      <c r="T187">
        <f t="shared" si="55"/>
        <v>5.0967817461906151</v>
      </c>
      <c r="U187">
        <f t="shared" si="63"/>
        <v>1.044927306034138</v>
      </c>
      <c r="W187">
        <v>105.79089999999999</v>
      </c>
      <c r="X187">
        <v>0.23609412487237993</v>
      </c>
      <c r="Y187">
        <f t="shared" si="47"/>
        <v>24.976609954961457</v>
      </c>
      <c r="Z187">
        <f t="shared" si="56"/>
        <v>0.93549876729790427</v>
      </c>
      <c r="AA187">
        <f t="shared" si="57"/>
        <v>2.9315735886813243</v>
      </c>
      <c r="AB187">
        <f t="shared" si="64"/>
        <v>0.74935966627975859</v>
      </c>
      <c r="AE187">
        <v>103.5669</v>
      </c>
      <c r="AF187">
        <v>0.35833777072609946</v>
      </c>
      <c r="AG187">
        <f t="shared" si="48"/>
        <v>37.111932067012873</v>
      </c>
      <c r="AH187">
        <f t="shared" si="58"/>
        <v>-2.9719193809953359</v>
      </c>
      <c r="AI187">
        <f t="shared" si="59"/>
        <v>0.97584455961191585</v>
      </c>
      <c r="AJ187">
        <f t="shared" si="65"/>
        <v>0.24316388258672772</v>
      </c>
      <c r="AL187">
        <f t="shared" si="49"/>
        <v>103.56322480067261</v>
      </c>
      <c r="AM187">
        <f t="shared" si="60"/>
        <v>-1.9960748213834201</v>
      </c>
    </row>
    <row r="188" spans="1:39" x14ac:dyDescent="0.35">
      <c r="A188" s="2">
        <v>42156</v>
      </c>
      <c r="B188">
        <v>101.8852</v>
      </c>
      <c r="C188">
        <v>0.2158477929591254</v>
      </c>
      <c r="D188">
        <f t="shared" si="44"/>
        <v>21.991695555199083</v>
      </c>
      <c r="E188">
        <f t="shared" si="50"/>
        <v>-1.4534582867047341</v>
      </c>
      <c r="F188">
        <f t="shared" si="51"/>
        <v>0.46467700132869494</v>
      </c>
      <c r="G188">
        <f t="shared" si="61"/>
        <v>0.32726587295588416</v>
      </c>
      <c r="I188">
        <v>99.726900000000001</v>
      </c>
      <c r="J188">
        <v>0.17733467290842772</v>
      </c>
      <c r="K188">
        <f t="shared" si="45"/>
        <v>17.68503719167148</v>
      </c>
      <c r="L188">
        <f t="shared" si="52"/>
        <v>-1.7423466899452511</v>
      </c>
      <c r="M188">
        <f t="shared" si="53"/>
        <v>0.17578859808817793</v>
      </c>
      <c r="N188">
        <f t="shared" si="62"/>
        <v>2.9266843808165799</v>
      </c>
      <c r="P188">
        <v>97.240110000000001</v>
      </c>
      <c r="Q188">
        <v>1.2385638533967475E-2</v>
      </c>
      <c r="R188">
        <f t="shared" si="46"/>
        <v>1.2043808534632361</v>
      </c>
      <c r="S188">
        <f t="shared" si="54"/>
        <v>3.8262115188666401</v>
      </c>
      <c r="T188">
        <f t="shared" si="55"/>
        <v>5.7443468069000687</v>
      </c>
      <c r="U188">
        <f t="shared" si="63"/>
        <v>0.64756506070945363</v>
      </c>
      <c r="W188">
        <v>103.82089999999999</v>
      </c>
      <c r="X188">
        <v>0.23609412487237993</v>
      </c>
      <c r="Y188">
        <f t="shared" si="47"/>
        <v>24.51150452896287</v>
      </c>
      <c r="Z188">
        <f t="shared" si="56"/>
        <v>-1.8621639479388108</v>
      </c>
      <c r="AA188">
        <f t="shared" si="57"/>
        <v>5.5971340094618238E-2</v>
      </c>
      <c r="AB188">
        <f t="shared" si="64"/>
        <v>2.8756022485867061</v>
      </c>
      <c r="AE188">
        <v>100.9777</v>
      </c>
      <c r="AF188">
        <v>0.35833777072609946</v>
      </c>
      <c r="AG188">
        <f t="shared" si="48"/>
        <v>36.18412391104885</v>
      </c>
      <c r="AH188">
        <f t="shared" si="58"/>
        <v>-2.5000265528851484</v>
      </c>
      <c r="AI188">
        <f t="shared" si="59"/>
        <v>0.58189126485171938</v>
      </c>
      <c r="AJ188">
        <f t="shared" si="65"/>
        <v>0.39395329476019647</v>
      </c>
      <c r="AL188">
        <f t="shared" si="49"/>
        <v>101.57674204034552</v>
      </c>
      <c r="AM188">
        <f t="shared" si="60"/>
        <v>-1.918135288033429</v>
      </c>
    </row>
    <row r="189" spans="1:39" x14ac:dyDescent="0.35">
      <c r="A189" s="2">
        <v>42186</v>
      </c>
      <c r="B189">
        <v>104.3621</v>
      </c>
      <c r="C189">
        <v>0.2158477929591254</v>
      </c>
      <c r="D189">
        <f t="shared" si="44"/>
        <v>22.52632895357954</v>
      </c>
      <c r="E189">
        <f t="shared" si="50"/>
        <v>2.4310694781970232</v>
      </c>
      <c r="F189">
        <f t="shared" si="51"/>
        <v>2.0233253186235478</v>
      </c>
      <c r="G189">
        <f t="shared" si="61"/>
        <v>1.5586483172948529</v>
      </c>
      <c r="I189">
        <v>99.776499999999999</v>
      </c>
      <c r="J189">
        <v>0.17733467290842772</v>
      </c>
      <c r="K189">
        <f t="shared" si="45"/>
        <v>17.693832991447739</v>
      </c>
      <c r="L189">
        <f t="shared" si="52"/>
        <v>4.9735828547770033E-2</v>
      </c>
      <c r="M189">
        <f t="shared" si="53"/>
        <v>0.3580083310257054</v>
      </c>
      <c r="N189">
        <f t="shared" si="62"/>
        <v>0.18221973293752747</v>
      </c>
      <c r="P189">
        <v>100.697</v>
      </c>
      <c r="Q189">
        <v>1.2385638533967475E-2</v>
      </c>
      <c r="R189">
        <f t="shared" si="46"/>
        <v>1.2471966434549229</v>
      </c>
      <c r="S189">
        <f t="shared" si="54"/>
        <v>3.55500420556909</v>
      </c>
      <c r="T189">
        <f t="shared" si="55"/>
        <v>3.1472600459956146</v>
      </c>
      <c r="U189">
        <f t="shared" si="63"/>
        <v>2.5970867609044541</v>
      </c>
      <c r="W189">
        <v>102.8254</v>
      </c>
      <c r="X189">
        <v>0.23609412487237993</v>
      </c>
      <c r="Y189">
        <f t="shared" si="47"/>
        <v>24.276472827652416</v>
      </c>
      <c r="Z189">
        <f t="shared" si="56"/>
        <v>-0.9588628108598507</v>
      </c>
      <c r="AA189">
        <f t="shared" si="57"/>
        <v>1.3666069704333261</v>
      </c>
      <c r="AB189">
        <f t="shared" si="64"/>
        <v>1.3106356303387079</v>
      </c>
      <c r="AE189">
        <v>101.1534</v>
      </c>
      <c r="AF189">
        <v>0.35833777072609946</v>
      </c>
      <c r="AG189">
        <f t="shared" si="48"/>
        <v>36.247083857365432</v>
      </c>
      <c r="AH189">
        <f t="shared" si="58"/>
        <v>0.17399881359945191</v>
      </c>
      <c r="AI189">
        <f t="shared" si="59"/>
        <v>0.23374534597402352</v>
      </c>
      <c r="AJ189">
        <f t="shared" si="65"/>
        <v>0.34814591887769586</v>
      </c>
      <c r="AL189">
        <f t="shared" si="49"/>
        <v>101.99091527350005</v>
      </c>
      <c r="AM189">
        <f t="shared" si="60"/>
        <v>0.40774415957347543</v>
      </c>
    </row>
    <row r="190" spans="1:39" x14ac:dyDescent="0.35">
      <c r="A190" s="2">
        <v>42217</v>
      </c>
      <c r="B190">
        <v>103.34180000000001</v>
      </c>
      <c r="C190">
        <v>0.2158477929591254</v>
      </c>
      <c r="D190">
        <f t="shared" si="44"/>
        <v>22.306099450423346</v>
      </c>
      <c r="E190">
        <f t="shared" si="50"/>
        <v>-0.97765376511204094</v>
      </c>
      <c r="F190">
        <f t="shared" si="51"/>
        <v>1.0359056492027618</v>
      </c>
      <c r="G190">
        <f t="shared" si="61"/>
        <v>0.98741966942078596</v>
      </c>
      <c r="I190">
        <v>98.190849999999998</v>
      </c>
      <c r="J190">
        <v>0.17733467290842772</v>
      </c>
      <c r="K190">
        <f t="shared" si="45"/>
        <v>17.412642267350488</v>
      </c>
      <c r="L190">
        <f t="shared" si="52"/>
        <v>-1.5892018661708973</v>
      </c>
      <c r="M190">
        <f t="shared" si="53"/>
        <v>0.42435754814390547</v>
      </c>
      <c r="N190">
        <f t="shared" si="62"/>
        <v>6.6349217118200077E-2</v>
      </c>
      <c r="P190">
        <v>102.7864</v>
      </c>
      <c r="Q190">
        <v>1.2385638533967475E-2</v>
      </c>
      <c r="R190">
        <f t="shared" si="46"/>
        <v>1.2730751966077944</v>
      </c>
      <c r="S190">
        <f t="shared" si="54"/>
        <v>2.0749376843401501</v>
      </c>
      <c r="T190">
        <f t="shared" si="55"/>
        <v>4.0884970986549529</v>
      </c>
      <c r="U190">
        <f t="shared" si="63"/>
        <v>0.94123705265933832</v>
      </c>
      <c r="W190">
        <v>98.319760000000002</v>
      </c>
      <c r="X190">
        <v>0.23609412487237993</v>
      </c>
      <c r="Y190">
        <f t="shared" si="47"/>
        <v>23.212717694862427</v>
      </c>
      <c r="Z190">
        <f t="shared" si="56"/>
        <v>-4.3818356164916477</v>
      </c>
      <c r="AA190">
        <f t="shared" si="57"/>
        <v>2.3682762021768449</v>
      </c>
      <c r="AB190">
        <f t="shared" si="64"/>
        <v>1.0016692317435187</v>
      </c>
      <c r="AE190">
        <v>99.718019999999996</v>
      </c>
      <c r="AF190">
        <v>0.35833777072609946</v>
      </c>
      <c r="AG190">
        <f t="shared" si="48"/>
        <v>35.732732988020601</v>
      </c>
      <c r="AH190">
        <f t="shared" si="58"/>
        <v>-1.4190131028714914</v>
      </c>
      <c r="AI190">
        <f t="shared" si="59"/>
        <v>0.59454631144331138</v>
      </c>
      <c r="AJ190">
        <f t="shared" si="65"/>
        <v>0.36080096546928786</v>
      </c>
      <c r="AL190">
        <f t="shared" si="49"/>
        <v>99.93726759726465</v>
      </c>
      <c r="AM190">
        <f t="shared" si="60"/>
        <v>-2.0135594143148028</v>
      </c>
    </row>
    <row r="191" spans="1:39" x14ac:dyDescent="0.35">
      <c r="A191" s="2">
        <v>42248</v>
      </c>
      <c r="B191">
        <v>99.593959999999996</v>
      </c>
      <c r="C191">
        <v>0.2158477929591254</v>
      </c>
      <c r="D191">
        <f t="shared" si="44"/>
        <v>21.497136458059416</v>
      </c>
      <c r="E191">
        <f t="shared" si="50"/>
        <v>-3.6266447845886285</v>
      </c>
      <c r="F191">
        <f t="shared" si="51"/>
        <v>1.2566607969150212</v>
      </c>
      <c r="G191">
        <f t="shared" si="61"/>
        <v>0.22075514771225935</v>
      </c>
      <c r="I191">
        <v>92.414900000000003</v>
      </c>
      <c r="J191">
        <v>0.17733467290842772</v>
      </c>
      <c r="K191">
        <f t="shared" si="45"/>
        <v>16.388366063365059</v>
      </c>
      <c r="L191">
        <f t="shared" si="52"/>
        <v>-5.8823709133793978</v>
      </c>
      <c r="M191">
        <f t="shared" si="53"/>
        <v>0.99906533187574809</v>
      </c>
      <c r="N191">
        <f t="shared" si="62"/>
        <v>0.57470778373184261</v>
      </c>
      <c r="P191">
        <v>105.9179</v>
      </c>
      <c r="Q191">
        <v>1.2385638533967475E-2</v>
      </c>
      <c r="R191">
        <f t="shared" si="46"/>
        <v>1.3118608236769136</v>
      </c>
      <c r="S191">
        <f t="shared" si="54"/>
        <v>3.0466092790485844</v>
      </c>
      <c r="T191">
        <f t="shared" si="55"/>
        <v>7.929914860552234</v>
      </c>
      <c r="U191">
        <f t="shared" si="63"/>
        <v>3.8414177618972811</v>
      </c>
      <c r="W191">
        <v>93.894069999999999</v>
      </c>
      <c r="X191">
        <v>0.23609412487237993</v>
      </c>
      <c r="Y191">
        <f t="shared" si="47"/>
        <v>22.167838287355984</v>
      </c>
      <c r="Z191">
        <f t="shared" si="56"/>
        <v>-4.5013230300806288</v>
      </c>
      <c r="AA191">
        <f t="shared" si="57"/>
        <v>0.38198255142302084</v>
      </c>
      <c r="AB191">
        <f t="shared" si="64"/>
        <v>1.986293650753824</v>
      </c>
      <c r="AE191">
        <v>94.022530000000003</v>
      </c>
      <c r="AF191">
        <v>0.35833777072609946</v>
      </c>
      <c r="AG191">
        <f t="shared" si="48"/>
        <v>33.691823798227809</v>
      </c>
      <c r="AH191">
        <f t="shared" si="58"/>
        <v>-5.7115955571520498</v>
      </c>
      <c r="AI191">
        <f t="shared" si="59"/>
        <v>0.82828997564840012</v>
      </c>
      <c r="AJ191">
        <f t="shared" si="65"/>
        <v>0.23374366420508874</v>
      </c>
      <c r="AL191">
        <f t="shared" si="49"/>
        <v>95.057025430685187</v>
      </c>
      <c r="AM191">
        <f t="shared" si="60"/>
        <v>-4.8833055815036497</v>
      </c>
    </row>
    <row r="192" spans="1:39" x14ac:dyDescent="0.35">
      <c r="A192" s="2">
        <v>42278</v>
      </c>
      <c r="B192">
        <v>99.313479999999998</v>
      </c>
      <c r="C192">
        <v>0.2158477929591254</v>
      </c>
      <c r="D192">
        <f t="shared" si="44"/>
        <v>21.436595469090243</v>
      </c>
      <c r="E192">
        <f t="shared" si="50"/>
        <v>-0.28162350407594516</v>
      </c>
      <c r="F192">
        <f t="shared" si="51"/>
        <v>2.7316568760263449</v>
      </c>
      <c r="G192">
        <f t="shared" si="61"/>
        <v>1.4749960791113237</v>
      </c>
      <c r="I192">
        <v>95.402540000000002</v>
      </c>
      <c r="J192">
        <v>0.17733467290842772</v>
      </c>
      <c r="K192">
        <f t="shared" si="45"/>
        <v>16.918178225533193</v>
      </c>
      <c r="L192">
        <f t="shared" si="52"/>
        <v>3.2328553079643996</v>
      </c>
      <c r="M192">
        <f t="shared" si="53"/>
        <v>0.78282193601399985</v>
      </c>
      <c r="N192">
        <f t="shared" si="62"/>
        <v>0.21624339586174823</v>
      </c>
      <c r="P192">
        <v>110.8293</v>
      </c>
      <c r="Q192">
        <v>1.2385638533967475E-2</v>
      </c>
      <c r="R192">
        <f t="shared" si="46"/>
        <v>1.3726916487726415</v>
      </c>
      <c r="S192">
        <f t="shared" si="54"/>
        <v>4.6369877046278374</v>
      </c>
      <c r="T192">
        <f t="shared" si="55"/>
        <v>2.1869543326774377</v>
      </c>
      <c r="U192">
        <f t="shared" si="63"/>
        <v>5.7429605278747964</v>
      </c>
      <c r="W192">
        <v>99.04983</v>
      </c>
      <c r="X192">
        <v>0.23609412487237993</v>
      </c>
      <c r="Y192">
        <f t="shared" si="47"/>
        <v>23.385082932608004</v>
      </c>
      <c r="Z192">
        <f t="shared" si="56"/>
        <v>5.4910389974574647</v>
      </c>
      <c r="AA192">
        <f t="shared" si="57"/>
        <v>3.041005625507065</v>
      </c>
      <c r="AB192">
        <f t="shared" si="64"/>
        <v>2.6590230740840441</v>
      </c>
      <c r="AE192">
        <v>95.645529999999994</v>
      </c>
      <c r="AF192">
        <v>0.35833777072609946</v>
      </c>
      <c r="AG192">
        <f t="shared" si="48"/>
        <v>34.273406000116267</v>
      </c>
      <c r="AH192">
        <f t="shared" si="58"/>
        <v>1.7261820119071292</v>
      </c>
      <c r="AI192">
        <f t="shared" si="59"/>
        <v>0.72385136004327055</v>
      </c>
      <c r="AJ192">
        <f t="shared" si="65"/>
        <v>0.10443861560512957</v>
      </c>
      <c r="AL192">
        <f t="shared" si="49"/>
        <v>97.385954276120344</v>
      </c>
      <c r="AM192">
        <f t="shared" si="60"/>
        <v>2.4500333719503997</v>
      </c>
    </row>
    <row r="193" spans="1:39" x14ac:dyDescent="0.35">
      <c r="A193" s="2">
        <v>42309</v>
      </c>
      <c r="B193">
        <v>103.419</v>
      </c>
      <c r="C193">
        <v>0.2158477929591254</v>
      </c>
      <c r="D193">
        <f t="shared" si="44"/>
        <v>22.322762900039788</v>
      </c>
      <c r="E193">
        <f t="shared" si="50"/>
        <v>4.1339000506275703</v>
      </c>
      <c r="F193">
        <f t="shared" si="51"/>
        <v>0.18292005780748966</v>
      </c>
      <c r="G193">
        <f t="shared" si="61"/>
        <v>2.5487368182188552</v>
      </c>
      <c r="I193">
        <v>101.614</v>
      </c>
      <c r="J193">
        <v>0.17733467290842772</v>
      </c>
      <c r="K193">
        <f t="shared" si="45"/>
        <v>18.019685452916974</v>
      </c>
      <c r="L193">
        <f t="shared" si="52"/>
        <v>6.5107910124824864</v>
      </c>
      <c r="M193">
        <f t="shared" si="53"/>
        <v>2.5598110196624058</v>
      </c>
      <c r="N193">
        <f t="shared" si="62"/>
        <v>1.7769890836484059</v>
      </c>
      <c r="P193">
        <v>112.6461</v>
      </c>
      <c r="Q193">
        <v>1.23856385339675E-2</v>
      </c>
      <c r="R193">
        <f t="shared" si="46"/>
        <v>1.3951938768611565</v>
      </c>
      <c r="S193">
        <f t="shared" si="54"/>
        <v>1.6392777000305836</v>
      </c>
      <c r="T193">
        <f t="shared" si="55"/>
        <v>2.311702292789497</v>
      </c>
      <c r="U193">
        <f t="shared" si="63"/>
        <v>0.12474796011205935</v>
      </c>
      <c r="W193">
        <v>100.30629999999999</v>
      </c>
      <c r="X193">
        <v>0.23609412487237993</v>
      </c>
      <c r="Y193">
        <f t="shared" si="47"/>
        <v>23.681728117686401</v>
      </c>
      <c r="Z193">
        <f t="shared" si="56"/>
        <v>1.2685231261881036</v>
      </c>
      <c r="AA193">
        <f t="shared" si="57"/>
        <v>2.682456866631977</v>
      </c>
      <c r="AB193">
        <f t="shared" si="64"/>
        <v>0.35854875887508797</v>
      </c>
      <c r="AE193">
        <v>99.945599999999999</v>
      </c>
      <c r="AF193">
        <v>0.35833777072609946</v>
      </c>
      <c r="AG193">
        <f t="shared" si="48"/>
        <v>35.814283497882442</v>
      </c>
      <c r="AH193">
        <f t="shared" si="58"/>
        <v>4.4958400042323099</v>
      </c>
      <c r="AI193">
        <f t="shared" si="59"/>
        <v>0.54486001141222928</v>
      </c>
      <c r="AJ193">
        <f t="shared" si="65"/>
        <v>0.17899134863104127</v>
      </c>
      <c r="AL193">
        <f t="shared" si="49"/>
        <v>101.23365384538677</v>
      </c>
      <c r="AM193">
        <f t="shared" si="60"/>
        <v>3.9509799928200806</v>
      </c>
    </row>
    <row r="194" spans="1:39" x14ac:dyDescent="0.35">
      <c r="A194" s="2">
        <v>42339</v>
      </c>
      <c r="B194">
        <v>104.94199999999999</v>
      </c>
      <c r="C194">
        <v>0.2158477929591254</v>
      </c>
      <c r="D194">
        <f t="shared" si="44"/>
        <v>22.651499088716537</v>
      </c>
      <c r="E194">
        <f t="shared" si="50"/>
        <v>1.4726500933097464</v>
      </c>
      <c r="F194">
        <f t="shared" si="51"/>
        <v>2.8237606657413816</v>
      </c>
      <c r="G194">
        <f t="shared" si="61"/>
        <v>2.640840607933892</v>
      </c>
      <c r="I194">
        <v>100.63200000000001</v>
      </c>
      <c r="J194">
        <v>0.17733467290842772</v>
      </c>
      <c r="K194">
        <f t="shared" si="45"/>
        <v>17.8455428041209</v>
      </c>
      <c r="L194">
        <f t="shared" si="52"/>
        <v>-0.9664022674040984</v>
      </c>
      <c r="M194">
        <f t="shared" si="53"/>
        <v>0.38470830502753683</v>
      </c>
      <c r="N194">
        <f t="shared" si="62"/>
        <v>2.1751027146348689</v>
      </c>
      <c r="P194">
        <v>114.6713</v>
      </c>
      <c r="Q194">
        <v>1.23856385339675E-2</v>
      </c>
      <c r="R194">
        <f t="shared" si="46"/>
        <v>1.4202772720201473</v>
      </c>
      <c r="S194">
        <f t="shared" si="54"/>
        <v>1.7978429790290074</v>
      </c>
      <c r="T194">
        <f t="shared" si="55"/>
        <v>3.1489535514606426</v>
      </c>
      <c r="U194">
        <f t="shared" si="63"/>
        <v>0.83725125867114558</v>
      </c>
      <c r="W194">
        <v>97.321190000000001</v>
      </c>
      <c r="X194">
        <v>0.23609412487237993</v>
      </c>
      <c r="Y194">
        <f t="shared" si="47"/>
        <v>22.976961184588614</v>
      </c>
      <c r="Z194">
        <f t="shared" si="56"/>
        <v>-2.9759945287584078</v>
      </c>
      <c r="AA194">
        <f t="shared" si="57"/>
        <v>1.6248839563267725</v>
      </c>
      <c r="AB194">
        <f t="shared" si="64"/>
        <v>1.0575729103052045</v>
      </c>
      <c r="AE194">
        <v>97.593940000000003</v>
      </c>
      <c r="AF194">
        <v>0.35833777072609946</v>
      </c>
      <c r="AG194">
        <f t="shared" si="48"/>
        <v>34.971594895976708</v>
      </c>
      <c r="AH194">
        <f t="shared" si="58"/>
        <v>-2.3529399993596489</v>
      </c>
      <c r="AI194">
        <f t="shared" si="59"/>
        <v>1.0018294269280137</v>
      </c>
      <c r="AJ194">
        <f t="shared" si="65"/>
        <v>0.45696941551578441</v>
      </c>
      <c r="AL194">
        <f t="shared" si="49"/>
        <v>99.865875245422899</v>
      </c>
      <c r="AM194">
        <f t="shared" si="60"/>
        <v>-1.3511105724316352</v>
      </c>
    </row>
    <row r="195" spans="1:39" x14ac:dyDescent="0.35">
      <c r="A195" s="2">
        <v>42370</v>
      </c>
      <c r="B195">
        <v>100.8351</v>
      </c>
      <c r="C195">
        <v>0.21785599519149887</v>
      </c>
      <c r="D195">
        <f t="shared" si="44"/>
        <v>21.967531060734306</v>
      </c>
      <c r="E195">
        <f t="shared" si="50"/>
        <v>-3.9134950734691532</v>
      </c>
      <c r="F195">
        <f t="shared" si="51"/>
        <v>1.7546103398484836</v>
      </c>
      <c r="G195">
        <f t="shared" si="61"/>
        <v>1.069150325892898</v>
      </c>
      <c r="I195">
        <v>96.930819999999997</v>
      </c>
      <c r="J195">
        <v>0.17823132045245699</v>
      </c>
      <c r="K195">
        <f t="shared" si="45"/>
        <v>17.276108041139427</v>
      </c>
      <c r="L195">
        <f t="shared" si="52"/>
        <v>-3.6779354479688497</v>
      </c>
      <c r="M195">
        <f t="shared" si="53"/>
        <v>1.990169965348787</v>
      </c>
      <c r="N195">
        <f t="shared" si="62"/>
        <v>1.6054616603212502</v>
      </c>
      <c r="P195">
        <v>112.2372</v>
      </c>
      <c r="Q195">
        <v>1.2871097459659621E-2</v>
      </c>
      <c r="R195">
        <f t="shared" si="46"/>
        <v>1.4446159397993088</v>
      </c>
      <c r="S195">
        <f t="shared" si="54"/>
        <v>-2.1226758569929838</v>
      </c>
      <c r="T195">
        <f t="shared" si="55"/>
        <v>3.545429556324653</v>
      </c>
      <c r="U195">
        <f t="shared" si="63"/>
        <v>0.39647600486401036</v>
      </c>
      <c r="W195">
        <v>89.593599999999995</v>
      </c>
      <c r="X195">
        <v>0.23348722914313572</v>
      </c>
      <c r="Y195">
        <f t="shared" si="47"/>
        <v>20.918961412958442</v>
      </c>
      <c r="Z195">
        <f t="shared" si="56"/>
        <v>-7.9402954279535702</v>
      </c>
      <c r="AA195">
        <f t="shared" si="57"/>
        <v>2.2721900146359335</v>
      </c>
      <c r="AB195">
        <f t="shared" si="64"/>
        <v>0.64730605830916099</v>
      </c>
      <c r="AE195">
        <v>91.169790000000006</v>
      </c>
      <c r="AF195">
        <v>0.35755435775324884</v>
      </c>
      <c r="AG195">
        <f t="shared" si="48"/>
        <v>32.598155709948571</v>
      </c>
      <c r="AH195">
        <f t="shared" si="58"/>
        <v>-6.5825296119820571</v>
      </c>
      <c r="AI195">
        <f t="shared" si="59"/>
        <v>0.91442419866442037</v>
      </c>
      <c r="AJ195">
        <f t="shared" si="65"/>
        <v>8.7405228263593315E-2</v>
      </c>
      <c r="AL195">
        <f t="shared" si="49"/>
        <v>94.205372164580041</v>
      </c>
      <c r="AM195">
        <f t="shared" si="60"/>
        <v>-5.6681054133176367</v>
      </c>
    </row>
    <row r="196" spans="1:39" x14ac:dyDescent="0.35">
      <c r="A196" s="2">
        <v>42401</v>
      </c>
      <c r="B196">
        <v>96.187579999999997</v>
      </c>
      <c r="C196">
        <v>0.21785599519149887</v>
      </c>
      <c r="D196">
        <f t="shared" ref="D196:D259" si="66">B196*C196</f>
        <v>20.955040965961913</v>
      </c>
      <c r="E196">
        <f t="shared" si="50"/>
        <v>-4.6090299905489296</v>
      </c>
      <c r="F196">
        <f t="shared" si="51"/>
        <v>1.6436091107939532</v>
      </c>
      <c r="G196">
        <f t="shared" si="61"/>
        <v>0.11100122905453036</v>
      </c>
      <c r="I196">
        <v>91.338409999999996</v>
      </c>
      <c r="J196">
        <v>0.17823132045245699</v>
      </c>
      <c r="K196">
        <f t="shared" ref="K196:K259" si="67">I196*J196</f>
        <v>16.279365422327903</v>
      </c>
      <c r="L196">
        <f t="shared" si="52"/>
        <v>-5.7694859075782094</v>
      </c>
      <c r="M196">
        <f t="shared" si="53"/>
        <v>2.8040650278232331</v>
      </c>
      <c r="N196">
        <f t="shared" si="62"/>
        <v>0.8138950624744461</v>
      </c>
      <c r="P196">
        <v>110.62439999999999</v>
      </c>
      <c r="Q196">
        <v>1.2871097459659621E-2</v>
      </c>
      <c r="R196">
        <f t="shared" ref="R196:R259" si="68">P196*Q196</f>
        <v>1.4238574338163696</v>
      </c>
      <c r="S196">
        <f t="shared" si="54"/>
        <v>-1.4369567309234443</v>
      </c>
      <c r="T196">
        <f t="shared" si="55"/>
        <v>1.528464148831532</v>
      </c>
      <c r="U196">
        <f t="shared" si="63"/>
        <v>2.0169654074931209</v>
      </c>
      <c r="W196">
        <v>88.854479999999995</v>
      </c>
      <c r="X196">
        <v>0.23348722914313572</v>
      </c>
      <c r="Y196">
        <f t="shared" ref="Y196:Y259" si="69">W196*X196</f>
        <v>20.74638633215417</v>
      </c>
      <c r="Z196">
        <f t="shared" si="56"/>
        <v>-0.824969640688622</v>
      </c>
      <c r="AA196">
        <f t="shared" si="57"/>
        <v>2.1404512390663544</v>
      </c>
      <c r="AB196">
        <f t="shared" si="64"/>
        <v>0.13173877556957914</v>
      </c>
      <c r="AE196">
        <v>89.516840000000002</v>
      </c>
      <c r="AF196">
        <v>0.35755435775324884</v>
      </c>
      <c r="AG196">
        <f t="shared" ref="AG196:AG259" si="70">AE196*AF196</f>
        <v>32.00713623430034</v>
      </c>
      <c r="AH196">
        <f t="shared" si="58"/>
        <v>-1.8130457468422456</v>
      </c>
      <c r="AI196">
        <f t="shared" si="59"/>
        <v>1.1523751329127307</v>
      </c>
      <c r="AJ196">
        <f t="shared" si="65"/>
        <v>0.23795093424831038</v>
      </c>
      <c r="AL196">
        <f t="shared" ref="AL196:AL259" si="71">AG196+Y196+R196+K196+D196</f>
        <v>91.411786388560699</v>
      </c>
      <c r="AM196">
        <f t="shared" si="60"/>
        <v>-2.9654208797549764</v>
      </c>
    </row>
    <row r="197" spans="1:39" x14ac:dyDescent="0.35">
      <c r="A197" s="2">
        <v>42430</v>
      </c>
      <c r="B197">
        <v>101.25790000000001</v>
      </c>
      <c r="C197">
        <v>0.21785599519149887</v>
      </c>
      <c r="D197">
        <f t="shared" si="66"/>
        <v>22.059640575501273</v>
      </c>
      <c r="E197">
        <f t="shared" ref="E197:E260" si="72">((B197/B196)-1)*100</f>
        <v>5.2712834650793905</v>
      </c>
      <c r="F197">
        <f t="shared" ref="F197:F260" si="73">ABS(E197-$AM197)</f>
        <v>0.11597572107608922</v>
      </c>
      <c r="G197">
        <f t="shared" si="61"/>
        <v>1.527633389717864</v>
      </c>
      <c r="I197">
        <v>94.624440000000007</v>
      </c>
      <c r="J197">
        <v>0.17823132045245699</v>
      </c>
      <c r="K197">
        <f t="shared" si="67"/>
        <v>16.865038888274292</v>
      </c>
      <c r="L197">
        <f t="shared" ref="L197:L260" si="74">((I197/I196)-1)*100</f>
        <v>3.5976430945097615</v>
      </c>
      <c r="M197">
        <f t="shared" ref="M197:M260" si="75">ABS(L197-$AM197)</f>
        <v>1.5576646494935398</v>
      </c>
      <c r="N197">
        <f t="shared" si="62"/>
        <v>1.2464003783296933</v>
      </c>
      <c r="P197">
        <v>115.16289999999999</v>
      </c>
      <c r="Q197">
        <v>1.2871097459659621E-2</v>
      </c>
      <c r="R197">
        <f t="shared" si="68"/>
        <v>1.4822729096370348</v>
      </c>
      <c r="S197">
        <f t="shared" ref="S197:S260" si="76">((P197/P196)-1)*100</f>
        <v>4.1026211215608788</v>
      </c>
      <c r="T197">
        <f t="shared" ref="T197:T260" si="77">ABS(S197-$AM197)</f>
        <v>1.0526866224424225</v>
      </c>
      <c r="U197">
        <f t="shared" si="63"/>
        <v>0.47577752638910953</v>
      </c>
      <c r="W197">
        <v>95.314999999999998</v>
      </c>
      <c r="X197">
        <v>0.23348722914313572</v>
      </c>
      <c r="Y197">
        <f t="shared" si="69"/>
        <v>22.254835245777979</v>
      </c>
      <c r="Z197">
        <f t="shared" ref="Z197:Z260" si="78">((W197/W196)-1)*100</f>
        <v>7.2708995652217112</v>
      </c>
      <c r="AA197">
        <f t="shared" ref="AA197:AA260" si="79">ABS(Z197-$AM197)</f>
        <v>2.1155918212184099</v>
      </c>
      <c r="AB197">
        <f t="shared" si="64"/>
        <v>2.4859417847944432E-2</v>
      </c>
      <c r="AE197">
        <v>93.587329999999994</v>
      </c>
      <c r="AF197">
        <v>0.35755435775324884</v>
      </c>
      <c r="AG197">
        <f t="shared" si="70"/>
        <v>33.462557671991355</v>
      </c>
      <c r="AH197">
        <f t="shared" ref="AH197:AH260" si="80">((AE197/AE196)-1)*100</f>
        <v>4.5471779388101652</v>
      </c>
      <c r="AI197">
        <f t="shared" ref="AI197:AI260" si="81">ABS(AH197-$AM197)</f>
        <v>0.60812980519313609</v>
      </c>
      <c r="AJ197">
        <f t="shared" si="65"/>
        <v>0.54424532771959466</v>
      </c>
      <c r="AL197">
        <f t="shared" si="71"/>
        <v>96.124345291181925</v>
      </c>
      <c r="AM197">
        <f t="shared" ref="AM197:AM260" si="82">((AL197/AL196)-1)*100</f>
        <v>5.1553077440033013</v>
      </c>
    </row>
    <row r="198" spans="1:39" x14ac:dyDescent="0.35">
      <c r="A198" s="2">
        <v>42461</v>
      </c>
      <c r="B198">
        <v>100.8351</v>
      </c>
      <c r="C198">
        <v>0.21785599519149887</v>
      </c>
      <c r="D198">
        <f t="shared" si="66"/>
        <v>21.967531060734306</v>
      </c>
      <c r="E198">
        <f t="shared" si="72"/>
        <v>-0.41754766788567599</v>
      </c>
      <c r="F198">
        <f t="shared" si="73"/>
        <v>0.48887529130677843</v>
      </c>
      <c r="G198">
        <f t="shared" ref="G198:G261" si="83">ABS(F198-F197)</f>
        <v>0.3728995702306892</v>
      </c>
      <c r="I198">
        <v>93.356160000000003</v>
      </c>
      <c r="J198">
        <v>0.17823132045245699</v>
      </c>
      <c r="K198">
        <f t="shared" si="67"/>
        <v>16.638991669170846</v>
      </c>
      <c r="L198">
        <f t="shared" si="74"/>
        <v>-1.3403302571724618</v>
      </c>
      <c r="M198">
        <f t="shared" si="75"/>
        <v>1.4116578805935642</v>
      </c>
      <c r="N198">
        <f t="shared" ref="N198:N261" si="84">ABS(M198-M197)</f>
        <v>0.14600676889997555</v>
      </c>
      <c r="P198">
        <v>117.1934</v>
      </c>
      <c r="Q198">
        <v>1.2871097459659621E-2</v>
      </c>
      <c r="R198">
        <f t="shared" si="68"/>
        <v>1.5084076730288738</v>
      </c>
      <c r="S198">
        <f t="shared" si="76"/>
        <v>1.7631546270543863</v>
      </c>
      <c r="T198">
        <f t="shared" si="77"/>
        <v>1.6918270036332839</v>
      </c>
      <c r="U198">
        <f t="shared" ref="U198:U261" si="85">ABS(T198-T197)</f>
        <v>0.63914038119086136</v>
      </c>
      <c r="W198">
        <v>95.963620000000006</v>
      </c>
      <c r="X198">
        <v>0.23348722914313572</v>
      </c>
      <c r="Y198">
        <f t="shared" si="69"/>
        <v>22.406279732344803</v>
      </c>
      <c r="Z198">
        <f t="shared" si="78"/>
        <v>0.68050149504275126</v>
      </c>
      <c r="AA198">
        <f t="shared" si="79"/>
        <v>0.60917387162164882</v>
      </c>
      <c r="AB198">
        <f t="shared" ref="AB198:AB261" si="86">ABS(AA198-AA197)</f>
        <v>1.5064179495967611</v>
      </c>
      <c r="AE198">
        <v>94.172250000000005</v>
      </c>
      <c r="AF198">
        <v>0.35755435775324884</v>
      </c>
      <c r="AG198">
        <f t="shared" si="70"/>
        <v>33.671698366928389</v>
      </c>
      <c r="AH198">
        <f t="shared" si="80"/>
        <v>0.62499913182694211</v>
      </c>
      <c r="AI198">
        <f t="shared" si="81"/>
        <v>0.55367150840583967</v>
      </c>
      <c r="AJ198">
        <f t="shared" ref="AJ198:AJ261" si="87">ABS(AI198-AI197)</f>
        <v>5.4458296787296412E-2</v>
      </c>
      <c r="AL198">
        <f t="shared" si="71"/>
        <v>96.192908502207217</v>
      </c>
      <c r="AM198">
        <f t="shared" si="82"/>
        <v>7.1327623421102437E-2</v>
      </c>
    </row>
    <row r="199" spans="1:39" x14ac:dyDescent="0.35">
      <c r="A199" s="2">
        <v>42491</v>
      </c>
      <c r="B199">
        <v>101.83369999999999</v>
      </c>
      <c r="C199">
        <v>0.21785599519149887</v>
      </c>
      <c r="D199">
        <f t="shared" si="66"/>
        <v>22.185082057532536</v>
      </c>
      <c r="E199">
        <f t="shared" si="72"/>
        <v>0.99032975620592101</v>
      </c>
      <c r="F199">
        <f t="shared" si="73"/>
        <v>1.0291252604490264</v>
      </c>
      <c r="G199">
        <f t="shared" si="83"/>
        <v>0.54024996914224799</v>
      </c>
      <c r="I199">
        <v>91.426169999999999</v>
      </c>
      <c r="J199">
        <v>0.17823132045245699</v>
      </c>
      <c r="K199">
        <f t="shared" si="67"/>
        <v>16.295007003010809</v>
      </c>
      <c r="L199">
        <f t="shared" si="74"/>
        <v>-2.0673408160747031</v>
      </c>
      <c r="M199">
        <f t="shared" si="75"/>
        <v>2.0285453118315977</v>
      </c>
      <c r="N199">
        <f t="shared" si="84"/>
        <v>0.61688743123803347</v>
      </c>
      <c r="P199">
        <v>114.1587</v>
      </c>
      <c r="Q199">
        <v>1.2871097459659621E-2</v>
      </c>
      <c r="R199">
        <f t="shared" si="68"/>
        <v>1.4693477535680448</v>
      </c>
      <c r="S199">
        <f t="shared" si="76"/>
        <v>-2.5894802949654183</v>
      </c>
      <c r="T199">
        <f t="shared" si="77"/>
        <v>2.5506847907223129</v>
      </c>
      <c r="U199">
        <f t="shared" si="85"/>
        <v>0.85885778708902905</v>
      </c>
      <c r="W199">
        <v>99.153909999999996</v>
      </c>
      <c r="X199">
        <v>0.23348722914313572</v>
      </c>
      <c r="Y199">
        <f t="shared" si="69"/>
        <v>23.151171704607854</v>
      </c>
      <c r="Z199">
        <f t="shared" si="78"/>
        <v>3.3244785888652206</v>
      </c>
      <c r="AA199">
        <f t="shared" si="79"/>
        <v>3.363274093108326</v>
      </c>
      <c r="AB199">
        <f t="shared" si="86"/>
        <v>2.7541002214866772</v>
      </c>
      <c r="AE199">
        <v>92.447429999999997</v>
      </c>
      <c r="AF199">
        <v>0.35755435775324884</v>
      </c>
      <c r="AG199">
        <f t="shared" si="70"/>
        <v>33.054981459588426</v>
      </c>
      <c r="AH199">
        <f t="shared" si="80"/>
        <v>-1.8315586597962841</v>
      </c>
      <c r="AI199">
        <f t="shared" si="81"/>
        <v>1.7927631555531787</v>
      </c>
      <c r="AJ199">
        <f t="shared" si="87"/>
        <v>1.239091647147339</v>
      </c>
      <c r="AL199">
        <f t="shared" si="71"/>
        <v>96.155589978307674</v>
      </c>
      <c r="AM199">
        <f t="shared" si="82"/>
        <v>-3.8795504243105405E-2</v>
      </c>
    </row>
    <row r="200" spans="1:39" x14ac:dyDescent="0.35">
      <c r="A200" s="2">
        <v>42522</v>
      </c>
      <c r="B200">
        <v>100.5072</v>
      </c>
      <c r="C200">
        <v>0.21785599519149887</v>
      </c>
      <c r="D200">
        <f t="shared" si="66"/>
        <v>21.896096079911015</v>
      </c>
      <c r="E200">
        <f t="shared" si="72"/>
        <v>-1.3026139676747484</v>
      </c>
      <c r="F200">
        <f t="shared" si="73"/>
        <v>0.90768464396467907</v>
      </c>
      <c r="G200">
        <f t="shared" si="83"/>
        <v>0.12144061648434734</v>
      </c>
      <c r="I200">
        <v>92.894360000000006</v>
      </c>
      <c r="J200">
        <v>0.17823132045245699</v>
      </c>
      <c r="K200">
        <f t="shared" si="67"/>
        <v>16.556684445385905</v>
      </c>
      <c r="L200">
        <f t="shared" si="74"/>
        <v>1.6058749918103299</v>
      </c>
      <c r="M200">
        <f t="shared" si="75"/>
        <v>2.0008043155203992</v>
      </c>
      <c r="N200">
        <f t="shared" si="84"/>
        <v>2.7740996311198529E-2</v>
      </c>
      <c r="P200">
        <v>111.2101</v>
      </c>
      <c r="Q200">
        <v>1.2871097459659621E-2</v>
      </c>
      <c r="R200">
        <f t="shared" si="68"/>
        <v>1.4313960355984923</v>
      </c>
      <c r="S200">
        <f t="shared" si="76"/>
        <v>-2.5828955655591734</v>
      </c>
      <c r="T200">
        <f t="shared" si="77"/>
        <v>2.1879662418491042</v>
      </c>
      <c r="U200">
        <f t="shared" si="85"/>
        <v>0.36271854887320876</v>
      </c>
      <c r="W200">
        <v>99.402789999999996</v>
      </c>
      <c r="X200">
        <v>0.23348722914313572</v>
      </c>
      <c r="Y200">
        <f t="shared" si="69"/>
        <v>23.209282006197</v>
      </c>
      <c r="Z200">
        <f t="shared" si="78"/>
        <v>0.25100371735213844</v>
      </c>
      <c r="AA200">
        <f t="shared" si="79"/>
        <v>0.64593304106220772</v>
      </c>
      <c r="AB200">
        <f t="shared" si="86"/>
        <v>2.7173410520461183</v>
      </c>
      <c r="AE200">
        <v>91.405360000000002</v>
      </c>
      <c r="AF200">
        <v>0.35755435775324884</v>
      </c>
      <c r="AG200">
        <f t="shared" si="70"/>
        <v>32.682384790004505</v>
      </c>
      <c r="AH200">
        <f t="shared" si="80"/>
        <v>-1.1272027789198669</v>
      </c>
      <c r="AI200">
        <f t="shared" si="81"/>
        <v>0.73227345520979759</v>
      </c>
      <c r="AJ200">
        <f t="shared" si="87"/>
        <v>1.0604897003433811</v>
      </c>
      <c r="AL200">
        <f t="shared" si="71"/>
        <v>95.775843357096917</v>
      </c>
      <c r="AM200">
        <f t="shared" si="82"/>
        <v>-0.39492932371006928</v>
      </c>
    </row>
    <row r="201" spans="1:39" x14ac:dyDescent="0.35">
      <c r="A201" s="2">
        <v>42552</v>
      </c>
      <c r="B201">
        <v>102.62909999999999</v>
      </c>
      <c r="C201">
        <v>0.21785599519149887</v>
      </c>
      <c r="D201">
        <f t="shared" si="66"/>
        <v>22.358364716107854</v>
      </c>
      <c r="E201">
        <f t="shared" si="72"/>
        <v>2.1111920340035395</v>
      </c>
      <c r="F201">
        <f t="shared" si="73"/>
        <v>0.69617483279937886</v>
      </c>
      <c r="G201">
        <f t="shared" si="83"/>
        <v>0.21150981116530021</v>
      </c>
      <c r="I201">
        <v>96.264510000000001</v>
      </c>
      <c r="J201">
        <v>0.17823132045245699</v>
      </c>
      <c r="K201">
        <f t="shared" si="67"/>
        <v>17.157350730008751</v>
      </c>
      <c r="L201">
        <f t="shared" si="74"/>
        <v>3.6279382300496987</v>
      </c>
      <c r="M201">
        <f t="shared" si="75"/>
        <v>0.82057136324678037</v>
      </c>
      <c r="N201">
        <f t="shared" si="84"/>
        <v>1.1802329522736188</v>
      </c>
      <c r="P201">
        <v>110.5919</v>
      </c>
      <c r="Q201">
        <v>1.2871097459659621E-2</v>
      </c>
      <c r="R201">
        <f t="shared" si="68"/>
        <v>1.4234391231489307</v>
      </c>
      <c r="S201">
        <f t="shared" si="76"/>
        <v>-0.55588476226530181</v>
      </c>
      <c r="T201">
        <f t="shared" si="77"/>
        <v>3.3632516290682202</v>
      </c>
      <c r="U201">
        <f t="shared" si="85"/>
        <v>1.175285387219116</v>
      </c>
      <c r="W201">
        <v>102.63079999999999</v>
      </c>
      <c r="X201">
        <v>0.23348722914313572</v>
      </c>
      <c r="Y201">
        <f t="shared" si="69"/>
        <v>23.962981116743332</v>
      </c>
      <c r="Z201">
        <f t="shared" si="78"/>
        <v>3.2474038203555322</v>
      </c>
      <c r="AA201">
        <f t="shared" si="79"/>
        <v>0.44003695355261385</v>
      </c>
      <c r="AB201">
        <f t="shared" si="86"/>
        <v>0.20589608750959387</v>
      </c>
      <c r="AE201">
        <v>93.866810000000001</v>
      </c>
      <c r="AF201">
        <v>0.35755435775324884</v>
      </c>
      <c r="AG201">
        <f t="shared" si="70"/>
        <v>33.562486963896234</v>
      </c>
      <c r="AH201">
        <f t="shared" si="80"/>
        <v>2.6928945961155915</v>
      </c>
      <c r="AI201">
        <f t="shared" si="81"/>
        <v>0.1144722706873269</v>
      </c>
      <c r="AJ201">
        <f t="shared" si="87"/>
        <v>0.61780118452247068</v>
      </c>
      <c r="AL201">
        <f t="shared" si="71"/>
        <v>98.46462264990511</v>
      </c>
      <c r="AM201">
        <f t="shared" si="82"/>
        <v>2.8073668668029184</v>
      </c>
    </row>
    <row r="202" spans="1:39" x14ac:dyDescent="0.35">
      <c r="A202" s="2">
        <v>42583</v>
      </c>
      <c r="B202">
        <v>101.4123</v>
      </c>
      <c r="C202">
        <v>0.21785599519149887</v>
      </c>
      <c r="D202">
        <f t="shared" si="66"/>
        <v>22.093277541158841</v>
      </c>
      <c r="E202">
        <f t="shared" si="72"/>
        <v>-1.185628637491698</v>
      </c>
      <c r="F202">
        <f t="shared" si="73"/>
        <v>2.3618803826624291</v>
      </c>
      <c r="G202">
        <f t="shared" si="83"/>
        <v>1.6657055498630502</v>
      </c>
      <c r="I202">
        <v>99.002880000000005</v>
      </c>
      <c r="J202">
        <v>0.17823132045245699</v>
      </c>
      <c r="K202">
        <f t="shared" si="67"/>
        <v>17.645414030996147</v>
      </c>
      <c r="L202">
        <f t="shared" si="74"/>
        <v>2.8446309029153127</v>
      </c>
      <c r="M202">
        <f t="shared" si="75"/>
        <v>1.6683791577445817</v>
      </c>
      <c r="N202">
        <f t="shared" si="84"/>
        <v>0.8478077944978013</v>
      </c>
      <c r="P202">
        <v>108.61060000000001</v>
      </c>
      <c r="Q202">
        <v>1.2871097459659621E-2</v>
      </c>
      <c r="R202">
        <f t="shared" si="68"/>
        <v>1.3979376177521072</v>
      </c>
      <c r="S202">
        <f t="shared" si="76"/>
        <v>-1.7915416951874374</v>
      </c>
      <c r="T202">
        <f t="shared" si="77"/>
        <v>2.9677934403581685</v>
      </c>
      <c r="U202">
        <f t="shared" si="85"/>
        <v>0.39545818871005167</v>
      </c>
      <c r="W202">
        <v>101.73180000000001</v>
      </c>
      <c r="X202">
        <v>0.23348722914313572</v>
      </c>
      <c r="Y202">
        <f t="shared" si="69"/>
        <v>23.753076097743655</v>
      </c>
      <c r="Z202">
        <f t="shared" si="78"/>
        <v>-0.87595536622533388</v>
      </c>
      <c r="AA202">
        <f t="shared" si="79"/>
        <v>2.0522071113960649</v>
      </c>
      <c r="AB202">
        <f t="shared" si="86"/>
        <v>1.6121701578434511</v>
      </c>
      <c r="AE202">
        <v>97.140780000000007</v>
      </c>
      <c r="AF202">
        <v>0.35755435775324884</v>
      </c>
      <c r="AG202">
        <f t="shared" si="70"/>
        <v>34.733109204549642</v>
      </c>
      <c r="AH202">
        <f t="shared" si="80"/>
        <v>3.4878888501697292</v>
      </c>
      <c r="AI202">
        <f t="shared" si="81"/>
        <v>2.3116371049989981</v>
      </c>
      <c r="AJ202">
        <f t="shared" si="87"/>
        <v>2.1971648343116712</v>
      </c>
      <c r="AL202">
        <f t="shared" si="71"/>
        <v>99.622814492200391</v>
      </c>
      <c r="AM202">
        <f t="shared" si="82"/>
        <v>1.1762517451707311</v>
      </c>
    </row>
    <row r="203" spans="1:39" x14ac:dyDescent="0.35">
      <c r="A203" s="2">
        <v>42614</v>
      </c>
      <c r="B203">
        <v>100.6156</v>
      </c>
      <c r="C203">
        <v>0.21785599519149887</v>
      </c>
      <c r="D203">
        <f t="shared" si="66"/>
        <v>21.919711669789773</v>
      </c>
      <c r="E203">
        <f t="shared" si="72"/>
        <v>-0.78560490196948329</v>
      </c>
      <c r="F203">
        <f t="shared" si="73"/>
        <v>1.5210282225049276</v>
      </c>
      <c r="G203">
        <f t="shared" si="83"/>
        <v>0.84085216015750142</v>
      </c>
      <c r="I203">
        <v>100.03740000000001</v>
      </c>
      <c r="J203">
        <v>0.17823132045245699</v>
      </c>
      <c r="K203">
        <f t="shared" si="67"/>
        <v>17.829797896630623</v>
      </c>
      <c r="L203">
        <f t="shared" si="74"/>
        <v>1.0449392987355477</v>
      </c>
      <c r="M203">
        <f t="shared" si="75"/>
        <v>0.30951597820010335</v>
      </c>
      <c r="N203">
        <f t="shared" si="84"/>
        <v>1.3588631795444783</v>
      </c>
      <c r="P203">
        <v>110.3228</v>
      </c>
      <c r="Q203">
        <v>1.2871097459659621E-2</v>
      </c>
      <c r="R203">
        <f t="shared" si="68"/>
        <v>1.4199755108225365</v>
      </c>
      <c r="S203">
        <f t="shared" si="76"/>
        <v>1.5764575465009756</v>
      </c>
      <c r="T203">
        <f t="shared" si="77"/>
        <v>0.84103422596553123</v>
      </c>
      <c r="U203">
        <f t="shared" si="85"/>
        <v>2.1267592143926373</v>
      </c>
      <c r="W203">
        <v>101.41200000000001</v>
      </c>
      <c r="X203">
        <v>0.23348722914313572</v>
      </c>
      <c r="Y203">
        <f t="shared" si="69"/>
        <v>23.67840688186368</v>
      </c>
      <c r="Z203">
        <f t="shared" si="78"/>
        <v>-0.31435598308493518</v>
      </c>
      <c r="AA203">
        <f t="shared" si="79"/>
        <v>1.0497793036203795</v>
      </c>
      <c r="AB203">
        <f t="shared" si="86"/>
        <v>1.0024278077756854</v>
      </c>
      <c r="AE203">
        <v>99.306780000000003</v>
      </c>
      <c r="AF203">
        <v>0.35755435775324884</v>
      </c>
      <c r="AG203">
        <f t="shared" si="70"/>
        <v>35.507571943443175</v>
      </c>
      <c r="AH203">
        <f t="shared" si="80"/>
        <v>2.2297535597305185</v>
      </c>
      <c r="AI203">
        <f t="shared" si="81"/>
        <v>1.4943302391950741</v>
      </c>
      <c r="AJ203">
        <f t="shared" si="87"/>
        <v>0.81730686580392398</v>
      </c>
      <c r="AL203">
        <f t="shared" si="71"/>
        <v>100.3554639025498</v>
      </c>
      <c r="AM203">
        <f t="shared" si="82"/>
        <v>0.73542332053544435</v>
      </c>
    </row>
    <row r="204" spans="1:39" x14ac:dyDescent="0.35">
      <c r="A204" s="2">
        <v>42644</v>
      </c>
      <c r="B204">
        <v>98.118409999999997</v>
      </c>
      <c r="C204">
        <v>0.21785599519149887</v>
      </c>
      <c r="D204">
        <f t="shared" si="66"/>
        <v>21.375683857157515</v>
      </c>
      <c r="E204">
        <f t="shared" si="72"/>
        <v>-2.4819113537065896</v>
      </c>
      <c r="F204">
        <f t="shared" si="73"/>
        <v>3.4191248110273298</v>
      </c>
      <c r="G204">
        <f t="shared" si="83"/>
        <v>1.8980965885224022</v>
      </c>
      <c r="I204">
        <v>100.9118</v>
      </c>
      <c r="J204">
        <v>0.17823132045245699</v>
      </c>
      <c r="K204">
        <f t="shared" si="67"/>
        <v>17.985643363234249</v>
      </c>
      <c r="L204">
        <f t="shared" si="74"/>
        <v>0.87407309666185373</v>
      </c>
      <c r="M204">
        <f t="shared" si="75"/>
        <v>6.3140360658886507E-2</v>
      </c>
      <c r="N204">
        <f t="shared" si="84"/>
        <v>0.24637561754121684</v>
      </c>
      <c r="P204">
        <v>109.526</v>
      </c>
      <c r="Q204">
        <v>1.2871097459659621E-2</v>
      </c>
      <c r="R204">
        <f t="shared" si="68"/>
        <v>1.4097198203666796</v>
      </c>
      <c r="S204">
        <f t="shared" si="76"/>
        <v>-0.72224417799403584</v>
      </c>
      <c r="T204">
        <f t="shared" si="77"/>
        <v>1.6594576353147761</v>
      </c>
      <c r="U204">
        <f t="shared" si="85"/>
        <v>0.81842340934924485</v>
      </c>
      <c r="W204">
        <v>105.56310000000001</v>
      </c>
      <c r="X204">
        <v>0.23348722914313572</v>
      </c>
      <c r="Y204">
        <f t="shared" si="69"/>
        <v>24.647635718759751</v>
      </c>
      <c r="Z204">
        <f t="shared" si="78"/>
        <v>4.0933025677434509</v>
      </c>
      <c r="AA204">
        <f t="shared" si="79"/>
        <v>3.1560891104227107</v>
      </c>
      <c r="AB204">
        <f t="shared" si="86"/>
        <v>2.1063098068023312</v>
      </c>
      <c r="AE204">
        <v>100.3409</v>
      </c>
      <c r="AF204">
        <v>0.35755435775324884</v>
      </c>
      <c r="AG204">
        <f t="shared" si="70"/>
        <v>35.877326055882968</v>
      </c>
      <c r="AH204">
        <f t="shared" si="80"/>
        <v>1.0413387686117659</v>
      </c>
      <c r="AI204">
        <f t="shared" si="81"/>
        <v>0.10412531129102565</v>
      </c>
      <c r="AJ204">
        <f t="shared" si="87"/>
        <v>1.3902049279040485</v>
      </c>
      <c r="AL204">
        <f t="shared" si="71"/>
        <v>101.29600881540117</v>
      </c>
      <c r="AM204">
        <f t="shared" si="82"/>
        <v>0.93721345732074024</v>
      </c>
    </row>
    <row r="205" spans="1:39" x14ac:dyDescent="0.35">
      <c r="A205" s="2">
        <v>42675</v>
      </c>
      <c r="B205">
        <v>91.298869999999994</v>
      </c>
      <c r="C205">
        <v>0.21785599519149887</v>
      </c>
      <c r="D205">
        <f t="shared" si="66"/>
        <v>19.890006183709279</v>
      </c>
      <c r="E205">
        <f t="shared" si="72"/>
        <v>-6.9503164594697413</v>
      </c>
      <c r="F205">
        <f t="shared" si="73"/>
        <v>4.9063439351946796</v>
      </c>
      <c r="G205">
        <f t="shared" si="83"/>
        <v>1.4872191241673498</v>
      </c>
      <c r="I205">
        <v>98.106740000000002</v>
      </c>
      <c r="J205">
        <v>0.17823132045245699</v>
      </c>
      <c r="K205">
        <f t="shared" si="67"/>
        <v>17.485693815485881</v>
      </c>
      <c r="L205">
        <f t="shared" si="74"/>
        <v>-2.7797145626180408</v>
      </c>
      <c r="M205">
        <f t="shared" si="75"/>
        <v>0.73574203834297913</v>
      </c>
      <c r="N205">
        <f t="shared" si="84"/>
        <v>0.67260167768409262</v>
      </c>
      <c r="P205">
        <v>107.7013</v>
      </c>
      <c r="Q205">
        <v>1.2871097459659621E-2</v>
      </c>
      <c r="R205">
        <f t="shared" si="68"/>
        <v>1.3862339288320387</v>
      </c>
      <c r="S205">
        <f t="shared" si="76"/>
        <v>-1.6659971148403008</v>
      </c>
      <c r="T205">
        <f t="shared" si="77"/>
        <v>0.37797540943476093</v>
      </c>
      <c r="U205">
        <f t="shared" si="85"/>
        <v>1.2814822258800151</v>
      </c>
      <c r="W205">
        <v>107.26609999999999</v>
      </c>
      <c r="X205">
        <v>0.23348722914313572</v>
      </c>
      <c r="Y205">
        <f t="shared" si="69"/>
        <v>25.04526446999051</v>
      </c>
      <c r="Z205">
        <f t="shared" si="78"/>
        <v>1.6132531159088526</v>
      </c>
      <c r="AA205">
        <f t="shared" si="79"/>
        <v>3.6572256401839143</v>
      </c>
      <c r="AB205">
        <f t="shared" si="86"/>
        <v>0.5011365297612036</v>
      </c>
      <c r="AE205">
        <v>99.057239999999993</v>
      </c>
      <c r="AF205">
        <v>0.35755435775324884</v>
      </c>
      <c r="AG205">
        <f t="shared" si="70"/>
        <v>35.418347829009427</v>
      </c>
      <c r="AH205">
        <f t="shared" si="80"/>
        <v>-1.2792988701516683</v>
      </c>
      <c r="AI205">
        <f t="shared" si="81"/>
        <v>0.76467365412339339</v>
      </c>
      <c r="AJ205">
        <f t="shared" si="87"/>
        <v>0.66054834283236774</v>
      </c>
      <c r="AL205">
        <f t="shared" si="71"/>
        <v>99.225546227027124</v>
      </c>
      <c r="AM205">
        <f t="shared" si="82"/>
        <v>-2.0439725242750617</v>
      </c>
    </row>
    <row r="206" spans="1:39" x14ac:dyDescent="0.35">
      <c r="A206" s="2">
        <v>42705</v>
      </c>
      <c r="B206">
        <v>95.221490000000003</v>
      </c>
      <c r="C206">
        <v>0.21785599519149887</v>
      </c>
      <c r="D206">
        <f t="shared" si="66"/>
        <v>20.744572467567359</v>
      </c>
      <c r="E206">
        <f t="shared" si="72"/>
        <v>4.2964606243209857</v>
      </c>
      <c r="F206">
        <f t="shared" si="73"/>
        <v>0.3756296556778782</v>
      </c>
      <c r="G206">
        <f t="shared" si="83"/>
        <v>4.5307142795168014</v>
      </c>
      <c r="I206">
        <v>103.0804</v>
      </c>
      <c r="J206">
        <v>0.17823132045245699</v>
      </c>
      <c r="K206">
        <f t="shared" si="67"/>
        <v>18.372155804767448</v>
      </c>
      <c r="L206">
        <f t="shared" si="74"/>
        <v>5.0696414945599066</v>
      </c>
      <c r="M206">
        <f t="shared" si="75"/>
        <v>0.3975512145610427</v>
      </c>
      <c r="N206">
        <f t="shared" si="84"/>
        <v>0.33819082378193643</v>
      </c>
      <c r="P206">
        <v>107.38030000000001</v>
      </c>
      <c r="Q206">
        <v>1.2871097459659621E-2</v>
      </c>
      <c r="R206">
        <f t="shared" si="68"/>
        <v>1.382102306547488</v>
      </c>
      <c r="S206">
        <f t="shared" si="76"/>
        <v>-0.29804654168519296</v>
      </c>
      <c r="T206">
        <f t="shared" si="77"/>
        <v>4.9701368216840569</v>
      </c>
      <c r="U206">
        <f t="shared" si="85"/>
        <v>4.592161412249296</v>
      </c>
      <c r="W206">
        <v>113.6965</v>
      </c>
      <c r="X206">
        <v>0.23348722914313572</v>
      </c>
      <c r="Y206">
        <f t="shared" si="69"/>
        <v>26.546680748272529</v>
      </c>
      <c r="Z206">
        <f t="shared" si="78"/>
        <v>5.9948110353597261</v>
      </c>
      <c r="AA206">
        <f t="shared" si="79"/>
        <v>1.3227207553608622</v>
      </c>
      <c r="AB206">
        <f t="shared" si="86"/>
        <v>2.3345048848230521</v>
      </c>
      <c r="AE206">
        <v>102.96599999999999</v>
      </c>
      <c r="AF206">
        <v>0.35755435775324884</v>
      </c>
      <c r="AG206">
        <f t="shared" si="70"/>
        <v>36.815942000421018</v>
      </c>
      <c r="AH206">
        <f t="shared" si="80"/>
        <v>3.9459609413708741</v>
      </c>
      <c r="AI206">
        <f t="shared" si="81"/>
        <v>0.7261293386279899</v>
      </c>
      <c r="AJ206">
        <f t="shared" si="87"/>
        <v>3.8544315495403492E-2</v>
      </c>
      <c r="AL206">
        <f t="shared" si="71"/>
        <v>103.86145332757584</v>
      </c>
      <c r="AM206">
        <f t="shared" si="82"/>
        <v>4.6720902799988639</v>
      </c>
    </row>
    <row r="207" spans="1:39" x14ac:dyDescent="0.35">
      <c r="A207" s="2">
        <v>42736</v>
      </c>
      <c r="B207">
        <v>99.627840000000006</v>
      </c>
      <c r="C207">
        <v>0.21804811962485227</v>
      </c>
      <c r="D207">
        <f t="shared" si="66"/>
        <v>21.723663174285644</v>
      </c>
      <c r="E207">
        <f t="shared" si="72"/>
        <v>4.6274743232856297</v>
      </c>
      <c r="F207">
        <f t="shared" si="73"/>
        <v>2.2241003005890603</v>
      </c>
      <c r="G207">
        <f t="shared" si="83"/>
        <v>1.8484706449111821</v>
      </c>
      <c r="I207">
        <v>105.0866</v>
      </c>
      <c r="J207">
        <v>0.17903159254399911</v>
      </c>
      <c r="K207">
        <f t="shared" si="67"/>
        <v>18.813821353034218</v>
      </c>
      <c r="L207">
        <f t="shared" si="74"/>
        <v>1.9462477832837388</v>
      </c>
      <c r="M207">
        <f t="shared" si="75"/>
        <v>0.45712623941283059</v>
      </c>
      <c r="N207">
        <f t="shared" si="84"/>
        <v>5.9575024851787894E-2</v>
      </c>
      <c r="P207">
        <v>109.825</v>
      </c>
      <c r="Q207">
        <v>1.3054496947234226E-2</v>
      </c>
      <c r="R207">
        <f t="shared" si="68"/>
        <v>1.4337101272299988</v>
      </c>
      <c r="S207">
        <f t="shared" si="76"/>
        <v>2.2766745855617776</v>
      </c>
      <c r="T207">
        <f t="shared" si="77"/>
        <v>0.12669943713479181</v>
      </c>
      <c r="U207">
        <f t="shared" si="85"/>
        <v>4.8434373845492651</v>
      </c>
      <c r="W207">
        <v>117.18089999999999</v>
      </c>
      <c r="X207">
        <v>0.23287949912416692</v>
      </c>
      <c r="Y207">
        <f t="shared" si="69"/>
        <v>27.28902929891909</v>
      </c>
      <c r="Z207">
        <f t="shared" si="78"/>
        <v>3.0646501871209653</v>
      </c>
      <c r="AA207">
        <f t="shared" si="79"/>
        <v>0.66127616442439585</v>
      </c>
      <c r="AB207">
        <f t="shared" si="86"/>
        <v>0.66144459093646635</v>
      </c>
      <c r="AE207">
        <v>103.9183</v>
      </c>
      <c r="AF207">
        <v>0.35698629175974744</v>
      </c>
      <c r="AG207">
        <f t="shared" si="70"/>
        <v>37.097408562976966</v>
      </c>
      <c r="AH207">
        <f t="shared" si="80"/>
        <v>0.92486840316221564</v>
      </c>
      <c r="AI207">
        <f t="shared" si="81"/>
        <v>1.4785056195343538</v>
      </c>
      <c r="AJ207">
        <f t="shared" si="87"/>
        <v>0.75237628090636388</v>
      </c>
      <c r="AL207">
        <f t="shared" si="71"/>
        <v>106.35763251644592</v>
      </c>
      <c r="AM207">
        <f t="shared" si="82"/>
        <v>2.4033740226965694</v>
      </c>
    </row>
    <row r="208" spans="1:39" x14ac:dyDescent="0.35">
      <c r="A208" s="2">
        <v>42767</v>
      </c>
      <c r="B208">
        <v>101.1982</v>
      </c>
      <c r="C208">
        <v>0.21804811962485227</v>
      </c>
      <c r="D208">
        <f t="shared" si="66"/>
        <v>22.066077219419725</v>
      </c>
      <c r="E208">
        <f t="shared" si="72"/>
        <v>1.5762260829904617</v>
      </c>
      <c r="F208">
        <f t="shared" si="73"/>
        <v>0.18407201389041283</v>
      </c>
      <c r="G208">
        <f t="shared" si="83"/>
        <v>2.0400282866986474</v>
      </c>
      <c r="I208">
        <v>105.5316</v>
      </c>
      <c r="J208">
        <v>0.17903159254399911</v>
      </c>
      <c r="K208">
        <f t="shared" si="67"/>
        <v>18.893490411716297</v>
      </c>
      <c r="L208">
        <f t="shared" si="74"/>
        <v>0.42346026991071373</v>
      </c>
      <c r="M208">
        <f t="shared" si="75"/>
        <v>0.96869379918933518</v>
      </c>
      <c r="N208">
        <f t="shared" si="84"/>
        <v>0.51156755977650459</v>
      </c>
      <c r="P208">
        <v>111.524</v>
      </c>
      <c r="Q208">
        <v>1.3054496947234226E-2</v>
      </c>
      <c r="R208">
        <f t="shared" si="68"/>
        <v>1.4558897175433498</v>
      </c>
      <c r="S208">
        <f t="shared" si="76"/>
        <v>1.5470066014113382</v>
      </c>
      <c r="T208">
        <f t="shared" si="77"/>
        <v>0.15485253231128926</v>
      </c>
      <c r="U208">
        <f t="shared" si="85"/>
        <v>2.8153095176497445E-2</v>
      </c>
      <c r="W208">
        <v>116.383</v>
      </c>
      <c r="X208">
        <v>0.23287949912416692</v>
      </c>
      <c r="Y208">
        <f t="shared" si="69"/>
        <v>27.103214746567918</v>
      </c>
      <c r="Z208">
        <f t="shared" si="78"/>
        <v>-0.6809130156877119</v>
      </c>
      <c r="AA208">
        <f t="shared" si="79"/>
        <v>2.0730670847877608</v>
      </c>
      <c r="AB208">
        <f t="shared" si="86"/>
        <v>1.411790920363365</v>
      </c>
      <c r="AE208">
        <v>107.342</v>
      </c>
      <c r="AF208">
        <v>0.35698629175974744</v>
      </c>
      <c r="AG208">
        <f t="shared" si="70"/>
        <v>38.31962253007481</v>
      </c>
      <c r="AH208">
        <f t="shared" si="80"/>
        <v>3.2946073983119328</v>
      </c>
      <c r="AI208">
        <f t="shared" si="81"/>
        <v>1.9024533292118839</v>
      </c>
      <c r="AJ208">
        <f t="shared" si="87"/>
        <v>0.42394770967753015</v>
      </c>
      <c r="AL208">
        <f t="shared" si="71"/>
        <v>107.83829462532209</v>
      </c>
      <c r="AM208">
        <f t="shared" si="82"/>
        <v>1.3921540691000489</v>
      </c>
    </row>
    <row r="209" spans="1:39" x14ac:dyDescent="0.35">
      <c r="A209" s="2">
        <v>42795</v>
      </c>
      <c r="B209">
        <v>101.46250000000001</v>
      </c>
      <c r="C209">
        <v>0.21804811962485227</v>
      </c>
      <c r="D209">
        <f t="shared" si="66"/>
        <v>22.123707337436574</v>
      </c>
      <c r="E209">
        <f t="shared" si="72"/>
        <v>0.26117065323296718</v>
      </c>
      <c r="F209">
        <f t="shared" si="73"/>
        <v>0.26051927563612853</v>
      </c>
      <c r="G209">
        <f t="shared" si="83"/>
        <v>7.64472617457157E-2</v>
      </c>
      <c r="I209">
        <v>107.4922</v>
      </c>
      <c r="J209">
        <v>0.17903159254399911</v>
      </c>
      <c r="K209">
        <f t="shared" si="67"/>
        <v>19.244499752058061</v>
      </c>
      <c r="L209">
        <f t="shared" si="74"/>
        <v>1.8578321564346689</v>
      </c>
      <c r="M209">
        <f t="shared" si="75"/>
        <v>1.3361422275655732</v>
      </c>
      <c r="N209">
        <f t="shared" si="84"/>
        <v>0.36744842837623803</v>
      </c>
      <c r="P209">
        <v>113.8289</v>
      </c>
      <c r="Q209">
        <v>1.3054496947234226E-2</v>
      </c>
      <c r="R209">
        <f t="shared" si="68"/>
        <v>1.4859790275570299</v>
      </c>
      <c r="S209">
        <f t="shared" si="76"/>
        <v>2.066730031204056</v>
      </c>
      <c r="T209">
        <f t="shared" si="77"/>
        <v>1.5450401023349603</v>
      </c>
      <c r="U209">
        <f t="shared" si="85"/>
        <v>1.390187570023671</v>
      </c>
      <c r="W209">
        <v>115.5654</v>
      </c>
      <c r="X209">
        <v>0.23287949912416692</v>
      </c>
      <c r="Y209">
        <f t="shared" si="69"/>
        <v>26.912812468083999</v>
      </c>
      <c r="Z209">
        <f t="shared" si="78"/>
        <v>-0.70250809826176708</v>
      </c>
      <c r="AA209">
        <f t="shared" si="79"/>
        <v>1.2241980271308628</v>
      </c>
      <c r="AB209">
        <f t="shared" si="86"/>
        <v>0.84886905765689802</v>
      </c>
      <c r="AE209">
        <v>108.2223</v>
      </c>
      <c r="AF209">
        <v>0.35698629175974744</v>
      </c>
      <c r="AG209">
        <f t="shared" si="70"/>
        <v>38.633877562710914</v>
      </c>
      <c r="AH209">
        <f t="shared" si="80"/>
        <v>0.82008906113171243</v>
      </c>
      <c r="AI209">
        <f t="shared" si="81"/>
        <v>0.29839913226261672</v>
      </c>
      <c r="AJ209">
        <f t="shared" si="87"/>
        <v>1.6040541969492672</v>
      </c>
      <c r="AL209">
        <f t="shared" si="71"/>
        <v>108.40087614784657</v>
      </c>
      <c r="AM209">
        <f t="shared" si="82"/>
        <v>0.52168992886909571</v>
      </c>
    </row>
    <row r="210" spans="1:39" x14ac:dyDescent="0.35">
      <c r="A210" s="2">
        <v>42826</v>
      </c>
      <c r="B210">
        <v>104.503</v>
      </c>
      <c r="C210">
        <v>0.21804811962485227</v>
      </c>
      <c r="D210">
        <f t="shared" si="66"/>
        <v>22.786682645155935</v>
      </c>
      <c r="E210">
        <f t="shared" si="72"/>
        <v>2.9966736478994616</v>
      </c>
      <c r="F210">
        <f t="shared" si="73"/>
        <v>1.8732645588862562</v>
      </c>
      <c r="G210">
        <f t="shared" si="83"/>
        <v>1.6127452832501277</v>
      </c>
      <c r="I210">
        <v>108.8233</v>
      </c>
      <c r="J210">
        <v>0.17903159254399911</v>
      </c>
      <c r="K210">
        <f t="shared" si="67"/>
        <v>19.48280870489338</v>
      </c>
      <c r="L210">
        <f t="shared" si="74"/>
        <v>1.2383224085096511</v>
      </c>
      <c r="M210">
        <f t="shared" si="75"/>
        <v>0.11491331949644579</v>
      </c>
      <c r="N210">
        <f t="shared" si="84"/>
        <v>1.2212289080691274</v>
      </c>
      <c r="P210">
        <v>116.3677</v>
      </c>
      <c r="Q210">
        <v>1.3054496947234226E-2</v>
      </c>
      <c r="R210">
        <f t="shared" si="68"/>
        <v>1.5191217844066682</v>
      </c>
      <c r="S210">
        <f t="shared" si="76"/>
        <v>2.2303650478920467</v>
      </c>
      <c r="T210">
        <f t="shared" si="77"/>
        <v>1.1069559588788414</v>
      </c>
      <c r="U210">
        <f t="shared" si="85"/>
        <v>0.4380841434561189</v>
      </c>
      <c r="W210">
        <v>114.9123</v>
      </c>
      <c r="X210">
        <v>0.23287949912416692</v>
      </c>
      <c r="Y210">
        <f t="shared" si="69"/>
        <v>26.760718867206005</v>
      </c>
      <c r="Z210">
        <f t="shared" si="78"/>
        <v>-0.56513454719145928</v>
      </c>
      <c r="AA210">
        <f t="shared" si="79"/>
        <v>1.6885436362046646</v>
      </c>
      <c r="AB210">
        <f t="shared" si="86"/>
        <v>0.46434560907380185</v>
      </c>
      <c r="AE210">
        <v>109.4421</v>
      </c>
      <c r="AF210">
        <v>0.35698629175974744</v>
      </c>
      <c r="AG210">
        <f t="shared" si="70"/>
        <v>39.069329441399454</v>
      </c>
      <c r="AH210">
        <f t="shared" si="80"/>
        <v>1.1271244466251273</v>
      </c>
      <c r="AI210">
        <f t="shared" si="81"/>
        <v>3.7153576119219878E-3</v>
      </c>
      <c r="AJ210">
        <f t="shared" si="87"/>
        <v>0.29468377465069473</v>
      </c>
      <c r="AL210">
        <f t="shared" si="71"/>
        <v>109.61866144306143</v>
      </c>
      <c r="AM210">
        <f t="shared" si="82"/>
        <v>1.1234090890132054</v>
      </c>
    </row>
    <row r="211" spans="1:39" x14ac:dyDescent="0.35">
      <c r="A211" s="2">
        <v>42856</v>
      </c>
      <c r="B211">
        <v>109.1478</v>
      </c>
      <c r="C211">
        <v>0.21804811962485227</v>
      </c>
      <c r="D211">
        <f t="shared" si="66"/>
        <v>23.799472551189449</v>
      </c>
      <c r="E211">
        <f t="shared" si="72"/>
        <v>4.4446570911839789</v>
      </c>
      <c r="F211">
        <f t="shared" si="73"/>
        <v>0.49519420882218057</v>
      </c>
      <c r="G211">
        <f t="shared" si="83"/>
        <v>1.3780703500640756</v>
      </c>
      <c r="I211">
        <v>113.56270000000001</v>
      </c>
      <c r="J211">
        <v>0.17903159254399911</v>
      </c>
      <c r="K211">
        <f t="shared" si="67"/>
        <v>20.331311034596411</v>
      </c>
      <c r="L211">
        <f t="shared" si="74"/>
        <v>4.3551335054165863</v>
      </c>
      <c r="M211">
        <f t="shared" si="75"/>
        <v>0.40567062305478796</v>
      </c>
      <c r="N211">
        <f t="shared" si="84"/>
        <v>0.29075730355834217</v>
      </c>
      <c r="P211">
        <v>121.2659</v>
      </c>
      <c r="Q211">
        <v>1.3054496947234226E-2</v>
      </c>
      <c r="R211">
        <f t="shared" si="68"/>
        <v>1.583065321353611</v>
      </c>
      <c r="S211">
        <f t="shared" si="76"/>
        <v>4.209243630320092</v>
      </c>
      <c r="T211">
        <f t="shared" si="77"/>
        <v>0.25978074795829365</v>
      </c>
      <c r="U211">
        <f t="shared" si="85"/>
        <v>0.84717521092054771</v>
      </c>
      <c r="W211">
        <v>118.8583</v>
      </c>
      <c r="X211">
        <v>0.23287949912416692</v>
      </c>
      <c r="Y211">
        <f t="shared" si="69"/>
        <v>27.679661370749969</v>
      </c>
      <c r="Z211">
        <f t="shared" si="78"/>
        <v>3.4339230874327553</v>
      </c>
      <c r="AA211">
        <f t="shared" si="79"/>
        <v>0.515539794929043</v>
      </c>
      <c r="AB211">
        <f t="shared" si="86"/>
        <v>1.1730038412756216</v>
      </c>
      <c r="AE211">
        <v>113.6024</v>
      </c>
      <c r="AF211">
        <v>0.35698629175974744</v>
      </c>
      <c r="AG211">
        <f t="shared" si="70"/>
        <v>40.554499511007535</v>
      </c>
      <c r="AH211">
        <f t="shared" si="80"/>
        <v>3.8013707704804611</v>
      </c>
      <c r="AI211">
        <f t="shared" si="81"/>
        <v>0.1480921118813372</v>
      </c>
      <c r="AJ211">
        <f t="shared" si="87"/>
        <v>0.14437675426941521</v>
      </c>
      <c r="AL211">
        <f t="shared" si="71"/>
        <v>113.94800978889698</v>
      </c>
      <c r="AM211">
        <f t="shared" si="82"/>
        <v>3.9494628823617983</v>
      </c>
    </row>
    <row r="212" spans="1:39" x14ac:dyDescent="0.35">
      <c r="A212" s="2">
        <v>42887</v>
      </c>
      <c r="B212">
        <v>111.79</v>
      </c>
      <c r="C212">
        <v>0.21804811962485227</v>
      </c>
      <c r="D212">
        <f t="shared" si="66"/>
        <v>24.375599292862237</v>
      </c>
      <c r="E212">
        <f t="shared" si="72"/>
        <v>2.420754243328771</v>
      </c>
      <c r="F212">
        <f t="shared" si="73"/>
        <v>1.8465286683357673</v>
      </c>
      <c r="G212">
        <f t="shared" si="83"/>
        <v>1.3513344595135868</v>
      </c>
      <c r="I212">
        <v>115.6358</v>
      </c>
      <c r="J212">
        <v>0.17903159254399911</v>
      </c>
      <c r="K212">
        <f t="shared" si="67"/>
        <v>20.702461429099372</v>
      </c>
      <c r="L212">
        <f t="shared" si="74"/>
        <v>1.8255113694901626</v>
      </c>
      <c r="M212">
        <f t="shared" si="75"/>
        <v>1.2512857944971589</v>
      </c>
      <c r="N212">
        <f t="shared" si="84"/>
        <v>0.84561517144237097</v>
      </c>
      <c r="P212">
        <v>120.1561</v>
      </c>
      <c r="Q212">
        <v>1.3054496947234226E-2</v>
      </c>
      <c r="R212">
        <f t="shared" si="68"/>
        <v>1.5685774406415702</v>
      </c>
      <c r="S212">
        <f t="shared" si="76"/>
        <v>-0.91517895797582627</v>
      </c>
      <c r="T212">
        <f t="shared" si="77"/>
        <v>1.4894045329688299</v>
      </c>
      <c r="U212">
        <f t="shared" si="85"/>
        <v>1.2296237850105363</v>
      </c>
      <c r="W212">
        <v>116.6741</v>
      </c>
      <c r="X212">
        <v>0.23287949912416692</v>
      </c>
      <c r="Y212">
        <f t="shared" si="69"/>
        <v>27.171005968762962</v>
      </c>
      <c r="Z212">
        <f t="shared" si="78"/>
        <v>-1.8376503786441512</v>
      </c>
      <c r="AA212">
        <f t="shared" si="79"/>
        <v>2.4118759536371548</v>
      </c>
      <c r="AB212">
        <f t="shared" si="86"/>
        <v>1.8963361587081118</v>
      </c>
      <c r="AE212">
        <v>114.24720000000001</v>
      </c>
      <c r="AF212">
        <v>0.35698629175974744</v>
      </c>
      <c r="AG212">
        <f t="shared" si="70"/>
        <v>40.784684271934218</v>
      </c>
      <c r="AH212">
        <f t="shared" si="80"/>
        <v>0.56759364238783139</v>
      </c>
      <c r="AI212">
        <f t="shared" si="81"/>
        <v>6.6319326051722527E-3</v>
      </c>
      <c r="AJ212">
        <f t="shared" si="87"/>
        <v>0.14146017927616494</v>
      </c>
      <c r="AL212">
        <f t="shared" si="71"/>
        <v>114.60232840330036</v>
      </c>
      <c r="AM212">
        <f t="shared" si="82"/>
        <v>0.57422557499300364</v>
      </c>
    </row>
    <row r="213" spans="1:39" x14ac:dyDescent="0.35">
      <c r="A213" s="2">
        <v>42917</v>
      </c>
      <c r="B213">
        <v>111.4756</v>
      </c>
      <c r="C213">
        <v>0.21804811962485227</v>
      </c>
      <c r="D213">
        <f t="shared" si="66"/>
        <v>24.307044964052182</v>
      </c>
      <c r="E213">
        <f t="shared" si="72"/>
        <v>-0.28124161374005752</v>
      </c>
      <c r="F213">
        <f t="shared" si="73"/>
        <v>0.40921932529982552</v>
      </c>
      <c r="G213">
        <f t="shared" si="83"/>
        <v>1.4373093430359418</v>
      </c>
      <c r="I213">
        <v>114.26949999999999</v>
      </c>
      <c r="J213">
        <v>0.17903159254399911</v>
      </c>
      <c r="K213">
        <f t="shared" si="67"/>
        <v>20.457850564206506</v>
      </c>
      <c r="L213">
        <f t="shared" si="74"/>
        <v>-1.1815545012876738</v>
      </c>
      <c r="M213">
        <f t="shared" si="75"/>
        <v>0.49109356224779077</v>
      </c>
      <c r="N213">
        <f t="shared" si="84"/>
        <v>0.76019223224936816</v>
      </c>
      <c r="P213">
        <v>120.2651</v>
      </c>
      <c r="Q213">
        <v>1.3054496947234226E-2</v>
      </c>
      <c r="R213">
        <f t="shared" si="68"/>
        <v>1.570000380808819</v>
      </c>
      <c r="S213">
        <f t="shared" si="76"/>
        <v>9.0715327811086155E-2</v>
      </c>
      <c r="T213">
        <f t="shared" si="77"/>
        <v>0.78117626685096919</v>
      </c>
      <c r="U213">
        <f t="shared" si="85"/>
        <v>0.70822826611786072</v>
      </c>
      <c r="W213">
        <v>118.77679999999999</v>
      </c>
      <c r="X213">
        <v>0.23287949912416692</v>
      </c>
      <c r="Y213">
        <f t="shared" si="69"/>
        <v>27.660681691571348</v>
      </c>
      <c r="Z213">
        <f t="shared" si="78"/>
        <v>1.8021994598629743</v>
      </c>
      <c r="AA213">
        <f t="shared" si="79"/>
        <v>2.4926603989028573</v>
      </c>
      <c r="AB213">
        <f t="shared" si="86"/>
        <v>8.0784445265702498E-2</v>
      </c>
      <c r="AE213">
        <v>111.5322</v>
      </c>
      <c r="AF213">
        <v>0.35698629175974744</v>
      </c>
      <c r="AG213">
        <f t="shared" si="70"/>
        <v>39.815466489806504</v>
      </c>
      <c r="AH213">
        <f t="shared" si="80"/>
        <v>-2.3764258555133089</v>
      </c>
      <c r="AI213">
        <f t="shared" si="81"/>
        <v>1.6859649164734258</v>
      </c>
      <c r="AJ213">
        <f t="shared" si="87"/>
        <v>1.6793329838682536</v>
      </c>
      <c r="AL213">
        <f t="shared" si="71"/>
        <v>113.81104409044536</v>
      </c>
      <c r="AM213">
        <f t="shared" si="82"/>
        <v>-0.69046093903988304</v>
      </c>
    </row>
    <row r="214" spans="1:39" x14ac:dyDescent="0.35">
      <c r="A214" s="2">
        <v>42948</v>
      </c>
      <c r="B214">
        <v>112.0501</v>
      </c>
      <c r="C214">
        <v>0.21804811962485227</v>
      </c>
      <c r="D214">
        <f t="shared" si="66"/>
        <v>24.43231360877666</v>
      </c>
      <c r="E214">
        <f t="shared" si="72"/>
        <v>0.51535941497511395</v>
      </c>
      <c r="F214">
        <f t="shared" si="73"/>
        <v>1.2852373579221643</v>
      </c>
      <c r="G214">
        <f t="shared" si="83"/>
        <v>0.87601803262233879</v>
      </c>
      <c r="I214">
        <v>111.8305</v>
      </c>
      <c r="J214">
        <v>0.17903159254399911</v>
      </c>
      <c r="K214">
        <f t="shared" si="67"/>
        <v>20.021192509991693</v>
      </c>
      <c r="L214">
        <f t="shared" si="74"/>
        <v>-2.1344278219472379</v>
      </c>
      <c r="M214">
        <f t="shared" si="75"/>
        <v>1.3645498790001875</v>
      </c>
      <c r="N214">
        <f t="shared" si="84"/>
        <v>0.87345631675239677</v>
      </c>
      <c r="P214">
        <v>119.0437</v>
      </c>
      <c r="Q214">
        <v>1.3054496947234226E-2</v>
      </c>
      <c r="R214">
        <f t="shared" si="68"/>
        <v>1.554055618237467</v>
      </c>
      <c r="S214">
        <f t="shared" si="76"/>
        <v>-1.0155897263628422</v>
      </c>
      <c r="T214">
        <f t="shared" si="77"/>
        <v>0.24571178341579181</v>
      </c>
      <c r="U214">
        <f t="shared" si="85"/>
        <v>0.53546448343517739</v>
      </c>
      <c r="W214">
        <v>121.7997</v>
      </c>
      <c r="X214">
        <v>0.23287949912416692</v>
      </c>
      <c r="Y214">
        <f t="shared" si="69"/>
        <v>28.364653129473794</v>
      </c>
      <c r="Z214">
        <f t="shared" si="78"/>
        <v>2.5450256279003991</v>
      </c>
      <c r="AA214">
        <f t="shared" si="79"/>
        <v>3.3149035708474495</v>
      </c>
      <c r="AB214">
        <f t="shared" si="86"/>
        <v>0.82224317194459218</v>
      </c>
      <c r="AE214">
        <v>108.0227</v>
      </c>
      <c r="AF214">
        <v>0.35698629175974744</v>
      </c>
      <c r="AG214">
        <f t="shared" si="70"/>
        <v>38.562623098875669</v>
      </c>
      <c r="AH214">
        <f t="shared" si="80"/>
        <v>-3.1466249208748742</v>
      </c>
      <c r="AI214">
        <f t="shared" si="81"/>
        <v>2.3767469779278239</v>
      </c>
      <c r="AJ214">
        <f t="shared" si="87"/>
        <v>0.69078206145439802</v>
      </c>
      <c r="AL214">
        <f t="shared" si="71"/>
        <v>112.93483796535529</v>
      </c>
      <c r="AM214">
        <f t="shared" si="82"/>
        <v>-0.76987794294705036</v>
      </c>
    </row>
    <row r="215" spans="1:39" x14ac:dyDescent="0.35">
      <c r="A215" s="2">
        <v>42979</v>
      </c>
      <c r="B215">
        <v>113.4918</v>
      </c>
      <c r="C215">
        <v>0.21804811962485227</v>
      </c>
      <c r="D215">
        <f t="shared" si="66"/>
        <v>24.746673582839808</v>
      </c>
      <c r="E215">
        <f t="shared" si="72"/>
        <v>1.2866565937915242</v>
      </c>
      <c r="F215">
        <f t="shared" si="73"/>
        <v>0.55119253095923249</v>
      </c>
      <c r="G215">
        <f t="shared" si="83"/>
        <v>0.73404482696293183</v>
      </c>
      <c r="I215">
        <v>112.5692</v>
      </c>
      <c r="J215">
        <v>0.17903159254399911</v>
      </c>
      <c r="K215">
        <f t="shared" si="67"/>
        <v>20.153443147403944</v>
      </c>
      <c r="L215">
        <f t="shared" si="74"/>
        <v>0.66055324799585424</v>
      </c>
      <c r="M215">
        <f t="shared" si="75"/>
        <v>1.1772958767549024</v>
      </c>
      <c r="N215">
        <f t="shared" si="84"/>
        <v>0.1872540022452851</v>
      </c>
      <c r="P215">
        <v>113.8518</v>
      </c>
      <c r="Q215">
        <v>1.3054496947234226E-2</v>
      </c>
      <c r="R215">
        <f t="shared" si="68"/>
        <v>1.4862779755371216</v>
      </c>
      <c r="S215">
        <f t="shared" si="76"/>
        <v>-4.3613395752988176</v>
      </c>
      <c r="T215">
        <f t="shared" si="77"/>
        <v>6.1991887000495742</v>
      </c>
      <c r="U215">
        <f t="shared" si="85"/>
        <v>5.9534769166337824</v>
      </c>
      <c r="W215">
        <v>126.4079</v>
      </c>
      <c r="X215">
        <v>0.23287949912416692</v>
      </c>
      <c r="Y215">
        <f t="shared" si="69"/>
        <v>29.437808437337779</v>
      </c>
      <c r="Z215">
        <f t="shared" si="78"/>
        <v>3.7834247539197507</v>
      </c>
      <c r="AA215">
        <f t="shared" si="79"/>
        <v>1.9455756291689941</v>
      </c>
      <c r="AB215">
        <f t="shared" si="86"/>
        <v>1.3693279416784554</v>
      </c>
      <c r="AE215">
        <v>109.76949999999999</v>
      </c>
      <c r="AF215">
        <v>0.35698629175974744</v>
      </c>
      <c r="AG215">
        <f t="shared" si="70"/>
        <v>39.186206753321592</v>
      </c>
      <c r="AH215">
        <f t="shared" si="80"/>
        <v>1.6170675237704657</v>
      </c>
      <c r="AI215">
        <f t="shared" si="81"/>
        <v>0.22078160098029098</v>
      </c>
      <c r="AJ215">
        <f t="shared" si="87"/>
        <v>2.1559653769475329</v>
      </c>
      <c r="AL215">
        <f t="shared" si="71"/>
        <v>115.01040989644025</v>
      </c>
      <c r="AM215">
        <f t="shared" si="82"/>
        <v>1.8378491247507567</v>
      </c>
    </row>
    <row r="216" spans="1:39" x14ac:dyDescent="0.35">
      <c r="A216" s="2">
        <v>43009</v>
      </c>
      <c r="B216">
        <v>115.9457</v>
      </c>
      <c r="C216">
        <v>0.21804811962485227</v>
      </c>
      <c r="D216">
        <f t="shared" si="66"/>
        <v>25.281741863587232</v>
      </c>
      <c r="E216">
        <f t="shared" si="72"/>
        <v>2.162182642270194</v>
      </c>
      <c r="F216">
        <f t="shared" si="73"/>
        <v>1.092494555072232</v>
      </c>
      <c r="G216">
        <f t="shared" si="83"/>
        <v>0.54130202411299955</v>
      </c>
      <c r="I216">
        <v>115.4472</v>
      </c>
      <c r="J216">
        <v>0.17903159254399911</v>
      </c>
      <c r="K216">
        <f t="shared" si="67"/>
        <v>20.668696070745572</v>
      </c>
      <c r="L216">
        <f t="shared" si="74"/>
        <v>2.5566495986468762</v>
      </c>
      <c r="M216">
        <f t="shared" si="75"/>
        <v>0.69802759869554976</v>
      </c>
      <c r="N216">
        <f t="shared" si="84"/>
        <v>0.47926827805935268</v>
      </c>
      <c r="P216">
        <v>115.7521</v>
      </c>
      <c r="Q216">
        <v>1.3054496947234226E-2</v>
      </c>
      <c r="R216">
        <f t="shared" si="68"/>
        <v>1.5110854360859507</v>
      </c>
      <c r="S216">
        <f t="shared" si="76"/>
        <v>1.6690996541117498</v>
      </c>
      <c r="T216">
        <f t="shared" si="77"/>
        <v>1.5855775432306762</v>
      </c>
      <c r="U216">
        <f t="shared" si="85"/>
        <v>4.613611156818898</v>
      </c>
      <c r="W216">
        <v>131.4324</v>
      </c>
      <c r="X216">
        <v>0.23287949912416692</v>
      </c>
      <c r="Y216">
        <f t="shared" si="69"/>
        <v>30.607911480687157</v>
      </c>
      <c r="Z216">
        <f t="shared" si="78"/>
        <v>3.9748306870061256</v>
      </c>
      <c r="AA216">
        <f t="shared" si="79"/>
        <v>0.72015348966369963</v>
      </c>
      <c r="AB216">
        <f t="shared" si="86"/>
        <v>1.2254221395052944</v>
      </c>
      <c r="AE216">
        <v>113.9657</v>
      </c>
      <c r="AF216">
        <v>0.35698629175974744</v>
      </c>
      <c r="AG216">
        <f t="shared" si="70"/>
        <v>40.68419263080385</v>
      </c>
      <c r="AH216">
        <f t="shared" si="80"/>
        <v>3.8227376457030449</v>
      </c>
      <c r="AI216">
        <f t="shared" si="81"/>
        <v>0.56806044836061886</v>
      </c>
      <c r="AJ216">
        <f t="shared" si="87"/>
        <v>0.34727884738032788</v>
      </c>
      <c r="AL216">
        <f t="shared" si="71"/>
        <v>118.75362748190975</v>
      </c>
      <c r="AM216">
        <f t="shared" si="82"/>
        <v>3.254677197342426</v>
      </c>
    </row>
    <row r="217" spans="1:39" x14ac:dyDescent="0.35">
      <c r="A217" s="2">
        <v>43040</v>
      </c>
      <c r="B217">
        <v>112.5908</v>
      </c>
      <c r="C217">
        <v>0.21804811962485227</v>
      </c>
      <c r="D217">
        <f t="shared" si="66"/>
        <v>24.550212227057816</v>
      </c>
      <c r="E217">
        <f t="shared" si="72"/>
        <v>-2.8935096342512012</v>
      </c>
      <c r="F217">
        <f t="shared" si="73"/>
        <v>2.1871111791828657</v>
      </c>
      <c r="G217">
        <f t="shared" si="83"/>
        <v>1.0946166241106337</v>
      </c>
      <c r="I217">
        <v>112.9603</v>
      </c>
      <c r="J217">
        <v>0.17903159254399911</v>
      </c>
      <c r="K217">
        <f t="shared" si="67"/>
        <v>20.223462403247904</v>
      </c>
      <c r="L217">
        <f t="shared" si="74"/>
        <v>-2.1541449251259337</v>
      </c>
      <c r="M217">
        <f t="shared" si="75"/>
        <v>1.4477464700575982</v>
      </c>
      <c r="N217">
        <f t="shared" si="84"/>
        <v>0.7497188713620484</v>
      </c>
      <c r="P217">
        <v>115.7231</v>
      </c>
      <c r="Q217">
        <v>1.3054496947234226E-2</v>
      </c>
      <c r="R217">
        <f t="shared" si="68"/>
        <v>1.5107068556744809</v>
      </c>
      <c r="S217">
        <f t="shared" si="76"/>
        <v>-2.505354114525904E-2</v>
      </c>
      <c r="T217">
        <f t="shared" si="77"/>
        <v>0.6813449139230765</v>
      </c>
      <c r="U217">
        <f t="shared" si="85"/>
        <v>0.90423262930759973</v>
      </c>
      <c r="W217">
        <v>134.5986</v>
      </c>
      <c r="X217">
        <v>0.23287949912416692</v>
      </c>
      <c r="Y217">
        <f t="shared" si="69"/>
        <v>31.345254550814094</v>
      </c>
      <c r="Z217">
        <f t="shared" si="78"/>
        <v>2.4089950423183293</v>
      </c>
      <c r="AA217">
        <f t="shared" si="79"/>
        <v>3.1153934973866648</v>
      </c>
      <c r="AB217">
        <f t="shared" si="86"/>
        <v>2.3952400077229652</v>
      </c>
      <c r="AE217">
        <v>112.84780000000001</v>
      </c>
      <c r="AF217">
        <v>0.35698629175974744</v>
      </c>
      <c r="AG217">
        <f t="shared" si="70"/>
        <v>40.285117655245628</v>
      </c>
      <c r="AH217">
        <f t="shared" si="80"/>
        <v>-0.9809091682848381</v>
      </c>
      <c r="AI217">
        <f t="shared" si="81"/>
        <v>0.27451071321650256</v>
      </c>
      <c r="AJ217">
        <f t="shared" si="87"/>
        <v>0.29354973514411631</v>
      </c>
      <c r="AL217">
        <f t="shared" si="71"/>
        <v>117.91475369203992</v>
      </c>
      <c r="AM217">
        <f t="shared" si="82"/>
        <v>-0.70639845506833554</v>
      </c>
    </row>
    <row r="218" spans="1:39" x14ac:dyDescent="0.35">
      <c r="A218" s="2">
        <v>43070</v>
      </c>
      <c r="B218">
        <v>112.1504</v>
      </c>
      <c r="C218">
        <v>0.21804811962485227</v>
      </c>
      <c r="D218">
        <f t="shared" si="66"/>
        <v>24.454183835175034</v>
      </c>
      <c r="E218">
        <f t="shared" si="72"/>
        <v>-0.39115096437719599</v>
      </c>
      <c r="F218">
        <f t="shared" si="73"/>
        <v>0.50594156393873879</v>
      </c>
      <c r="G218">
        <f t="shared" si="83"/>
        <v>1.6811696152441269</v>
      </c>
      <c r="I218">
        <v>111.37220000000001</v>
      </c>
      <c r="J218">
        <v>0.17903159254399911</v>
      </c>
      <c r="K218">
        <f t="shared" si="67"/>
        <v>19.939142331128778</v>
      </c>
      <c r="L218">
        <f t="shared" si="74"/>
        <v>-1.4058921585725193</v>
      </c>
      <c r="M218">
        <f t="shared" si="75"/>
        <v>0.50879963025658448</v>
      </c>
      <c r="N218">
        <f t="shared" si="84"/>
        <v>0.93894683980101368</v>
      </c>
      <c r="P218">
        <v>112.84310000000001</v>
      </c>
      <c r="Q218">
        <v>1.30544969472342E-2</v>
      </c>
      <c r="R218">
        <f t="shared" si="68"/>
        <v>1.4731099044664435</v>
      </c>
      <c r="S218">
        <f t="shared" si="76"/>
        <v>-2.4886993175951888</v>
      </c>
      <c r="T218">
        <f t="shared" si="77"/>
        <v>1.591606789279254</v>
      </c>
      <c r="U218">
        <f t="shared" si="85"/>
        <v>0.91026187535617753</v>
      </c>
      <c r="W218">
        <v>134.35120000000001</v>
      </c>
      <c r="X218">
        <v>0.23287949912416692</v>
      </c>
      <c r="Y218">
        <f t="shared" si="69"/>
        <v>31.287640162730774</v>
      </c>
      <c r="Z218">
        <f t="shared" si="78"/>
        <v>-0.18380577509721219</v>
      </c>
      <c r="AA218">
        <f t="shared" si="79"/>
        <v>0.71328675321872259</v>
      </c>
      <c r="AB218">
        <f t="shared" si="86"/>
        <v>2.4021067441679422</v>
      </c>
      <c r="AE218">
        <v>111.21680000000001</v>
      </c>
      <c r="AF218">
        <v>0.35698629175974744</v>
      </c>
      <c r="AG218">
        <f t="shared" si="70"/>
        <v>39.702873013385485</v>
      </c>
      <c r="AH218">
        <f t="shared" si="80"/>
        <v>-1.4453095230921642</v>
      </c>
      <c r="AI218">
        <f t="shared" si="81"/>
        <v>0.54821699477622943</v>
      </c>
      <c r="AJ218">
        <f t="shared" si="87"/>
        <v>0.27370628155972687</v>
      </c>
      <c r="AL218">
        <f t="shared" si="71"/>
        <v>116.8569492468865</v>
      </c>
      <c r="AM218">
        <f t="shared" si="82"/>
        <v>-0.89709252831593478</v>
      </c>
    </row>
    <row r="219" spans="1:39" x14ac:dyDescent="0.35">
      <c r="A219" s="2">
        <v>43101</v>
      </c>
      <c r="B219">
        <v>114.9444</v>
      </c>
      <c r="C219">
        <v>0.21890383343048997</v>
      </c>
      <c r="D219">
        <f t="shared" si="66"/>
        <v>25.161769791367611</v>
      </c>
      <c r="E219">
        <f t="shared" si="72"/>
        <v>2.4912974006334299</v>
      </c>
      <c r="F219">
        <f t="shared" si="73"/>
        <v>0.26488311343100257</v>
      </c>
      <c r="G219">
        <f t="shared" si="83"/>
        <v>0.24105845050773622</v>
      </c>
      <c r="I219">
        <v>114.8527</v>
      </c>
      <c r="J219">
        <v>0.17823656874156799</v>
      </c>
      <c r="K219">
        <f t="shared" si="67"/>
        <v>20.470951158704686</v>
      </c>
      <c r="L219">
        <f t="shared" si="74"/>
        <v>3.1251066244538439</v>
      </c>
      <c r="M219">
        <f t="shared" si="75"/>
        <v>0.36892611038941148</v>
      </c>
      <c r="N219">
        <f t="shared" si="84"/>
        <v>0.139873519867173</v>
      </c>
      <c r="P219">
        <v>117.9919</v>
      </c>
      <c r="Q219">
        <v>1.3478333615311793E-2</v>
      </c>
      <c r="R219">
        <f t="shared" si="68"/>
        <v>1.5903341921045075</v>
      </c>
      <c r="S219">
        <f t="shared" si="76"/>
        <v>4.5627955984902879</v>
      </c>
      <c r="T219">
        <f t="shared" si="77"/>
        <v>1.8066150844258555</v>
      </c>
      <c r="U219">
        <f t="shared" si="85"/>
        <v>0.21500829514660147</v>
      </c>
      <c r="W219">
        <v>140.0831</v>
      </c>
      <c r="X219">
        <v>0.23113285831536409</v>
      </c>
      <c r="Y219">
        <f t="shared" si="69"/>
        <v>32.377807304676978</v>
      </c>
      <c r="Z219">
        <f t="shared" si="78"/>
        <v>4.2663556410363235</v>
      </c>
      <c r="AA219">
        <f t="shared" si="79"/>
        <v>1.510175126971891</v>
      </c>
      <c r="AB219">
        <f t="shared" si="86"/>
        <v>0.79688837375316846</v>
      </c>
      <c r="AE219">
        <v>112.9855</v>
      </c>
      <c r="AF219">
        <v>0.35824840589726614</v>
      </c>
      <c r="AG219">
        <f t="shared" si="70"/>
        <v>40.476875264505566</v>
      </c>
      <c r="AH219">
        <f t="shared" si="80"/>
        <v>1.5903172901935658</v>
      </c>
      <c r="AI219">
        <f t="shared" si="81"/>
        <v>1.1658632238708666</v>
      </c>
      <c r="AJ219">
        <f t="shared" si="87"/>
        <v>0.61764622909463718</v>
      </c>
      <c r="AL219">
        <f t="shared" si="71"/>
        <v>120.07773771135936</v>
      </c>
      <c r="AM219">
        <f t="shared" si="82"/>
        <v>2.7561805140644324</v>
      </c>
    </row>
    <row r="220" spans="1:39" x14ac:dyDescent="0.35">
      <c r="A220" s="2">
        <v>43132</v>
      </c>
      <c r="B220">
        <v>110.8158</v>
      </c>
      <c r="C220">
        <v>0.21890383343048997</v>
      </c>
      <c r="D220">
        <f t="shared" si="66"/>
        <v>24.258003424666491</v>
      </c>
      <c r="E220">
        <f t="shared" si="72"/>
        <v>-3.5918235251130137</v>
      </c>
      <c r="F220">
        <f t="shared" si="73"/>
        <v>1.0096909100809848</v>
      </c>
      <c r="G220">
        <f t="shared" si="83"/>
        <v>0.7448077966499822</v>
      </c>
      <c r="I220">
        <v>115.55159999999999</v>
      </c>
      <c r="J220">
        <v>0.17823656874156799</v>
      </c>
      <c r="K220">
        <f t="shared" si="67"/>
        <v>20.595520696598165</v>
      </c>
      <c r="L220">
        <f t="shared" si="74"/>
        <v>0.6085185633424306</v>
      </c>
      <c r="M220">
        <f t="shared" si="75"/>
        <v>3.1906511783744596</v>
      </c>
      <c r="N220">
        <f t="shared" si="84"/>
        <v>2.8217250679850481</v>
      </c>
      <c r="P220">
        <v>119.61</v>
      </c>
      <c r="Q220">
        <v>1.3478333615311793E-2</v>
      </c>
      <c r="R220">
        <f t="shared" si="68"/>
        <v>1.6121434837274435</v>
      </c>
      <c r="S220">
        <f t="shared" si="76"/>
        <v>1.3713653225348565</v>
      </c>
      <c r="T220">
        <f t="shared" si="77"/>
        <v>3.9534979375668855</v>
      </c>
      <c r="U220">
        <f t="shared" si="85"/>
        <v>2.14688285314103</v>
      </c>
      <c r="W220">
        <v>136.0934</v>
      </c>
      <c r="X220">
        <v>0.23113285831536409</v>
      </c>
      <c r="Y220">
        <f t="shared" si="69"/>
        <v>31.455656539856172</v>
      </c>
      <c r="Z220">
        <f t="shared" si="78"/>
        <v>-2.8480951663691023</v>
      </c>
      <c r="AA220">
        <f t="shared" si="79"/>
        <v>0.26596255133707336</v>
      </c>
      <c r="AB220">
        <f t="shared" si="86"/>
        <v>1.2442125756348177</v>
      </c>
      <c r="AE220">
        <v>109.0189</v>
      </c>
      <c r="AF220">
        <v>0.35824840589726614</v>
      </c>
      <c r="AG220">
        <f t="shared" si="70"/>
        <v>39.055847137673467</v>
      </c>
      <c r="AH220">
        <f t="shared" si="80"/>
        <v>-3.510715976828882</v>
      </c>
      <c r="AI220">
        <f t="shared" si="81"/>
        <v>0.92858336179685308</v>
      </c>
      <c r="AJ220">
        <f t="shared" si="87"/>
        <v>0.23727986207401353</v>
      </c>
      <c r="AL220">
        <f t="shared" si="71"/>
        <v>116.97717128252174</v>
      </c>
      <c r="AM220">
        <f t="shared" si="82"/>
        <v>-2.582132615032029</v>
      </c>
    </row>
    <row r="221" spans="1:39" x14ac:dyDescent="0.35">
      <c r="A221" s="2">
        <v>43160</v>
      </c>
      <c r="B221">
        <v>110.7765</v>
      </c>
      <c r="C221">
        <v>0.21890383343048997</v>
      </c>
      <c r="D221">
        <f t="shared" si="66"/>
        <v>24.249400504012673</v>
      </c>
      <c r="E221">
        <f t="shared" si="72"/>
        <v>-3.5464256901995839E-2</v>
      </c>
      <c r="F221">
        <f t="shared" si="73"/>
        <v>6.9916542896419909E-2</v>
      </c>
      <c r="G221">
        <f t="shared" si="83"/>
        <v>0.93977436718456486</v>
      </c>
      <c r="I221">
        <v>114.4735</v>
      </c>
      <c r="J221">
        <v>0.17823656874156799</v>
      </c>
      <c r="K221">
        <f t="shared" si="67"/>
        <v>20.403363851837884</v>
      </c>
      <c r="L221">
        <f t="shared" si="74"/>
        <v>-0.9330030912596543</v>
      </c>
      <c r="M221">
        <f t="shared" si="75"/>
        <v>0.82762229146123856</v>
      </c>
      <c r="N221">
        <f t="shared" si="84"/>
        <v>2.363028886913221</v>
      </c>
      <c r="P221">
        <v>119.9811</v>
      </c>
      <c r="Q221">
        <v>1.3478333615311793E-2</v>
      </c>
      <c r="R221">
        <f t="shared" si="68"/>
        <v>1.6171452933320858</v>
      </c>
      <c r="S221">
        <f t="shared" si="76"/>
        <v>0.31025833960371951</v>
      </c>
      <c r="T221">
        <f t="shared" si="77"/>
        <v>0.41563913940213526</v>
      </c>
      <c r="U221">
        <f t="shared" si="85"/>
        <v>3.5378587981647502</v>
      </c>
      <c r="W221">
        <v>136.59270000000001</v>
      </c>
      <c r="X221">
        <v>0.23113285831536409</v>
      </c>
      <c r="Y221">
        <f t="shared" si="69"/>
        <v>31.571061176013036</v>
      </c>
      <c r="Z221">
        <f t="shared" si="78"/>
        <v>0.36688039243637505</v>
      </c>
      <c r="AA221">
        <f t="shared" si="79"/>
        <v>0.47226119223479079</v>
      </c>
      <c r="AB221">
        <f t="shared" si="86"/>
        <v>0.20629864089771743</v>
      </c>
      <c r="AE221">
        <v>108.8991</v>
      </c>
      <c r="AF221">
        <v>0.35824840589726614</v>
      </c>
      <c r="AG221">
        <f t="shared" si="70"/>
        <v>39.012928978646976</v>
      </c>
      <c r="AH221">
        <f t="shared" si="80"/>
        <v>-0.10988920269787705</v>
      </c>
      <c r="AI221">
        <f t="shared" si="81"/>
        <v>4.5084028994613057E-3</v>
      </c>
      <c r="AJ221">
        <f t="shared" si="87"/>
        <v>0.92407495889739177</v>
      </c>
      <c r="AL221">
        <f t="shared" si="71"/>
        <v>116.85389980384265</v>
      </c>
      <c r="AM221">
        <f t="shared" si="82"/>
        <v>-0.10538079979841575</v>
      </c>
    </row>
    <row r="222" spans="1:39" x14ac:dyDescent="0.35">
      <c r="A222" s="2">
        <v>43191</v>
      </c>
      <c r="B222">
        <v>109.86190000000001</v>
      </c>
      <c r="C222">
        <v>0.21890383343048997</v>
      </c>
      <c r="D222">
        <f t="shared" si="66"/>
        <v>24.049191057957149</v>
      </c>
      <c r="E222">
        <f t="shared" si="72"/>
        <v>-0.82562637382476156</v>
      </c>
      <c r="F222">
        <f t="shared" si="73"/>
        <v>1.7762738571875158</v>
      </c>
      <c r="G222">
        <f t="shared" si="83"/>
        <v>1.7063573142910959</v>
      </c>
      <c r="I222">
        <v>113.9182</v>
      </c>
      <c r="J222">
        <v>0.17823656874156799</v>
      </c>
      <c r="K222">
        <f t="shared" si="67"/>
        <v>20.304389085215689</v>
      </c>
      <c r="L222">
        <f t="shared" si="74"/>
        <v>-0.48509043577771305</v>
      </c>
      <c r="M222">
        <f t="shared" si="75"/>
        <v>1.4357379191404673</v>
      </c>
      <c r="N222">
        <f t="shared" si="84"/>
        <v>0.60811562767922878</v>
      </c>
      <c r="P222">
        <v>120.14109999999999</v>
      </c>
      <c r="Q222">
        <v>1.3478333615311793E-2</v>
      </c>
      <c r="R222">
        <f t="shared" si="68"/>
        <v>1.6193018267105357</v>
      </c>
      <c r="S222">
        <f t="shared" si="76"/>
        <v>0.13335433664134477</v>
      </c>
      <c r="T222">
        <f t="shared" si="77"/>
        <v>0.81729314672140951</v>
      </c>
      <c r="U222">
        <f t="shared" si="85"/>
        <v>0.40165400731927425</v>
      </c>
      <c r="W222">
        <v>142.49209999999999</v>
      </c>
      <c r="X222">
        <v>0.23113285831536409</v>
      </c>
      <c r="Y222">
        <f t="shared" si="69"/>
        <v>32.934606360358693</v>
      </c>
      <c r="Z222">
        <f t="shared" si="78"/>
        <v>4.3189716580754212</v>
      </c>
      <c r="AA222">
        <f t="shared" si="79"/>
        <v>3.3683241747126669</v>
      </c>
      <c r="AB222">
        <f t="shared" si="86"/>
        <v>2.8960629824778761</v>
      </c>
      <c r="AE222">
        <v>109.02290000000001</v>
      </c>
      <c r="AF222">
        <v>0.35824840589726614</v>
      </c>
      <c r="AG222">
        <f t="shared" si="70"/>
        <v>39.057280131297063</v>
      </c>
      <c r="AH222">
        <f t="shared" si="80"/>
        <v>0.11368321684936955</v>
      </c>
      <c r="AI222">
        <f t="shared" si="81"/>
        <v>0.83696426651338474</v>
      </c>
      <c r="AJ222">
        <f t="shared" si="87"/>
        <v>0.83245586361392343</v>
      </c>
      <c r="AL222">
        <f t="shared" si="71"/>
        <v>117.96476846153912</v>
      </c>
      <c r="AM222">
        <f t="shared" si="82"/>
        <v>0.95064748336275429</v>
      </c>
    </row>
    <row r="223" spans="1:39" x14ac:dyDescent="0.35">
      <c r="A223" s="2">
        <v>43221</v>
      </c>
      <c r="B223">
        <v>113.9308</v>
      </c>
      <c r="C223">
        <v>0.21890383343048997</v>
      </c>
      <c r="D223">
        <f t="shared" si="66"/>
        <v>24.939888865802466</v>
      </c>
      <c r="E223">
        <f t="shared" si="72"/>
        <v>3.7036497639308941</v>
      </c>
      <c r="F223">
        <f t="shared" si="73"/>
        <v>0.57602162305125937</v>
      </c>
      <c r="G223">
        <f t="shared" si="83"/>
        <v>1.2002522341362565</v>
      </c>
      <c r="I223">
        <v>119.73869999999999</v>
      </c>
      <c r="J223">
        <v>0.17823656874156799</v>
      </c>
      <c r="K223">
        <f t="shared" si="67"/>
        <v>21.341815033575987</v>
      </c>
      <c r="L223">
        <f t="shared" si="74"/>
        <v>5.1093679499851552</v>
      </c>
      <c r="M223">
        <f t="shared" si="75"/>
        <v>0.82969656300300176</v>
      </c>
      <c r="N223">
        <f t="shared" si="84"/>
        <v>0.60604135613746557</v>
      </c>
      <c r="P223">
        <v>118.0121</v>
      </c>
      <c r="Q223">
        <v>1.3478333615311793E-2</v>
      </c>
      <c r="R223">
        <f t="shared" si="68"/>
        <v>1.590606454443537</v>
      </c>
      <c r="S223">
        <f t="shared" si="76"/>
        <v>-1.7720829924147474</v>
      </c>
      <c r="T223">
        <f t="shared" si="77"/>
        <v>6.0517543793969004</v>
      </c>
      <c r="U223">
        <f t="shared" si="85"/>
        <v>5.2344612326754909</v>
      </c>
      <c r="W223">
        <v>150.2996</v>
      </c>
      <c r="X223">
        <v>0.23113285831536409</v>
      </c>
      <c r="Y223">
        <f t="shared" si="69"/>
        <v>34.739176151655897</v>
      </c>
      <c r="Z223">
        <f t="shared" si="78"/>
        <v>5.4792511304135427</v>
      </c>
      <c r="AA223">
        <f t="shared" si="79"/>
        <v>1.1995797434313893</v>
      </c>
      <c r="AB223">
        <f t="shared" si="86"/>
        <v>2.1687444312812776</v>
      </c>
      <c r="AE223">
        <v>112.77589999999999</v>
      </c>
      <c r="AF223">
        <v>0.35824840589726614</v>
      </c>
      <c r="AG223">
        <f t="shared" si="70"/>
        <v>40.401786398629497</v>
      </c>
      <c r="AH223">
        <f t="shared" si="80"/>
        <v>3.4423960470689963</v>
      </c>
      <c r="AI223">
        <f t="shared" si="81"/>
        <v>0.83727533991315717</v>
      </c>
      <c r="AJ223">
        <f t="shared" si="87"/>
        <v>3.1107339977243242E-4</v>
      </c>
      <c r="AL223">
        <f t="shared" si="71"/>
        <v>123.01327290410737</v>
      </c>
      <c r="AM223">
        <f t="shared" si="82"/>
        <v>4.2796713869821534</v>
      </c>
    </row>
    <row r="224" spans="1:39" x14ac:dyDescent="0.35">
      <c r="A224" s="2">
        <v>43252</v>
      </c>
      <c r="B224">
        <v>112.9187</v>
      </c>
      <c r="C224">
        <v>0.21890383343048997</v>
      </c>
      <c r="D224">
        <f t="shared" si="66"/>
        <v>24.718336295987466</v>
      </c>
      <c r="E224">
        <f t="shared" si="72"/>
        <v>-0.88834625930828137</v>
      </c>
      <c r="F224">
        <f t="shared" si="73"/>
        <v>0.50691329441148181</v>
      </c>
      <c r="G224">
        <f t="shared" si="83"/>
        <v>6.9108328639777561E-2</v>
      </c>
      <c r="I224">
        <v>119.3545</v>
      </c>
      <c r="J224">
        <v>0.17823656874156799</v>
      </c>
      <c r="K224">
        <f t="shared" si="67"/>
        <v>21.273336543865476</v>
      </c>
      <c r="L224">
        <f t="shared" si="74"/>
        <v>-0.32086535096839119</v>
      </c>
      <c r="M224">
        <f t="shared" si="75"/>
        <v>6.056761392840837E-2</v>
      </c>
      <c r="N224">
        <f t="shared" si="84"/>
        <v>0.76912894907459339</v>
      </c>
      <c r="P224">
        <v>117.4713</v>
      </c>
      <c r="Q224">
        <v>1.3478333615311793E-2</v>
      </c>
      <c r="R224">
        <f t="shared" si="68"/>
        <v>1.5833173716243762</v>
      </c>
      <c r="S224">
        <f t="shared" si="76"/>
        <v>-0.45825809387343153</v>
      </c>
      <c r="T224">
        <f t="shared" si="77"/>
        <v>7.6825128976631962E-2</v>
      </c>
      <c r="U224">
        <f t="shared" si="85"/>
        <v>5.9749292504202689</v>
      </c>
      <c r="W224">
        <v>152.0343</v>
      </c>
      <c r="X224">
        <v>0.23113285831536409</v>
      </c>
      <c r="Y224">
        <f t="shared" si="69"/>
        <v>35.140122320975557</v>
      </c>
      <c r="Z224">
        <f t="shared" si="78"/>
        <v>1.1541614215872853</v>
      </c>
      <c r="AA224">
        <f t="shared" si="79"/>
        <v>1.5355943864840849</v>
      </c>
      <c r="AB224">
        <f t="shared" si="86"/>
        <v>0.33601464305269557</v>
      </c>
      <c r="AE224">
        <v>111.1769</v>
      </c>
      <c r="AF224">
        <v>0.35824840589726614</v>
      </c>
      <c r="AG224">
        <f t="shared" si="70"/>
        <v>39.828947197599767</v>
      </c>
      <c r="AH224">
        <f t="shared" si="80"/>
        <v>-1.4178561199688855</v>
      </c>
      <c r="AI224">
        <f t="shared" si="81"/>
        <v>1.0364231550720859</v>
      </c>
      <c r="AJ224">
        <f t="shared" si="87"/>
        <v>0.19914781515892876</v>
      </c>
      <c r="AL224">
        <f t="shared" si="71"/>
        <v>122.54405973005264</v>
      </c>
      <c r="AM224">
        <f t="shared" si="82"/>
        <v>-0.38143296489679956</v>
      </c>
    </row>
    <row r="225" spans="1:39" x14ac:dyDescent="0.35">
      <c r="A225" s="2">
        <v>43282</v>
      </c>
      <c r="B225">
        <v>115.3468</v>
      </c>
      <c r="C225">
        <v>0.21890383343048997</v>
      </c>
      <c r="D225">
        <f t="shared" si="66"/>
        <v>25.249856693940039</v>
      </c>
      <c r="E225">
        <f t="shared" si="72"/>
        <v>2.1503081420526371</v>
      </c>
      <c r="F225">
        <f t="shared" si="73"/>
        <v>1.7117926658161586</v>
      </c>
      <c r="G225">
        <f t="shared" si="83"/>
        <v>1.2048793714046768</v>
      </c>
      <c r="I225">
        <v>118.7141</v>
      </c>
      <c r="J225">
        <v>0.17823656874156799</v>
      </c>
      <c r="K225">
        <f t="shared" si="67"/>
        <v>21.159193845243376</v>
      </c>
      <c r="L225">
        <f t="shared" si="74"/>
        <v>-0.53655287400139473</v>
      </c>
      <c r="M225">
        <f t="shared" si="75"/>
        <v>0.97506835023787319</v>
      </c>
      <c r="N225">
        <f t="shared" si="84"/>
        <v>0.91450073630946482</v>
      </c>
      <c r="P225">
        <v>113.3004</v>
      </c>
      <c r="Q225">
        <v>1.3478333615311793E-2</v>
      </c>
      <c r="R225">
        <f t="shared" si="68"/>
        <v>1.5271005899482721</v>
      </c>
      <c r="S225">
        <f t="shared" si="76"/>
        <v>-3.5505693731149646</v>
      </c>
      <c r="T225">
        <f t="shared" si="77"/>
        <v>3.989084849351443</v>
      </c>
      <c r="U225">
        <f t="shared" si="85"/>
        <v>3.9122597203748111</v>
      </c>
      <c r="W225">
        <v>151.44450000000001</v>
      </c>
      <c r="X225">
        <v>0.23113285831536409</v>
      </c>
      <c r="Y225">
        <f t="shared" si="69"/>
        <v>35.003800161141157</v>
      </c>
      <c r="Z225">
        <f t="shared" si="78"/>
        <v>-0.38793877434236679</v>
      </c>
      <c r="AA225">
        <f t="shared" si="79"/>
        <v>0.82645425057884525</v>
      </c>
      <c r="AB225">
        <f t="shared" si="86"/>
        <v>0.70914013590523961</v>
      </c>
      <c r="AE225">
        <v>112.0493</v>
      </c>
      <c r="AF225">
        <v>0.35824840589726614</v>
      </c>
      <c r="AG225">
        <f t="shared" si="70"/>
        <v>40.141483106904545</v>
      </c>
      <c r="AH225">
        <f t="shared" si="80"/>
        <v>0.78469538186438648</v>
      </c>
      <c r="AI225">
        <f t="shared" si="81"/>
        <v>0.34617990562790801</v>
      </c>
      <c r="AJ225">
        <f t="shared" si="87"/>
        <v>0.69024324944417792</v>
      </c>
      <c r="AL225">
        <f t="shared" si="71"/>
        <v>123.08143439717739</v>
      </c>
      <c r="AM225">
        <f t="shared" si="82"/>
        <v>0.43851547623647846</v>
      </c>
    </row>
    <row r="226" spans="1:39" x14ac:dyDescent="0.35">
      <c r="A226" s="2">
        <v>43313</v>
      </c>
      <c r="B226">
        <v>116.5175</v>
      </c>
      <c r="C226">
        <v>0.21890383343048997</v>
      </c>
      <c r="D226">
        <f t="shared" si="66"/>
        <v>25.506127411737115</v>
      </c>
      <c r="E226">
        <f t="shared" si="72"/>
        <v>1.0149392961052994</v>
      </c>
      <c r="F226">
        <f t="shared" si="73"/>
        <v>1.0279981189246001</v>
      </c>
      <c r="G226">
        <f t="shared" si="83"/>
        <v>0.6837945468915585</v>
      </c>
      <c r="I226">
        <v>119.4714</v>
      </c>
      <c r="J226">
        <v>0.17823656874156799</v>
      </c>
      <c r="K226">
        <f t="shared" si="67"/>
        <v>21.294172398751368</v>
      </c>
      <c r="L226">
        <f t="shared" si="74"/>
        <v>0.63791916882662836</v>
      </c>
      <c r="M226">
        <f t="shared" si="75"/>
        <v>1.4050182462032712</v>
      </c>
      <c r="N226">
        <f t="shared" si="84"/>
        <v>0.42994989596539801</v>
      </c>
      <c r="P226">
        <v>112.55110000000001</v>
      </c>
      <c r="Q226">
        <v>1.3478333615311793E-2</v>
      </c>
      <c r="R226">
        <f t="shared" si="68"/>
        <v>1.5170012745703192</v>
      </c>
      <c r="S226">
        <f t="shared" si="76"/>
        <v>-0.66133923622511137</v>
      </c>
      <c r="T226">
        <f t="shared" si="77"/>
        <v>2.7042766512550109</v>
      </c>
      <c r="U226">
        <f t="shared" si="85"/>
        <v>1.2848081980964321</v>
      </c>
      <c r="W226">
        <v>154.10839999999999</v>
      </c>
      <c r="X226">
        <v>0.23113285831536409</v>
      </c>
      <c r="Y226">
        <f t="shared" si="69"/>
        <v>35.619514982407452</v>
      </c>
      <c r="Z226">
        <f t="shared" si="78"/>
        <v>1.7589942190043173</v>
      </c>
      <c r="AA226">
        <f t="shared" si="79"/>
        <v>0.28394319602558227</v>
      </c>
      <c r="AB226">
        <f t="shared" si="86"/>
        <v>0.54251105455326298</v>
      </c>
      <c r="AE226">
        <v>116.2855</v>
      </c>
      <c r="AF226">
        <v>0.35824840589726614</v>
      </c>
      <c r="AG226">
        <f t="shared" si="70"/>
        <v>41.659095003966542</v>
      </c>
      <c r="AH226">
        <f t="shared" si="80"/>
        <v>3.7806572642577807</v>
      </c>
      <c r="AI226">
        <f t="shared" si="81"/>
        <v>1.7377198492278811</v>
      </c>
      <c r="AJ226">
        <f t="shared" si="87"/>
        <v>1.3915399435999731</v>
      </c>
      <c r="AL226">
        <f t="shared" si="71"/>
        <v>125.59591107143279</v>
      </c>
      <c r="AM226">
        <f t="shared" si="82"/>
        <v>2.0429374150298996</v>
      </c>
    </row>
    <row r="227" spans="1:39" x14ac:dyDescent="0.35">
      <c r="A227" s="2">
        <v>43344</v>
      </c>
      <c r="B227">
        <v>114.1571</v>
      </c>
      <c r="C227">
        <v>0.21890383343048997</v>
      </c>
      <c r="D227">
        <f t="shared" si="66"/>
        <v>24.989426803307786</v>
      </c>
      <c r="E227">
        <f t="shared" si="72"/>
        <v>-2.0257901173643456</v>
      </c>
      <c r="F227">
        <f t="shared" si="73"/>
        <v>2.2695126578861302</v>
      </c>
      <c r="G227">
        <f t="shared" si="83"/>
        <v>1.2415145389615301</v>
      </c>
      <c r="I227">
        <v>119.2837</v>
      </c>
      <c r="J227">
        <v>0.17823656874156799</v>
      </c>
      <c r="K227">
        <f t="shared" si="67"/>
        <v>21.260717394798572</v>
      </c>
      <c r="L227">
        <f t="shared" si="74"/>
        <v>-0.15710873062507735</v>
      </c>
      <c r="M227">
        <f t="shared" si="75"/>
        <v>0.40083127114686201</v>
      </c>
      <c r="N227">
        <f t="shared" si="84"/>
        <v>1.0041869750564092</v>
      </c>
      <c r="P227">
        <v>111.12739999999999</v>
      </c>
      <c r="Q227">
        <v>1.3478333615311793E-2</v>
      </c>
      <c r="R227">
        <f t="shared" si="68"/>
        <v>1.4978121710021997</v>
      </c>
      <c r="S227">
        <f t="shared" si="76"/>
        <v>-1.2649365488209496</v>
      </c>
      <c r="T227">
        <f t="shared" si="77"/>
        <v>1.5086590893427343</v>
      </c>
      <c r="U227">
        <f t="shared" si="85"/>
        <v>1.1956175619122766</v>
      </c>
      <c r="W227">
        <v>156.6832</v>
      </c>
      <c r="X227">
        <v>0.23113285831536409</v>
      </c>
      <c r="Y227">
        <f t="shared" si="69"/>
        <v>36.214635865997856</v>
      </c>
      <c r="Z227">
        <f t="shared" si="78"/>
        <v>1.6707720020453287</v>
      </c>
      <c r="AA227">
        <f t="shared" si="79"/>
        <v>1.4270494615235441</v>
      </c>
      <c r="AB227">
        <f t="shared" si="86"/>
        <v>1.1431062654979618</v>
      </c>
      <c r="AE227">
        <v>117.068</v>
      </c>
      <c r="AF227">
        <v>0.35824840589726614</v>
      </c>
      <c r="AG227">
        <f t="shared" si="70"/>
        <v>41.939424381581155</v>
      </c>
      <c r="AH227">
        <f t="shared" si="80"/>
        <v>0.67291278792283027</v>
      </c>
      <c r="AI227">
        <f t="shared" si="81"/>
        <v>0.42919024740104561</v>
      </c>
      <c r="AJ227">
        <f t="shared" si="87"/>
        <v>1.3085296018268355</v>
      </c>
      <c r="AL227">
        <f t="shared" si="71"/>
        <v>125.90201661668758</v>
      </c>
      <c r="AM227">
        <f t="shared" si="82"/>
        <v>0.24372254052178466</v>
      </c>
    </row>
    <row r="228" spans="1:39" x14ac:dyDescent="0.35">
      <c r="A228" s="2">
        <v>43374</v>
      </c>
      <c r="B228">
        <v>106.045</v>
      </c>
      <c r="C228">
        <v>0.21890383343048997</v>
      </c>
      <c r="D228">
        <f t="shared" si="66"/>
        <v>23.21365701613631</v>
      </c>
      <c r="E228">
        <f t="shared" si="72"/>
        <v>-7.1060845098552816</v>
      </c>
      <c r="F228">
        <f t="shared" si="73"/>
        <v>2.6383560653503002</v>
      </c>
      <c r="G228">
        <f t="shared" si="83"/>
        <v>0.36884340746416999</v>
      </c>
      <c r="I228">
        <v>111.86709999999999</v>
      </c>
      <c r="J228">
        <v>0.17823656874156799</v>
      </c>
      <c r="K228">
        <f t="shared" si="67"/>
        <v>19.93880805906986</v>
      </c>
      <c r="L228">
        <f t="shared" si="74"/>
        <v>-6.2176139740802832</v>
      </c>
      <c r="M228">
        <f t="shared" si="75"/>
        <v>1.7498855295753017</v>
      </c>
      <c r="N228">
        <f t="shared" si="84"/>
        <v>1.3490542584284397</v>
      </c>
      <c r="P228">
        <v>108.7012</v>
      </c>
      <c r="Q228">
        <v>1.3478333615311793E-2</v>
      </c>
      <c r="R228">
        <f t="shared" si="68"/>
        <v>1.4651110379847303</v>
      </c>
      <c r="S228">
        <f t="shared" si="76"/>
        <v>-2.183259934093662</v>
      </c>
      <c r="T228">
        <f t="shared" si="77"/>
        <v>2.2844685104113194</v>
      </c>
      <c r="U228">
        <f t="shared" si="85"/>
        <v>0.77580942106858508</v>
      </c>
      <c r="W228">
        <v>154.6996</v>
      </c>
      <c r="X228">
        <v>0.23113285831536409</v>
      </c>
      <c r="Y228">
        <f t="shared" si="69"/>
        <v>35.756160728243501</v>
      </c>
      <c r="Z228">
        <f t="shared" si="78"/>
        <v>-1.2659940567974037</v>
      </c>
      <c r="AA228">
        <f t="shared" si="79"/>
        <v>3.2017343877075777</v>
      </c>
      <c r="AB228">
        <f t="shared" si="86"/>
        <v>1.7746849261840336</v>
      </c>
      <c r="AE228">
        <v>111.3845</v>
      </c>
      <c r="AF228">
        <v>0.35824840589726614</v>
      </c>
      <c r="AG228">
        <f t="shared" si="70"/>
        <v>39.903319566664038</v>
      </c>
      <c r="AH228">
        <f t="shared" si="80"/>
        <v>-4.8548706734547364</v>
      </c>
      <c r="AI228">
        <f t="shared" si="81"/>
        <v>0.38714222894975503</v>
      </c>
      <c r="AJ228">
        <f t="shared" si="87"/>
        <v>4.2048018451290581E-2</v>
      </c>
      <c r="AL228">
        <f t="shared" si="71"/>
        <v>120.27705640809843</v>
      </c>
      <c r="AM228">
        <f t="shared" si="82"/>
        <v>-4.4677284445049814</v>
      </c>
    </row>
    <row r="229" spans="1:39" x14ac:dyDescent="0.35">
      <c r="A229" s="2">
        <v>43405</v>
      </c>
      <c r="B229">
        <v>105.80240000000001</v>
      </c>
      <c r="C229">
        <v>0.21890383343048997</v>
      </c>
      <c r="D229">
        <f t="shared" si="66"/>
        <v>23.160550946146074</v>
      </c>
      <c r="E229">
        <f t="shared" si="72"/>
        <v>-0.22877080484700052</v>
      </c>
      <c r="F229">
        <f t="shared" si="73"/>
        <v>2.7266930214360219</v>
      </c>
      <c r="G229">
        <f t="shared" si="83"/>
        <v>8.8336956085721674E-2</v>
      </c>
      <c r="I229">
        <v>108.83920000000001</v>
      </c>
      <c r="J229">
        <v>0.17823656874156799</v>
      </c>
      <c r="K229">
        <f t="shared" si="67"/>
        <v>19.399125552577267</v>
      </c>
      <c r="L229">
        <f t="shared" si="74"/>
        <v>-2.7066939252023081</v>
      </c>
      <c r="M229">
        <f t="shared" si="75"/>
        <v>0.24876990108071428</v>
      </c>
      <c r="N229">
        <f t="shared" si="84"/>
        <v>1.5011156284945875</v>
      </c>
      <c r="P229">
        <v>109.8233</v>
      </c>
      <c r="Q229">
        <v>1.3478333615311793E-2</v>
      </c>
      <c r="R229">
        <f t="shared" si="68"/>
        <v>1.4802350761344718</v>
      </c>
      <c r="S229">
        <f t="shared" si="76"/>
        <v>1.0322793124639018</v>
      </c>
      <c r="T229">
        <f t="shared" si="77"/>
        <v>3.9877431387469242</v>
      </c>
      <c r="U229">
        <f t="shared" si="85"/>
        <v>1.7032746283356048</v>
      </c>
      <c r="W229">
        <v>148.215</v>
      </c>
      <c r="X229">
        <v>0.23113285831536409</v>
      </c>
      <c r="Y229">
        <f t="shared" si="69"/>
        <v>34.257356595211689</v>
      </c>
      <c r="Z229">
        <f t="shared" si="78"/>
        <v>-4.191736759500353</v>
      </c>
      <c r="AA229">
        <f t="shared" si="79"/>
        <v>1.2362729332173306</v>
      </c>
      <c r="AB229">
        <f t="shared" si="86"/>
        <v>1.9654614544902471</v>
      </c>
      <c r="AE229">
        <v>107.2581</v>
      </c>
      <c r="AF229">
        <v>0.35824840589726614</v>
      </c>
      <c r="AG229">
        <f t="shared" si="70"/>
        <v>38.425043344569559</v>
      </c>
      <c r="AH229">
        <f t="shared" si="80"/>
        <v>-3.7046447216623535</v>
      </c>
      <c r="AI229">
        <f t="shared" si="81"/>
        <v>0.74918089537933108</v>
      </c>
      <c r="AJ229">
        <f t="shared" si="87"/>
        <v>0.36203866642957605</v>
      </c>
      <c r="AL229">
        <f t="shared" si="71"/>
        <v>116.72231151463906</v>
      </c>
      <c r="AM229">
        <f t="shared" si="82"/>
        <v>-2.9554638262830224</v>
      </c>
    </row>
    <row r="230" spans="1:39" x14ac:dyDescent="0.35">
      <c r="A230" s="2">
        <v>43435</v>
      </c>
      <c r="B230">
        <v>104.0694</v>
      </c>
      <c r="C230">
        <v>0.21890383343048997</v>
      </c>
      <c r="D230">
        <f t="shared" si="66"/>
        <v>22.781190602811034</v>
      </c>
      <c r="E230">
        <f t="shared" si="72"/>
        <v>-1.637959063310479</v>
      </c>
      <c r="F230">
        <f t="shared" si="73"/>
        <v>2.184246869212525</v>
      </c>
      <c r="G230">
        <f t="shared" si="83"/>
        <v>0.5424461522234969</v>
      </c>
      <c r="I230">
        <v>104.5458</v>
      </c>
      <c r="J230">
        <v>0.17823656874156799</v>
      </c>
      <c r="K230">
        <f t="shared" si="67"/>
        <v>18.633884668342219</v>
      </c>
      <c r="L230">
        <f t="shared" si="74"/>
        <v>-3.9447184470301155</v>
      </c>
      <c r="M230">
        <f t="shared" si="75"/>
        <v>0.12251251450711154</v>
      </c>
      <c r="N230">
        <f t="shared" si="84"/>
        <v>0.12625738657360275</v>
      </c>
      <c r="P230">
        <v>108.1058</v>
      </c>
      <c r="Q230">
        <v>1.3478333615311793E-2</v>
      </c>
      <c r="R230">
        <f t="shared" si="68"/>
        <v>1.4570860381501736</v>
      </c>
      <c r="S230">
        <f t="shared" si="76"/>
        <v>-1.5638757895637845</v>
      </c>
      <c r="T230">
        <f t="shared" si="77"/>
        <v>2.2583301429592195</v>
      </c>
      <c r="U230">
        <f t="shared" si="85"/>
        <v>1.7294129957877047</v>
      </c>
      <c r="W230">
        <v>140.35159999999999</v>
      </c>
      <c r="X230">
        <v>0.23113285831536409</v>
      </c>
      <c r="Y230">
        <f t="shared" si="69"/>
        <v>32.43986647713465</v>
      </c>
      <c r="Z230">
        <f t="shared" si="78"/>
        <v>-5.3054009378268097</v>
      </c>
      <c r="AA230">
        <f t="shared" si="79"/>
        <v>1.4831950053038057</v>
      </c>
      <c r="AB230">
        <f t="shared" si="86"/>
        <v>0.2469220720864751</v>
      </c>
      <c r="AE230">
        <v>103.1377</v>
      </c>
      <c r="AF230">
        <v>0.35824840589726614</v>
      </c>
      <c r="AG230">
        <f t="shared" si="70"/>
        <v>36.948916612910466</v>
      </c>
      <c r="AH230">
        <f t="shared" si="80"/>
        <v>-3.8415746689527408</v>
      </c>
      <c r="AI230">
        <f t="shared" si="81"/>
        <v>1.9368736429736799E-2</v>
      </c>
      <c r="AJ230">
        <f t="shared" si="87"/>
        <v>0.72981215894959428</v>
      </c>
      <c r="AL230">
        <f t="shared" si="71"/>
        <v>112.26094439934855</v>
      </c>
      <c r="AM230">
        <f t="shared" si="82"/>
        <v>-3.822205932523004</v>
      </c>
    </row>
    <row r="231" spans="1:39" x14ac:dyDescent="0.35">
      <c r="A231" s="2">
        <v>43466</v>
      </c>
      <c r="B231">
        <v>105.7103</v>
      </c>
      <c r="C231">
        <v>0.21880010219859222</v>
      </c>
      <c r="D231">
        <f t="shared" si="66"/>
        <v>23.129424443443845</v>
      </c>
      <c r="E231">
        <f t="shared" si="72"/>
        <v>1.5767362932812112</v>
      </c>
      <c r="F231">
        <f t="shared" si="73"/>
        <v>21.487950118400502</v>
      </c>
      <c r="G231">
        <f t="shared" si="83"/>
        <v>19.303703249187976</v>
      </c>
      <c r="I231">
        <v>109.1163</v>
      </c>
      <c r="J231">
        <v>0.1776803909321886</v>
      </c>
      <c r="K231">
        <f t="shared" si="67"/>
        <v>19.38782684107397</v>
      </c>
      <c r="L231">
        <f t="shared" si="74"/>
        <v>4.3717681628530292</v>
      </c>
      <c r="M231">
        <f t="shared" si="75"/>
        <v>18.692918248828683</v>
      </c>
      <c r="N231">
        <f t="shared" si="84"/>
        <v>18.570405734321572</v>
      </c>
      <c r="P231">
        <v>108.20699999999999</v>
      </c>
      <c r="Q231">
        <v>0.23018178628849459</v>
      </c>
      <c r="R231">
        <f t="shared" si="68"/>
        <v>24.907280548919132</v>
      </c>
      <c r="S231">
        <f t="shared" si="76"/>
        <v>9.3611998616172087E-2</v>
      </c>
      <c r="T231">
        <f t="shared" si="77"/>
        <v>22.971074413065541</v>
      </c>
      <c r="U231">
        <f t="shared" si="85"/>
        <v>20.71274427010632</v>
      </c>
      <c r="W231">
        <v>142.16929999999999</v>
      </c>
      <c r="X231">
        <v>0.23018178628849459</v>
      </c>
      <c r="Y231">
        <f t="shared" si="69"/>
        <v>32.724783429384871</v>
      </c>
      <c r="Z231">
        <f t="shared" si="78"/>
        <v>1.2951045802114036</v>
      </c>
      <c r="AA231">
        <f t="shared" si="79"/>
        <v>21.769581831470308</v>
      </c>
      <c r="AB231">
        <f t="shared" si="86"/>
        <v>20.286386826166503</v>
      </c>
      <c r="AE231">
        <v>105.6211</v>
      </c>
      <c r="AF231">
        <v>0.35981696768002636</v>
      </c>
      <c r="AG231">
        <f t="shared" si="70"/>
        <v>38.00426392502883</v>
      </c>
      <c r="AH231">
        <f t="shared" si="80"/>
        <v>2.4078489243021695</v>
      </c>
      <c r="AI231">
        <f t="shared" si="81"/>
        <v>20.656837487379544</v>
      </c>
      <c r="AJ231">
        <f t="shared" si="87"/>
        <v>20.637468750949807</v>
      </c>
      <c r="AL231">
        <f t="shared" si="71"/>
        <v>138.15357918785065</v>
      </c>
      <c r="AM231">
        <f t="shared" si="82"/>
        <v>23.064686411681713</v>
      </c>
    </row>
    <row r="232" spans="1:39" x14ac:dyDescent="0.35">
      <c r="A232" s="2">
        <v>43497</v>
      </c>
      <c r="B232">
        <v>110.2196</v>
      </c>
      <c r="C232">
        <v>0.21880010219859222</v>
      </c>
      <c r="D232">
        <f t="shared" si="66"/>
        <v>24.116059744287956</v>
      </c>
      <c r="E232">
        <f t="shared" si="72"/>
        <v>4.2657148830341107</v>
      </c>
      <c r="F232">
        <f t="shared" si="73"/>
        <v>17.540906353206651</v>
      </c>
      <c r="G232">
        <f t="shared" si="83"/>
        <v>3.9470437651938504</v>
      </c>
      <c r="I232">
        <v>113.4482</v>
      </c>
      <c r="J232">
        <v>0.1776803909321886</v>
      </c>
      <c r="K232">
        <f t="shared" si="67"/>
        <v>20.157520526553117</v>
      </c>
      <c r="L232">
        <f t="shared" si="74"/>
        <v>3.9699843194829887</v>
      </c>
      <c r="M232">
        <f t="shared" si="75"/>
        <v>17.24517578965553</v>
      </c>
      <c r="N232">
        <f t="shared" si="84"/>
        <v>1.4477424591731527</v>
      </c>
      <c r="P232">
        <v>113.0928</v>
      </c>
      <c r="Q232">
        <v>1.3520752900698239E-2</v>
      </c>
      <c r="R232">
        <f t="shared" si="68"/>
        <v>1.5290998036480856</v>
      </c>
      <c r="S232">
        <f t="shared" si="76"/>
        <v>4.5152346890681816</v>
      </c>
      <c r="T232">
        <f t="shared" si="77"/>
        <v>17.790426159240724</v>
      </c>
      <c r="U232">
        <f t="shared" si="85"/>
        <v>5.1806482538248169</v>
      </c>
      <c r="W232">
        <v>146.46520000000001</v>
      </c>
      <c r="X232">
        <v>0.23018178628849459</v>
      </c>
      <c r="Y232">
        <f t="shared" si="69"/>
        <v>33.713621365101623</v>
      </c>
      <c r="Z232">
        <f t="shared" si="78"/>
        <v>3.0216790826149031</v>
      </c>
      <c r="AA232">
        <f t="shared" si="79"/>
        <v>16.296870552787446</v>
      </c>
      <c r="AB232">
        <f t="shared" si="86"/>
        <v>5.472711278682862</v>
      </c>
      <c r="AE232">
        <v>111.99339999999999</v>
      </c>
      <c r="AF232">
        <v>0.35981696768002636</v>
      </c>
      <c r="AG232">
        <f t="shared" si="70"/>
        <v>40.297125588176264</v>
      </c>
      <c r="AH232">
        <f t="shared" si="80"/>
        <v>6.0331695087439963</v>
      </c>
      <c r="AI232">
        <f t="shared" si="81"/>
        <v>19.308360978916539</v>
      </c>
      <c r="AJ232">
        <f t="shared" si="87"/>
        <v>1.3484765084630048</v>
      </c>
      <c r="AL232">
        <f t="shared" si="71"/>
        <v>119.81342702776703</v>
      </c>
      <c r="AM232">
        <f t="shared" si="82"/>
        <v>-13.275191470172542</v>
      </c>
    </row>
    <row r="233" spans="1:39" x14ac:dyDescent="0.35">
      <c r="A233" s="2">
        <v>43525</v>
      </c>
      <c r="B233">
        <v>113.7655</v>
      </c>
      <c r="C233">
        <v>0.21880010219859222</v>
      </c>
      <c r="D233">
        <f t="shared" si="66"/>
        <v>24.891903026673944</v>
      </c>
      <c r="E233">
        <f t="shared" si="72"/>
        <v>3.2171229073594931</v>
      </c>
      <c r="F233">
        <f t="shared" si="73"/>
        <v>1.3524505101892181</v>
      </c>
      <c r="G233">
        <f t="shared" si="83"/>
        <v>16.188455843017433</v>
      </c>
      <c r="I233">
        <v>114.935</v>
      </c>
      <c r="J233">
        <v>0.1776803909321886</v>
      </c>
      <c r="K233">
        <f t="shared" si="67"/>
        <v>20.421695731791097</v>
      </c>
      <c r="L233">
        <f t="shared" si="74"/>
        <v>1.3105540678477023</v>
      </c>
      <c r="M233">
        <f t="shared" si="75"/>
        <v>0.55411832932257266</v>
      </c>
      <c r="N233">
        <f t="shared" si="84"/>
        <v>16.691057460332956</v>
      </c>
      <c r="P233">
        <v>117.20050000000001</v>
      </c>
      <c r="Q233">
        <v>1.3520752900698239E-2</v>
      </c>
      <c r="R233">
        <f t="shared" si="68"/>
        <v>1.584639000338284</v>
      </c>
      <c r="S233">
        <f t="shared" si="76"/>
        <v>3.6321498804521735</v>
      </c>
      <c r="T233">
        <f t="shared" si="77"/>
        <v>1.7674774832818985</v>
      </c>
      <c r="U233">
        <f t="shared" si="85"/>
        <v>16.022948675958826</v>
      </c>
      <c r="W233">
        <v>148.81530000000001</v>
      </c>
      <c r="X233">
        <v>0.23018178628849459</v>
      </c>
      <c r="Y233">
        <f t="shared" si="69"/>
        <v>34.254571581058208</v>
      </c>
      <c r="Z233">
        <f t="shared" si="78"/>
        <v>1.6045449704093606</v>
      </c>
      <c r="AA233">
        <f t="shared" si="79"/>
        <v>0.26012742676091438</v>
      </c>
      <c r="AB233">
        <f t="shared" si="86"/>
        <v>16.036743126026533</v>
      </c>
      <c r="AE233">
        <v>113.65430000000001</v>
      </c>
      <c r="AF233">
        <v>0.35981696768002636</v>
      </c>
      <c r="AG233">
        <f t="shared" si="70"/>
        <v>40.894745589796024</v>
      </c>
      <c r="AH233">
        <f t="shared" si="80"/>
        <v>1.4830338216359262</v>
      </c>
      <c r="AI233">
        <f t="shared" si="81"/>
        <v>0.38163857553434877</v>
      </c>
      <c r="AJ233">
        <f t="shared" si="87"/>
        <v>18.92672240338219</v>
      </c>
      <c r="AL233">
        <f t="shared" si="71"/>
        <v>122.04755492965755</v>
      </c>
      <c r="AM233">
        <f t="shared" si="82"/>
        <v>1.864672397170275</v>
      </c>
    </row>
    <row r="234" spans="1:39" x14ac:dyDescent="0.35">
      <c r="A234" s="2">
        <v>43556</v>
      </c>
      <c r="B234">
        <v>115.4091</v>
      </c>
      <c r="C234">
        <v>0.21880010219859222</v>
      </c>
      <c r="D234">
        <f t="shared" si="66"/>
        <v>25.251522874647549</v>
      </c>
      <c r="E234">
        <f t="shared" si="72"/>
        <v>1.4447262131313865</v>
      </c>
      <c r="F234">
        <f t="shared" si="73"/>
        <v>0.7601395447476289</v>
      </c>
      <c r="G234">
        <f t="shared" si="83"/>
        <v>0.59231096544158923</v>
      </c>
      <c r="I234">
        <v>115.0171</v>
      </c>
      <c r="J234">
        <v>0.1776803909321886</v>
      </c>
      <c r="K234">
        <f t="shared" si="67"/>
        <v>20.436283291886628</v>
      </c>
      <c r="L234">
        <f t="shared" si="74"/>
        <v>7.1431678774946938E-2</v>
      </c>
      <c r="M234">
        <f t="shared" si="75"/>
        <v>2.1334340791040685</v>
      </c>
      <c r="N234">
        <f t="shared" si="84"/>
        <v>1.5793157497814958</v>
      </c>
      <c r="P234">
        <v>120.6266</v>
      </c>
      <c r="Q234">
        <v>1.3520752900698239E-2</v>
      </c>
      <c r="R234">
        <f t="shared" si="68"/>
        <v>1.6309624518513661</v>
      </c>
      <c r="S234">
        <f t="shared" si="76"/>
        <v>2.9232810440228407</v>
      </c>
      <c r="T234">
        <f t="shared" si="77"/>
        <v>0.71841528614382533</v>
      </c>
      <c r="U234">
        <f t="shared" si="85"/>
        <v>1.0490621971380731</v>
      </c>
      <c r="W234">
        <v>151.50479999999999</v>
      </c>
      <c r="X234">
        <v>0.23018178628849459</v>
      </c>
      <c r="Y234">
        <f t="shared" si="69"/>
        <v>34.87364549528111</v>
      </c>
      <c r="Z234">
        <f t="shared" si="78"/>
        <v>1.8072738488582596</v>
      </c>
      <c r="AA234">
        <f t="shared" si="79"/>
        <v>0.39759190902075581</v>
      </c>
      <c r="AB234">
        <f t="shared" si="86"/>
        <v>0.13746448225984143</v>
      </c>
      <c r="AE234">
        <v>118.24379999999999</v>
      </c>
      <c r="AF234">
        <v>0.35981696768002636</v>
      </c>
      <c r="AG234">
        <f t="shared" si="70"/>
        <v>42.546125562963496</v>
      </c>
      <c r="AH234">
        <f t="shared" si="80"/>
        <v>4.0381226227252265</v>
      </c>
      <c r="AI234">
        <f t="shared" si="81"/>
        <v>1.8332568648462111</v>
      </c>
      <c r="AJ234">
        <f t="shared" si="87"/>
        <v>1.4516182893118623</v>
      </c>
      <c r="AL234">
        <f t="shared" si="71"/>
        <v>124.73853967663014</v>
      </c>
      <c r="AM234">
        <f t="shared" si="82"/>
        <v>2.2048657578790154</v>
      </c>
    </row>
    <row r="235" spans="1:39" x14ac:dyDescent="0.35">
      <c r="A235" s="2">
        <v>43586</v>
      </c>
      <c r="B235">
        <v>113.5515</v>
      </c>
      <c r="C235">
        <v>0.21880010219859222</v>
      </c>
      <c r="D235">
        <f t="shared" si="66"/>
        <v>24.845079804803447</v>
      </c>
      <c r="E235">
        <f t="shared" si="72"/>
        <v>-1.6095784474534414</v>
      </c>
      <c r="F235">
        <f t="shared" si="73"/>
        <v>0.94911104878441233</v>
      </c>
      <c r="G235">
        <f t="shared" si="83"/>
        <v>0.18897150403678342</v>
      </c>
      <c r="I235">
        <v>108.5746</v>
      </c>
      <c r="J235">
        <v>0.1776803909321886</v>
      </c>
      <c r="K235">
        <f t="shared" si="67"/>
        <v>19.291577373306005</v>
      </c>
      <c r="L235">
        <f t="shared" si="74"/>
        <v>-5.6013410179877603</v>
      </c>
      <c r="M235">
        <f t="shared" si="75"/>
        <v>3.0426515217499066</v>
      </c>
      <c r="N235">
        <f t="shared" si="84"/>
        <v>0.90921744264583815</v>
      </c>
      <c r="P235">
        <v>129.2534</v>
      </c>
      <c r="Q235">
        <v>1.3520752900698239E-2</v>
      </c>
      <c r="R235">
        <f t="shared" si="68"/>
        <v>1.7476032829751098</v>
      </c>
      <c r="S235">
        <f t="shared" si="76"/>
        <v>7.151656433987208</v>
      </c>
      <c r="T235">
        <f t="shared" si="77"/>
        <v>9.7103459302250617</v>
      </c>
      <c r="U235">
        <f t="shared" si="85"/>
        <v>8.9919306440812363</v>
      </c>
      <c r="W235">
        <v>147.9495</v>
      </c>
      <c r="X235">
        <v>0.23018178628849459</v>
      </c>
      <c r="Y235">
        <f t="shared" si="69"/>
        <v>34.055280190489633</v>
      </c>
      <c r="Z235">
        <f t="shared" si="78"/>
        <v>-2.3466583236966709</v>
      </c>
      <c r="AA235">
        <f t="shared" si="79"/>
        <v>0.21203117254118276</v>
      </c>
      <c r="AB235">
        <f t="shared" si="86"/>
        <v>0.18556073647957305</v>
      </c>
      <c r="AE235">
        <v>115.6347</v>
      </c>
      <c r="AF235">
        <v>0.35981696768002636</v>
      </c>
      <c r="AG235">
        <f t="shared" si="70"/>
        <v>41.607327112589545</v>
      </c>
      <c r="AH235">
        <f t="shared" si="80"/>
        <v>-2.2065427531929749</v>
      </c>
      <c r="AI235">
        <f t="shared" si="81"/>
        <v>0.35214674304487881</v>
      </c>
      <c r="AJ235">
        <f t="shared" si="87"/>
        <v>1.4811101218013323</v>
      </c>
      <c r="AL235">
        <f t="shared" si="71"/>
        <v>121.54686776416372</v>
      </c>
      <c r="AM235">
        <f t="shared" si="82"/>
        <v>-2.5586894962378537</v>
      </c>
    </row>
    <row r="236" spans="1:39" x14ac:dyDescent="0.35">
      <c r="A236" s="2">
        <v>43617</v>
      </c>
      <c r="B236">
        <v>114.6544</v>
      </c>
      <c r="C236">
        <v>0.21880010219859222</v>
      </c>
      <c r="D236">
        <f t="shared" si="66"/>
        <v>25.086394437518273</v>
      </c>
      <c r="E236">
        <f t="shared" si="72"/>
        <v>0.97127734992492609</v>
      </c>
      <c r="F236">
        <f t="shared" si="73"/>
        <v>0.93718883221662885</v>
      </c>
      <c r="G236">
        <f t="shared" si="83"/>
        <v>1.1922216567783472E-2</v>
      </c>
      <c r="I236">
        <v>108.7277</v>
      </c>
      <c r="J236">
        <v>0.1776803909321886</v>
      </c>
      <c r="K236">
        <f t="shared" si="67"/>
        <v>19.318780241157722</v>
      </c>
      <c r="L236">
        <f t="shared" si="74"/>
        <v>0.14100903894649353</v>
      </c>
      <c r="M236">
        <f t="shared" si="75"/>
        <v>0.10692052123819629</v>
      </c>
      <c r="N236">
        <f t="shared" si="84"/>
        <v>2.9357310005117103</v>
      </c>
      <c r="P236">
        <v>128.148</v>
      </c>
      <c r="Q236">
        <v>1.3520752900698239E-2</v>
      </c>
      <c r="R236">
        <f t="shared" si="68"/>
        <v>1.7326574427186778</v>
      </c>
      <c r="S236">
        <f t="shared" si="76"/>
        <v>-0.85521928243280643</v>
      </c>
      <c r="T236">
        <f t="shared" si="77"/>
        <v>0.88930780014110367</v>
      </c>
      <c r="U236">
        <f t="shared" si="85"/>
        <v>8.8210381300839575</v>
      </c>
      <c r="W236">
        <v>145.7578</v>
      </c>
      <c r="X236">
        <v>0.23018178628849459</v>
      </c>
      <c r="Y236">
        <f t="shared" si="69"/>
        <v>33.550790769481139</v>
      </c>
      <c r="Z236">
        <f t="shared" si="78"/>
        <v>-1.4813838505706278</v>
      </c>
      <c r="AA236">
        <f t="shared" si="79"/>
        <v>1.5154723682789251</v>
      </c>
      <c r="AB236">
        <f t="shared" si="86"/>
        <v>1.3034411957377423</v>
      </c>
      <c r="AE236">
        <v>116.4472</v>
      </c>
      <c r="AF236">
        <v>0.35981696768002636</v>
      </c>
      <c r="AG236">
        <f t="shared" si="70"/>
        <v>41.899678398829565</v>
      </c>
      <c r="AH236">
        <f t="shared" si="80"/>
        <v>0.70264375658863898</v>
      </c>
      <c r="AI236">
        <f t="shared" si="81"/>
        <v>0.66855523888034174</v>
      </c>
      <c r="AJ236">
        <f t="shared" si="87"/>
        <v>0.31640849583546293</v>
      </c>
      <c r="AL236">
        <f t="shared" si="71"/>
        <v>121.58830128970538</v>
      </c>
      <c r="AM236">
        <f t="shared" si="82"/>
        <v>3.4088517708297239E-2</v>
      </c>
    </row>
    <row r="237" spans="1:39" x14ac:dyDescent="0.35">
      <c r="A237" s="2">
        <v>43647</v>
      </c>
      <c r="B237">
        <v>115.86709999999999</v>
      </c>
      <c r="C237">
        <v>0.21880010219859222</v>
      </c>
      <c r="D237">
        <f t="shared" si="66"/>
        <v>25.351733321454503</v>
      </c>
      <c r="E237">
        <f t="shared" si="72"/>
        <v>1.05770035864301</v>
      </c>
      <c r="F237">
        <f t="shared" si="73"/>
        <v>0.54337646765196812</v>
      </c>
      <c r="G237">
        <f t="shared" si="83"/>
        <v>0.39381236456466073</v>
      </c>
      <c r="I237">
        <v>110.455</v>
      </c>
      <c r="J237">
        <v>0.1776803909321886</v>
      </c>
      <c r="K237">
        <f t="shared" si="67"/>
        <v>19.62568758041489</v>
      </c>
      <c r="L237">
        <f t="shared" si="74"/>
        <v>1.5886476031406804</v>
      </c>
      <c r="M237">
        <f t="shared" si="75"/>
        <v>1.2429223154297731E-2</v>
      </c>
      <c r="N237">
        <f t="shared" si="84"/>
        <v>9.4491298083898556E-2</v>
      </c>
      <c r="P237">
        <v>128.2148</v>
      </c>
      <c r="Q237">
        <v>1.3520752900698239E-2</v>
      </c>
      <c r="R237">
        <f t="shared" si="68"/>
        <v>1.7335606290124446</v>
      </c>
      <c r="S237">
        <f t="shared" si="76"/>
        <v>5.2127227892739825E-2</v>
      </c>
      <c r="T237">
        <f t="shared" si="77"/>
        <v>1.5489495984022383</v>
      </c>
      <c r="U237">
        <f t="shared" si="85"/>
        <v>0.65964179826113467</v>
      </c>
      <c r="W237">
        <v>147.0942</v>
      </c>
      <c r="X237">
        <v>0.23018178628849459</v>
      </c>
      <c r="Y237">
        <f t="shared" si="69"/>
        <v>33.858405708677083</v>
      </c>
      <c r="Z237">
        <f t="shared" si="78"/>
        <v>0.91686345430570526</v>
      </c>
      <c r="AA237">
        <f t="shared" si="79"/>
        <v>0.6842133719892729</v>
      </c>
      <c r="AB237">
        <f t="shared" si="86"/>
        <v>0.83125899628965216</v>
      </c>
      <c r="AE237">
        <v>119.4097</v>
      </c>
      <c r="AF237">
        <v>0.35981696768002636</v>
      </c>
      <c r="AG237">
        <f t="shared" si="70"/>
        <v>42.965636165581643</v>
      </c>
      <c r="AH237">
        <f t="shared" si="80"/>
        <v>2.5440714761711725</v>
      </c>
      <c r="AI237">
        <f t="shared" si="81"/>
        <v>0.9429946498761943</v>
      </c>
      <c r="AJ237">
        <f t="shared" si="87"/>
        <v>0.27443941099585256</v>
      </c>
      <c r="AL237">
        <f t="shared" si="71"/>
        <v>123.53502340514056</v>
      </c>
      <c r="AM237">
        <f t="shared" si="82"/>
        <v>1.6010768262949782</v>
      </c>
    </row>
    <row r="238" spans="1:39" x14ac:dyDescent="0.35">
      <c r="A238" s="2">
        <v>43678</v>
      </c>
      <c r="B238">
        <v>114.8712</v>
      </c>
      <c r="C238">
        <v>0.21880010219859222</v>
      </c>
      <c r="D238">
        <f t="shared" si="66"/>
        <v>25.133830299674926</v>
      </c>
      <c r="E238">
        <f t="shared" si="72"/>
        <v>-0.85951922504317047</v>
      </c>
      <c r="F238">
        <f t="shared" si="73"/>
        <v>2.5625456790321577</v>
      </c>
      <c r="G238">
        <f t="shared" si="83"/>
        <v>2.0191692113801896</v>
      </c>
      <c r="I238">
        <v>106.3828</v>
      </c>
      <c r="J238">
        <v>0.1776803909321886</v>
      </c>
      <c r="K238">
        <f t="shared" si="67"/>
        <v>18.902137492460835</v>
      </c>
      <c r="L238">
        <f t="shared" si="74"/>
        <v>-3.6867502602869862</v>
      </c>
      <c r="M238">
        <f t="shared" si="75"/>
        <v>0.26468535621165801</v>
      </c>
      <c r="N238">
        <f t="shared" si="84"/>
        <v>0.25225613305736028</v>
      </c>
      <c r="P238">
        <v>126.2186</v>
      </c>
      <c r="Q238">
        <v>1.3520752900698239E-2</v>
      </c>
      <c r="R238">
        <f t="shared" si="68"/>
        <v>1.7065705020720707</v>
      </c>
      <c r="S238">
        <f t="shared" si="76"/>
        <v>-1.5569185460648893</v>
      </c>
      <c r="T238">
        <f t="shared" si="77"/>
        <v>1.8651463580104388</v>
      </c>
      <c r="U238">
        <f t="shared" si="85"/>
        <v>0.31619675960820048</v>
      </c>
      <c r="W238">
        <v>140.52209999999999</v>
      </c>
      <c r="X238">
        <v>0.23018178628849459</v>
      </c>
      <c r="Y238">
        <f t="shared" si="69"/>
        <v>32.345627991010467</v>
      </c>
      <c r="Z238">
        <f t="shared" si="78"/>
        <v>-4.4679531891808182</v>
      </c>
      <c r="AA238">
        <f t="shared" si="79"/>
        <v>1.04588828510549</v>
      </c>
      <c r="AB238">
        <f t="shared" si="86"/>
        <v>0.36167491311621713</v>
      </c>
      <c r="AE238">
        <v>114.5566</v>
      </c>
      <c r="AF238">
        <v>0.35981696768002636</v>
      </c>
      <c r="AG238">
        <f t="shared" si="70"/>
        <v>41.219408439733705</v>
      </c>
      <c r="AH238">
        <f t="shared" si="80"/>
        <v>-4.0642426871518751</v>
      </c>
      <c r="AI238">
        <f t="shared" si="81"/>
        <v>0.64217778307654694</v>
      </c>
      <c r="AJ238">
        <f t="shared" si="87"/>
        <v>0.30081686679964736</v>
      </c>
      <c r="AL238">
        <f t="shared" si="71"/>
        <v>119.307574724952</v>
      </c>
      <c r="AM238">
        <f t="shared" si="82"/>
        <v>-3.4220649040753282</v>
      </c>
    </row>
    <row r="239" spans="1:39" x14ac:dyDescent="0.35">
      <c r="A239" s="2">
        <v>43709</v>
      </c>
      <c r="B239">
        <v>117.3372</v>
      </c>
      <c r="C239">
        <v>0.21880010219859222</v>
      </c>
      <c r="D239">
        <f t="shared" si="66"/>
        <v>25.673391351696655</v>
      </c>
      <c r="E239">
        <f t="shared" si="72"/>
        <v>2.1467521885381036</v>
      </c>
      <c r="F239">
        <f t="shared" si="73"/>
        <v>1.876561313905456</v>
      </c>
      <c r="G239">
        <f t="shared" si="83"/>
        <v>0.68598436512670169</v>
      </c>
      <c r="I239">
        <v>110.2025</v>
      </c>
      <c r="J239">
        <v>0.1776803909321886</v>
      </c>
      <c r="K239">
        <f t="shared" si="67"/>
        <v>19.580823281704514</v>
      </c>
      <c r="L239">
        <f t="shared" si="74"/>
        <v>3.5905240320803777</v>
      </c>
      <c r="M239">
        <f t="shared" si="75"/>
        <v>0.43278947036318183</v>
      </c>
      <c r="N239">
        <f t="shared" si="84"/>
        <v>0.16810411415152382</v>
      </c>
      <c r="P239">
        <v>124.9391</v>
      </c>
      <c r="Q239">
        <v>1.3520752900698239E-2</v>
      </c>
      <c r="R239">
        <f t="shared" si="68"/>
        <v>1.6892706987356272</v>
      </c>
      <c r="S239">
        <f t="shared" si="76"/>
        <v>-1.01371747111757</v>
      </c>
      <c r="T239">
        <f t="shared" si="77"/>
        <v>5.0370309735611301</v>
      </c>
      <c r="U239">
        <f t="shared" si="85"/>
        <v>3.1718846155506912</v>
      </c>
      <c r="W239">
        <v>148.40350000000001</v>
      </c>
      <c r="X239">
        <v>0.23018178628849459</v>
      </c>
      <c r="Y239">
        <f t="shared" si="69"/>
        <v>34.159782721464609</v>
      </c>
      <c r="Z239">
        <f t="shared" si="78"/>
        <v>5.6086551510402982</v>
      </c>
      <c r="AA239">
        <f t="shared" si="79"/>
        <v>1.5853416485967387</v>
      </c>
      <c r="AB239">
        <f t="shared" si="86"/>
        <v>0.53945336349124862</v>
      </c>
      <c r="AE239">
        <v>119.5175</v>
      </c>
      <c r="AF239">
        <v>0.35981696768002636</v>
      </c>
      <c r="AG239">
        <f t="shared" si="70"/>
        <v>43.004424434697547</v>
      </c>
      <c r="AH239">
        <f t="shared" si="80"/>
        <v>4.3305230776751413</v>
      </c>
      <c r="AI239">
        <f t="shared" si="81"/>
        <v>0.30720957523158177</v>
      </c>
      <c r="AJ239">
        <f t="shared" si="87"/>
        <v>0.33496820784496517</v>
      </c>
      <c r="AL239">
        <f t="shared" si="71"/>
        <v>124.10769248829894</v>
      </c>
      <c r="AM239">
        <f t="shared" si="82"/>
        <v>4.0233135024435596</v>
      </c>
    </row>
    <row r="240" spans="1:39" x14ac:dyDescent="0.35">
      <c r="A240" s="2">
        <v>43739</v>
      </c>
      <c r="B240">
        <v>115.82510000000001</v>
      </c>
      <c r="C240">
        <v>0.21880010219859222</v>
      </c>
      <c r="D240">
        <f t="shared" si="66"/>
        <v>25.342543717162165</v>
      </c>
      <c r="E240">
        <f t="shared" si="72"/>
        <v>-1.2886791230743433</v>
      </c>
      <c r="F240">
        <f t="shared" si="73"/>
        <v>1.7585260328616514</v>
      </c>
      <c r="G240">
        <f t="shared" si="83"/>
        <v>0.11803528104380456</v>
      </c>
      <c r="I240">
        <v>110.96599999999999</v>
      </c>
      <c r="J240">
        <v>0.1776803909321886</v>
      </c>
      <c r="K240">
        <f t="shared" si="67"/>
        <v>19.716482260181238</v>
      </c>
      <c r="L240">
        <f t="shared" si="74"/>
        <v>0.69281549874093962</v>
      </c>
      <c r="M240">
        <f t="shared" si="75"/>
        <v>0.22296858895363147</v>
      </c>
      <c r="N240">
        <f t="shared" si="84"/>
        <v>0.20982088140955035</v>
      </c>
      <c r="P240">
        <v>120.7022</v>
      </c>
      <c r="Q240">
        <v>1.3520752900698239E-2</v>
      </c>
      <c r="R240">
        <f t="shared" si="68"/>
        <v>1.631984620770659</v>
      </c>
      <c r="S240">
        <f t="shared" si="76"/>
        <v>-3.3911721790856442</v>
      </c>
      <c r="T240">
        <f t="shared" si="77"/>
        <v>3.8610190888729523</v>
      </c>
      <c r="U240">
        <f t="shared" si="85"/>
        <v>1.1760118846881777</v>
      </c>
      <c r="W240">
        <v>148.65090000000001</v>
      </c>
      <c r="X240">
        <v>0.23018178628849459</v>
      </c>
      <c r="Y240">
        <f t="shared" si="69"/>
        <v>34.216729695392381</v>
      </c>
      <c r="Z240">
        <f t="shared" si="78"/>
        <v>0.16670765851209968</v>
      </c>
      <c r="AA240">
        <f t="shared" si="79"/>
        <v>0.30313925127520847</v>
      </c>
      <c r="AB240">
        <f t="shared" si="86"/>
        <v>1.2822023973215302</v>
      </c>
      <c r="AE240">
        <v>121.6815</v>
      </c>
      <c r="AF240">
        <v>0.35981696768002636</v>
      </c>
      <c r="AG240">
        <f t="shared" si="70"/>
        <v>43.783068352757127</v>
      </c>
      <c r="AH240">
        <f t="shared" si="80"/>
        <v>1.8106135084820174</v>
      </c>
      <c r="AI240">
        <f t="shared" si="81"/>
        <v>1.3407665986947093</v>
      </c>
      <c r="AJ240">
        <f t="shared" si="87"/>
        <v>1.0335570234631275</v>
      </c>
      <c r="AL240">
        <f t="shared" si="71"/>
        <v>124.69080864626355</v>
      </c>
      <c r="AM240">
        <f t="shared" si="82"/>
        <v>0.46984690978730814</v>
      </c>
    </row>
    <row r="241" spans="1:39" x14ac:dyDescent="0.35">
      <c r="A241" s="2">
        <v>43770</v>
      </c>
      <c r="B241">
        <v>122.4224</v>
      </c>
      <c r="C241">
        <v>0.21880010219859222</v>
      </c>
      <c r="D241">
        <f t="shared" si="66"/>
        <v>26.786033631396936</v>
      </c>
      <c r="E241">
        <f t="shared" si="72"/>
        <v>5.6959156521341203</v>
      </c>
      <c r="F241">
        <f t="shared" si="73"/>
        <v>2.0386015318335726</v>
      </c>
      <c r="G241">
        <f t="shared" si="83"/>
        <v>0.28007549897192119</v>
      </c>
      <c r="I241">
        <v>113.07989999999999</v>
      </c>
      <c r="J241">
        <v>0.1776803909321886</v>
      </c>
      <c r="K241">
        <f t="shared" si="67"/>
        <v>20.092080838572791</v>
      </c>
      <c r="L241">
        <f t="shared" si="74"/>
        <v>1.9049979272930395</v>
      </c>
      <c r="M241">
        <f t="shared" si="75"/>
        <v>1.7523161930075082</v>
      </c>
      <c r="N241">
        <f t="shared" si="84"/>
        <v>1.5293476040538767</v>
      </c>
      <c r="P241">
        <v>128.36340000000001</v>
      </c>
      <c r="Q241">
        <v>1.3520752900698239E-2</v>
      </c>
      <c r="R241">
        <f t="shared" si="68"/>
        <v>1.7355698128934884</v>
      </c>
      <c r="S241">
        <f t="shared" si="76"/>
        <v>6.3471916833330422</v>
      </c>
      <c r="T241">
        <f t="shared" si="77"/>
        <v>2.6898775630324945</v>
      </c>
      <c r="U241">
        <f t="shared" si="85"/>
        <v>1.1711415258404578</v>
      </c>
      <c r="W241">
        <v>151.7311</v>
      </c>
      <c r="X241">
        <v>0.23018178628849459</v>
      </c>
      <c r="Y241">
        <f t="shared" si="69"/>
        <v>34.925735633518201</v>
      </c>
      <c r="Z241">
        <f t="shared" si="78"/>
        <v>2.0721031625102748</v>
      </c>
      <c r="AA241">
        <f t="shared" si="79"/>
        <v>1.5852109577902729</v>
      </c>
      <c r="AB241">
        <f t="shared" si="86"/>
        <v>1.2820717065150644</v>
      </c>
      <c r="AE241">
        <v>127.0416</v>
      </c>
      <c r="AF241">
        <v>0.35981696768002636</v>
      </c>
      <c r="AG241">
        <f t="shared" si="70"/>
        <v>45.711723281218838</v>
      </c>
      <c r="AH241">
        <f t="shared" si="80"/>
        <v>4.4050245928920928</v>
      </c>
      <c r="AI241">
        <f t="shared" si="81"/>
        <v>0.74771047259154511</v>
      </c>
      <c r="AJ241">
        <f t="shared" si="87"/>
        <v>0.59305612610316416</v>
      </c>
      <c r="AL241">
        <f t="shared" si="71"/>
        <v>129.25114319760027</v>
      </c>
      <c r="AM241">
        <f t="shared" si="82"/>
        <v>3.6573141203005477</v>
      </c>
    </row>
    <row r="242" spans="1:39" x14ac:dyDescent="0.35">
      <c r="A242" s="2">
        <v>43800</v>
      </c>
      <c r="B242">
        <v>126.8897</v>
      </c>
      <c r="C242">
        <v>0.21880010219859222</v>
      </c>
      <c r="D242">
        <f t="shared" si="66"/>
        <v>27.763479327948708</v>
      </c>
      <c r="E242">
        <f t="shared" si="72"/>
        <v>3.6490870951721321</v>
      </c>
      <c r="F242">
        <f t="shared" si="73"/>
        <v>1.7792302882806421</v>
      </c>
      <c r="G242">
        <f t="shared" si="83"/>
        <v>0.25937124355293051</v>
      </c>
      <c r="I242">
        <v>113.89960000000001</v>
      </c>
      <c r="J242">
        <v>0.1776803909321886</v>
      </c>
      <c r="K242">
        <f t="shared" si="67"/>
        <v>20.237725455019909</v>
      </c>
      <c r="L242">
        <f t="shared" si="74"/>
        <v>0.72488567817976524</v>
      </c>
      <c r="M242">
        <f t="shared" si="75"/>
        <v>1.1449711287117248</v>
      </c>
      <c r="N242">
        <f t="shared" si="84"/>
        <v>0.60734506429578339</v>
      </c>
      <c r="P242">
        <v>132.80699999999999</v>
      </c>
      <c r="Q242">
        <v>1.3520752900698239E-2</v>
      </c>
      <c r="R242">
        <f t="shared" si="68"/>
        <v>1.7956506304830309</v>
      </c>
      <c r="S242">
        <f t="shared" si="76"/>
        <v>3.4617344196242739</v>
      </c>
      <c r="T242">
        <f t="shared" si="77"/>
        <v>1.5918776127327838</v>
      </c>
      <c r="U242">
        <f t="shared" si="85"/>
        <v>1.0979999502997106</v>
      </c>
      <c r="W242">
        <v>152.7372</v>
      </c>
      <c r="X242">
        <v>0.23018178628849459</v>
      </c>
      <c r="Y242">
        <f t="shared" si="69"/>
        <v>35.157321528703058</v>
      </c>
      <c r="Z242">
        <f t="shared" si="78"/>
        <v>0.66308093726334949</v>
      </c>
      <c r="AA242">
        <f t="shared" si="79"/>
        <v>1.2067758696281405</v>
      </c>
      <c r="AB242">
        <f t="shared" si="86"/>
        <v>0.37843508816213234</v>
      </c>
      <c r="AE242">
        <v>129.82650000000001</v>
      </c>
      <c r="AF242">
        <v>0.35981696768002636</v>
      </c>
      <c r="AG242">
        <f t="shared" si="70"/>
        <v>46.713777554510948</v>
      </c>
      <c r="AH242">
        <f t="shared" si="80"/>
        <v>2.192116598027738</v>
      </c>
      <c r="AI242">
        <f t="shared" si="81"/>
        <v>0.32225979113624792</v>
      </c>
      <c r="AJ242">
        <f t="shared" si="87"/>
        <v>0.42545068145529719</v>
      </c>
      <c r="AL242">
        <f t="shared" si="71"/>
        <v>131.66795449666566</v>
      </c>
      <c r="AM242">
        <f t="shared" si="82"/>
        <v>1.86985680689149</v>
      </c>
    </row>
    <row r="243" spans="1:39" x14ac:dyDescent="0.35">
      <c r="A243" s="2">
        <v>43831</v>
      </c>
      <c r="B243">
        <v>129.90989999999999</v>
      </c>
      <c r="C243">
        <v>0.21812289019782607</v>
      </c>
      <c r="D243">
        <f t="shared" si="66"/>
        <v>28.336322853310563</v>
      </c>
      <c r="E243">
        <f t="shared" si="72"/>
        <v>2.3801774296889233</v>
      </c>
      <c r="F243">
        <f t="shared" si="73"/>
        <v>0.58124492636957292</v>
      </c>
      <c r="G243">
        <f t="shared" si="83"/>
        <v>1.1979853619110692</v>
      </c>
      <c r="I243">
        <v>118.9592</v>
      </c>
      <c r="J243">
        <v>0.17725670006927413</v>
      </c>
      <c r="K243">
        <f t="shared" si="67"/>
        <v>21.086315234880793</v>
      </c>
      <c r="L243">
        <f t="shared" si="74"/>
        <v>4.4421578302294096</v>
      </c>
      <c r="M243">
        <f t="shared" si="75"/>
        <v>1.4807354741709133</v>
      </c>
      <c r="N243">
        <f t="shared" si="84"/>
        <v>0.33576434545918854</v>
      </c>
      <c r="P243">
        <v>134.82079999999999</v>
      </c>
      <c r="Q243">
        <v>1.2817062537916989E-2</v>
      </c>
      <c r="R243">
        <f t="shared" si="68"/>
        <v>1.7280066250119988</v>
      </c>
      <c r="S243">
        <f t="shared" si="76"/>
        <v>1.5163357353151552</v>
      </c>
      <c r="T243">
        <f t="shared" si="77"/>
        <v>1.445086620743341</v>
      </c>
      <c r="U243">
        <f t="shared" si="85"/>
        <v>0.14679099198944279</v>
      </c>
      <c r="W243">
        <v>156.828</v>
      </c>
      <c r="X243">
        <v>0.23216520912789937</v>
      </c>
      <c r="Y243">
        <f t="shared" si="69"/>
        <v>36.410005417110206</v>
      </c>
      <c r="Z243">
        <f t="shared" si="78"/>
        <v>2.6783259088159372</v>
      </c>
      <c r="AA243">
        <f t="shared" si="79"/>
        <v>0.283096447242559</v>
      </c>
      <c r="AB243">
        <f t="shared" si="86"/>
        <v>0.92367942238558154</v>
      </c>
      <c r="AE243">
        <v>133.48570000000001</v>
      </c>
      <c r="AF243">
        <v>0.35963813806708345</v>
      </c>
      <c r="AG243">
        <f t="shared" si="70"/>
        <v>48.006548606581283</v>
      </c>
      <c r="AH243">
        <f t="shared" si="80"/>
        <v>2.818530885450965</v>
      </c>
      <c r="AI243">
        <f t="shared" si="81"/>
        <v>0.14289147060753127</v>
      </c>
      <c r="AJ243">
        <f t="shared" si="87"/>
        <v>0.17936832052871665</v>
      </c>
      <c r="AL243">
        <f t="shared" si="71"/>
        <v>135.56719873689485</v>
      </c>
      <c r="AM243">
        <f t="shared" si="82"/>
        <v>2.9614223560584962</v>
      </c>
    </row>
    <row r="244" spans="1:39" x14ac:dyDescent="0.35">
      <c r="A244" s="2">
        <v>43862</v>
      </c>
      <c r="B244">
        <v>135.1225</v>
      </c>
      <c r="C244">
        <v>0.21812289019782607</v>
      </c>
      <c r="D244">
        <f t="shared" si="66"/>
        <v>29.473310230755754</v>
      </c>
      <c r="E244">
        <f t="shared" si="72"/>
        <v>4.0124732603135094</v>
      </c>
      <c r="F244">
        <f t="shared" si="73"/>
        <v>2.9424851534302743</v>
      </c>
      <c r="G244">
        <f t="shared" si="83"/>
        <v>2.3612402270607014</v>
      </c>
      <c r="I244">
        <v>122.0314</v>
      </c>
      <c r="J244">
        <v>0.17725670006927413</v>
      </c>
      <c r="K244">
        <f t="shared" si="67"/>
        <v>21.630883268833621</v>
      </c>
      <c r="L244">
        <f t="shared" si="74"/>
        <v>2.5825661235112651</v>
      </c>
      <c r="M244">
        <f t="shared" si="75"/>
        <v>1.51257801662803</v>
      </c>
      <c r="N244">
        <f t="shared" si="84"/>
        <v>3.1842542457116707E-2</v>
      </c>
      <c r="P244">
        <v>132.18</v>
      </c>
      <c r="Q244">
        <v>1.2817062537916989E-2</v>
      </c>
      <c r="R244">
        <f t="shared" si="68"/>
        <v>1.6941593262618677</v>
      </c>
      <c r="S244">
        <f t="shared" si="76"/>
        <v>-1.9587482050247296</v>
      </c>
      <c r="T244">
        <f t="shared" si="77"/>
        <v>3.0287363119079647</v>
      </c>
      <c r="U244">
        <f t="shared" si="85"/>
        <v>1.5836496911646236</v>
      </c>
      <c r="W244">
        <v>151.4701</v>
      </c>
      <c r="X244">
        <v>0.23216520912789937</v>
      </c>
      <c r="Y244">
        <f t="shared" si="69"/>
        <v>35.166087443123828</v>
      </c>
      <c r="Z244">
        <f t="shared" si="78"/>
        <v>-3.4164179865840305</v>
      </c>
      <c r="AA244">
        <f t="shared" si="79"/>
        <v>4.4864060934672656</v>
      </c>
      <c r="AB244">
        <f t="shared" si="86"/>
        <v>4.2033096462247066</v>
      </c>
      <c r="AE244">
        <v>136.3963</v>
      </c>
      <c r="AF244">
        <v>0.35963813806708345</v>
      </c>
      <c r="AG244">
        <f t="shared" si="70"/>
        <v>49.053311371239332</v>
      </c>
      <c r="AH244">
        <f t="shared" si="80"/>
        <v>2.180458281299047</v>
      </c>
      <c r="AI244">
        <f t="shared" si="81"/>
        <v>1.1104701744158119</v>
      </c>
      <c r="AJ244">
        <f t="shared" si="87"/>
        <v>0.96757870380828059</v>
      </c>
      <c r="AL244">
        <f t="shared" si="71"/>
        <v>137.01775164021439</v>
      </c>
      <c r="AM244">
        <f t="shared" si="82"/>
        <v>1.0699881068832351</v>
      </c>
    </row>
    <row r="245" spans="1:39" x14ac:dyDescent="0.35">
      <c r="A245" s="2">
        <v>43891</v>
      </c>
      <c r="B245">
        <v>113.1964</v>
      </c>
      <c r="C245">
        <v>0.21812289019782607</v>
      </c>
      <c r="D245">
        <f t="shared" si="66"/>
        <v>24.690725927989199</v>
      </c>
      <c r="E245">
        <f t="shared" si="72"/>
        <v>-16.226831208718018</v>
      </c>
      <c r="F245">
        <f t="shared" si="73"/>
        <v>4.5080364304956113</v>
      </c>
      <c r="G245">
        <f t="shared" si="83"/>
        <v>1.565551277065337</v>
      </c>
      <c r="I245">
        <v>93.498589999999993</v>
      </c>
      <c r="J245">
        <v>0.17725670006927413</v>
      </c>
      <c r="K245">
        <f t="shared" si="67"/>
        <v>16.573251524530033</v>
      </c>
      <c r="L245">
        <f t="shared" si="74"/>
        <v>-23.38153131079379</v>
      </c>
      <c r="M245">
        <f t="shared" si="75"/>
        <v>2.6466636715801606</v>
      </c>
      <c r="N245">
        <f t="shared" si="84"/>
        <v>1.1340856549521305</v>
      </c>
      <c r="P245">
        <v>111.9417</v>
      </c>
      <c r="Q245">
        <v>1.2817062537916989E-2</v>
      </c>
      <c r="R245">
        <f t="shared" si="68"/>
        <v>1.4347637695007422</v>
      </c>
      <c r="S245">
        <f t="shared" si="76"/>
        <v>-15.31116659101226</v>
      </c>
      <c r="T245">
        <f t="shared" si="77"/>
        <v>5.4237010482013694</v>
      </c>
      <c r="U245">
        <f t="shared" si="85"/>
        <v>2.3949647362934048</v>
      </c>
      <c r="W245">
        <v>117.50830000000001</v>
      </c>
      <c r="X245">
        <v>0.23216520912789937</v>
      </c>
      <c r="Y245">
        <f t="shared" si="69"/>
        <v>27.281339043763939</v>
      </c>
      <c r="Z245">
        <f t="shared" si="78"/>
        <v>-22.421454795368856</v>
      </c>
      <c r="AA245">
        <f t="shared" si="79"/>
        <v>1.6865871561552268</v>
      </c>
      <c r="AB245">
        <f t="shared" si="86"/>
        <v>2.7998189373120388</v>
      </c>
      <c r="AE245">
        <v>107.4058</v>
      </c>
      <c r="AF245">
        <v>0.35963813806708345</v>
      </c>
      <c r="AG245">
        <f t="shared" si="70"/>
        <v>38.627221929605554</v>
      </c>
      <c r="AH245">
        <f t="shared" si="80"/>
        <v>-21.25460881270239</v>
      </c>
      <c r="AI245">
        <f t="shared" si="81"/>
        <v>0.51974117348876092</v>
      </c>
      <c r="AJ245">
        <f t="shared" si="87"/>
        <v>0.59072900092705094</v>
      </c>
      <c r="AL245">
        <f t="shared" si="71"/>
        <v>108.60730219538948</v>
      </c>
      <c r="AM245">
        <f t="shared" si="82"/>
        <v>-20.734867639213629</v>
      </c>
    </row>
    <row r="246" spans="1:39" x14ac:dyDescent="0.35">
      <c r="A246" s="2">
        <v>43922</v>
      </c>
      <c r="B246">
        <v>120.8723</v>
      </c>
      <c r="C246">
        <v>0.21812289019782607</v>
      </c>
      <c r="D246">
        <f t="shared" si="66"/>
        <v>26.365015420858693</v>
      </c>
      <c r="E246">
        <f t="shared" si="72"/>
        <v>6.7810460403334272</v>
      </c>
      <c r="F246">
        <f t="shared" si="73"/>
        <v>2.8224163825504744</v>
      </c>
      <c r="G246">
        <f t="shared" si="83"/>
        <v>1.6856200479451369</v>
      </c>
      <c r="I246">
        <v>95.013199999999998</v>
      </c>
      <c r="J246">
        <v>0.17725670006927413</v>
      </c>
      <c r="K246">
        <f t="shared" si="67"/>
        <v>16.841726295021957</v>
      </c>
      <c r="L246">
        <f t="shared" si="74"/>
        <v>1.6199281721788639</v>
      </c>
      <c r="M246">
        <f t="shared" si="75"/>
        <v>2.3387014856040889</v>
      </c>
      <c r="N246">
        <f t="shared" si="84"/>
        <v>0.30796218597607172</v>
      </c>
      <c r="P246">
        <v>117.51349999999999</v>
      </c>
      <c r="Q246">
        <v>1.2817062537916989E-2</v>
      </c>
      <c r="R246">
        <f t="shared" si="68"/>
        <v>1.5061778785495081</v>
      </c>
      <c r="S246">
        <f t="shared" si="76"/>
        <v>4.9774123494640499</v>
      </c>
      <c r="T246">
        <f t="shared" si="77"/>
        <v>1.0187826916810971</v>
      </c>
      <c r="U246">
        <f t="shared" si="85"/>
        <v>4.4049183565202723</v>
      </c>
      <c r="W246">
        <v>122.3352</v>
      </c>
      <c r="X246">
        <v>0.23216520912789937</v>
      </c>
      <c r="Y246">
        <f t="shared" si="69"/>
        <v>28.401977291703396</v>
      </c>
      <c r="Z246">
        <f t="shared" si="78"/>
        <v>4.1077098383688559</v>
      </c>
      <c r="AA246">
        <f t="shared" si="79"/>
        <v>0.14908018058590322</v>
      </c>
      <c r="AB246">
        <f t="shared" si="86"/>
        <v>1.5375069755693236</v>
      </c>
      <c r="AE246">
        <v>110.6439</v>
      </c>
      <c r="AF246">
        <v>0.35963813806708345</v>
      </c>
      <c r="AG246">
        <f t="shared" si="70"/>
        <v>39.791766184480572</v>
      </c>
      <c r="AH246">
        <f t="shared" si="80"/>
        <v>3.0148278770792736</v>
      </c>
      <c r="AI246">
        <f t="shared" si="81"/>
        <v>0.94380178070367915</v>
      </c>
      <c r="AJ246">
        <f t="shared" si="87"/>
        <v>0.42406060721491823</v>
      </c>
      <c r="AL246">
        <f t="shared" si="71"/>
        <v>112.90666307061413</v>
      </c>
      <c r="AM246">
        <f t="shared" si="82"/>
        <v>3.9586296577829527</v>
      </c>
    </row>
    <row r="247" spans="1:39" x14ac:dyDescent="0.35">
      <c r="A247" s="2">
        <v>43952</v>
      </c>
      <c r="B247">
        <v>128.53739999999999</v>
      </c>
      <c r="C247">
        <v>0.21812289019782607</v>
      </c>
      <c r="D247">
        <f t="shared" si="66"/>
        <v>28.036949186514047</v>
      </c>
      <c r="E247">
        <f t="shared" si="72"/>
        <v>6.3414860145790231</v>
      </c>
      <c r="F247">
        <f t="shared" si="73"/>
        <v>0.64419194533624768</v>
      </c>
      <c r="G247">
        <f t="shared" si="83"/>
        <v>2.1782244372142268</v>
      </c>
      <c r="I247">
        <v>102.47280000000001</v>
      </c>
      <c r="J247">
        <v>0.17725670006927413</v>
      </c>
      <c r="K247">
        <f t="shared" si="67"/>
        <v>18.163990374858717</v>
      </c>
      <c r="L247">
        <f t="shared" si="74"/>
        <v>7.8511196339035028</v>
      </c>
      <c r="M247">
        <f t="shared" si="75"/>
        <v>2.1538255646607274</v>
      </c>
      <c r="N247">
        <f t="shared" si="84"/>
        <v>0.18487592094336147</v>
      </c>
      <c r="P247">
        <v>123.6763</v>
      </c>
      <c r="Q247">
        <v>1.2817062537916989E-2</v>
      </c>
      <c r="R247">
        <f t="shared" si="68"/>
        <v>1.5851668715581828</v>
      </c>
      <c r="S247">
        <f t="shared" si="76"/>
        <v>5.244333629753184</v>
      </c>
      <c r="T247">
        <f t="shared" si="77"/>
        <v>0.45296043948959142</v>
      </c>
      <c r="U247">
        <f t="shared" si="85"/>
        <v>0.56582225219150573</v>
      </c>
      <c r="W247">
        <v>128.2919</v>
      </c>
      <c r="X247">
        <v>0.23216520912789937</v>
      </c>
      <c r="Y247">
        <f t="shared" si="69"/>
        <v>29.784915792915552</v>
      </c>
      <c r="Z247">
        <f t="shared" si="78"/>
        <v>4.8691627593693276</v>
      </c>
      <c r="AA247">
        <f t="shared" si="79"/>
        <v>0.82813130987344774</v>
      </c>
      <c r="AB247">
        <f t="shared" si="86"/>
        <v>0.67905112928754452</v>
      </c>
      <c r="AE247">
        <v>116.1397</v>
      </c>
      <c r="AF247">
        <v>0.35963813806708345</v>
      </c>
      <c r="AG247">
        <f t="shared" si="70"/>
        <v>41.76826546366965</v>
      </c>
      <c r="AH247">
        <f t="shared" si="80"/>
        <v>4.9671061847964548</v>
      </c>
      <c r="AI247">
        <f t="shared" si="81"/>
        <v>0.73018788444632055</v>
      </c>
      <c r="AJ247">
        <f t="shared" si="87"/>
        <v>0.2136138962573586</v>
      </c>
      <c r="AL247">
        <f t="shared" si="71"/>
        <v>119.33928768951615</v>
      </c>
      <c r="AM247">
        <f t="shared" si="82"/>
        <v>5.6972940692427754</v>
      </c>
    </row>
    <row r="248" spans="1:39" x14ac:dyDescent="0.35">
      <c r="A248" s="2">
        <v>43983</v>
      </c>
      <c r="B248">
        <v>134.78100000000001</v>
      </c>
      <c r="C248">
        <v>0.21812289019782607</v>
      </c>
      <c r="D248">
        <f t="shared" si="66"/>
        <v>29.398821263753199</v>
      </c>
      <c r="E248">
        <f t="shared" si="72"/>
        <v>4.8574189302102111</v>
      </c>
      <c r="F248">
        <f t="shared" si="73"/>
        <v>1.5097811876419343</v>
      </c>
      <c r="G248">
        <f t="shared" si="83"/>
        <v>0.86558924230568657</v>
      </c>
      <c r="I248">
        <v>110.121</v>
      </c>
      <c r="J248">
        <v>0.17725670006927413</v>
      </c>
      <c r="K248">
        <f t="shared" si="67"/>
        <v>19.519685068328535</v>
      </c>
      <c r="L248">
        <f t="shared" si="74"/>
        <v>7.4636391315549</v>
      </c>
      <c r="M248">
        <f t="shared" si="75"/>
        <v>1.0964390137027547</v>
      </c>
      <c r="N248">
        <f t="shared" si="84"/>
        <v>1.0573865509579727</v>
      </c>
      <c r="P248">
        <v>129.60339999999999</v>
      </c>
      <c r="Q248">
        <v>1.2817062537916989E-2</v>
      </c>
      <c r="R248">
        <f t="shared" si="68"/>
        <v>1.6611348829266706</v>
      </c>
      <c r="S248">
        <f t="shared" si="76"/>
        <v>4.7924299158367489</v>
      </c>
      <c r="T248">
        <f t="shared" si="77"/>
        <v>1.5747702020153964</v>
      </c>
      <c r="U248">
        <f t="shared" si="85"/>
        <v>1.121809762525805</v>
      </c>
      <c r="W248">
        <v>135.05410000000001</v>
      </c>
      <c r="X248">
        <v>0.23216520912789937</v>
      </c>
      <c r="Y248">
        <f t="shared" si="69"/>
        <v>31.354863370080235</v>
      </c>
      <c r="Z248">
        <f t="shared" si="78"/>
        <v>5.2709485166249737</v>
      </c>
      <c r="AA248">
        <f t="shared" si="79"/>
        <v>1.0962516012271717</v>
      </c>
      <c r="AB248">
        <f t="shared" si="86"/>
        <v>0.26812029135372395</v>
      </c>
      <c r="AE248">
        <v>125.13509999999999</v>
      </c>
      <c r="AF248">
        <v>0.35963813806708345</v>
      </c>
      <c r="AG248">
        <f t="shared" si="70"/>
        <v>45.003354370838295</v>
      </c>
      <c r="AH248">
        <f t="shared" si="80"/>
        <v>7.7453273945085055</v>
      </c>
      <c r="AI248">
        <f t="shared" si="81"/>
        <v>1.3781272766563601</v>
      </c>
      <c r="AJ248">
        <f t="shared" si="87"/>
        <v>0.6479393922100396</v>
      </c>
      <c r="AL248">
        <f t="shared" si="71"/>
        <v>126.93785895592694</v>
      </c>
      <c r="AM248">
        <f t="shared" si="82"/>
        <v>6.3672001178521453</v>
      </c>
    </row>
    <row r="249" spans="1:39" x14ac:dyDescent="0.35">
      <c r="A249" s="2">
        <v>44013</v>
      </c>
      <c r="B249">
        <v>141.0044</v>
      </c>
      <c r="C249">
        <v>0.21812289019782607</v>
      </c>
      <c r="D249">
        <f t="shared" si="66"/>
        <v>30.75628725861035</v>
      </c>
      <c r="E249">
        <f t="shared" si="72"/>
        <v>4.6174164014215702</v>
      </c>
      <c r="F249">
        <f t="shared" si="73"/>
        <v>1.5260689444083653</v>
      </c>
      <c r="G249">
        <f t="shared" si="83"/>
        <v>1.6287756766431016E-2</v>
      </c>
      <c r="I249">
        <v>110.78270000000001</v>
      </c>
      <c r="J249">
        <v>0.17725670006927413</v>
      </c>
      <c r="K249">
        <f t="shared" si="67"/>
        <v>19.636975826764377</v>
      </c>
      <c r="L249">
        <f t="shared" si="74"/>
        <v>0.6008844816156822</v>
      </c>
      <c r="M249">
        <f t="shared" si="75"/>
        <v>2.4904629753975227</v>
      </c>
      <c r="N249">
        <f t="shared" si="84"/>
        <v>1.3940239616947681</v>
      </c>
      <c r="P249">
        <v>131.67959999999999</v>
      </c>
      <c r="Q249">
        <v>1.2817062537916989E-2</v>
      </c>
      <c r="R249">
        <f t="shared" si="68"/>
        <v>1.687745668167894</v>
      </c>
      <c r="S249">
        <f t="shared" si="76"/>
        <v>1.6019641460023326</v>
      </c>
      <c r="T249">
        <f t="shared" si="77"/>
        <v>1.4893833110108723</v>
      </c>
      <c r="U249">
        <f t="shared" si="85"/>
        <v>8.5386891004524124E-2</v>
      </c>
      <c r="W249">
        <v>136.23070000000001</v>
      </c>
      <c r="X249">
        <v>0.23216520912789937</v>
      </c>
      <c r="Y249">
        <f t="shared" si="69"/>
        <v>31.628028955140124</v>
      </c>
      <c r="Z249">
        <f t="shared" si="78"/>
        <v>0.87120642764639822</v>
      </c>
      <c r="AA249">
        <f t="shared" si="79"/>
        <v>2.2201410293668067</v>
      </c>
      <c r="AB249">
        <f t="shared" si="86"/>
        <v>1.123889428139635</v>
      </c>
      <c r="AE249">
        <v>131.1121</v>
      </c>
      <c r="AF249">
        <v>0.35963813806708345</v>
      </c>
      <c r="AG249">
        <f t="shared" si="70"/>
        <v>47.152911522065253</v>
      </c>
      <c r="AH249">
        <f t="shared" si="80"/>
        <v>4.776437626213581</v>
      </c>
      <c r="AI249">
        <f t="shared" si="81"/>
        <v>1.6850901692003761</v>
      </c>
      <c r="AJ249">
        <f t="shared" si="87"/>
        <v>0.30696289254401599</v>
      </c>
      <c r="AL249">
        <f t="shared" si="71"/>
        <v>130.861949230748</v>
      </c>
      <c r="AM249">
        <f t="shared" si="82"/>
        <v>3.0913474570132049</v>
      </c>
    </row>
    <row r="250" spans="1:39" x14ac:dyDescent="0.35">
      <c r="A250" s="2">
        <v>44044</v>
      </c>
      <c r="B250">
        <v>143.39179999999999</v>
      </c>
      <c r="C250">
        <v>0.21812289019782607</v>
      </c>
      <c r="D250">
        <f t="shared" si="66"/>
        <v>31.277033846668633</v>
      </c>
      <c r="E250">
        <f t="shared" si="72"/>
        <v>1.6931386538292292</v>
      </c>
      <c r="F250">
        <f t="shared" si="73"/>
        <v>1.5178862291020501</v>
      </c>
      <c r="G250">
        <f t="shared" si="83"/>
        <v>8.1827153063152025E-3</v>
      </c>
      <c r="I250">
        <v>116.4438</v>
      </c>
      <c r="J250">
        <v>0.17725670006927413</v>
      </c>
      <c r="K250">
        <f t="shared" si="67"/>
        <v>20.640443731526542</v>
      </c>
      <c r="L250">
        <f t="shared" si="74"/>
        <v>5.1100939045536808</v>
      </c>
      <c r="M250">
        <f t="shared" si="75"/>
        <v>1.8990690216224015</v>
      </c>
      <c r="N250">
        <f t="shared" si="84"/>
        <v>0.59139395377512116</v>
      </c>
      <c r="P250">
        <v>131.87309999999999</v>
      </c>
      <c r="Q250">
        <v>1.2817062537916989E-2</v>
      </c>
      <c r="R250">
        <f t="shared" si="68"/>
        <v>1.6902257697689809</v>
      </c>
      <c r="S250">
        <f t="shared" si="76"/>
        <v>0.1469475909708029</v>
      </c>
      <c r="T250">
        <f t="shared" si="77"/>
        <v>3.0640772919604764</v>
      </c>
      <c r="U250">
        <f t="shared" si="85"/>
        <v>1.5746939809496041</v>
      </c>
      <c r="W250">
        <v>142.23410000000001</v>
      </c>
      <c r="X250">
        <v>0.23216520912789937</v>
      </c>
      <c r="Y250">
        <f t="shared" si="69"/>
        <v>33.021809571618554</v>
      </c>
      <c r="Z250">
        <f t="shared" si="78"/>
        <v>4.4067893653926715</v>
      </c>
      <c r="AA250">
        <f t="shared" si="79"/>
        <v>1.1957644824613922</v>
      </c>
      <c r="AB250">
        <f t="shared" si="86"/>
        <v>1.0243765469054145</v>
      </c>
      <c r="AE250">
        <v>134.6755</v>
      </c>
      <c r="AF250">
        <v>0.35963813806708345</v>
      </c>
      <c r="AG250">
        <f t="shared" si="70"/>
        <v>48.434446063253496</v>
      </c>
      <c r="AH250">
        <f t="shared" si="80"/>
        <v>2.7178269587627701</v>
      </c>
      <c r="AI250">
        <f t="shared" si="81"/>
        <v>0.49319792416850916</v>
      </c>
      <c r="AJ250">
        <f t="shared" si="87"/>
        <v>1.191892245031867</v>
      </c>
      <c r="AL250">
        <f t="shared" si="71"/>
        <v>135.06395898283623</v>
      </c>
      <c r="AM250">
        <f t="shared" si="82"/>
        <v>3.2110248829312793</v>
      </c>
    </row>
    <row r="251" spans="1:39" x14ac:dyDescent="0.35">
      <c r="A251" s="2">
        <v>44075</v>
      </c>
      <c r="B251">
        <v>144.31729999999999</v>
      </c>
      <c r="C251">
        <v>0.21812289019782607</v>
      </c>
      <c r="D251">
        <f t="shared" si="66"/>
        <v>31.478906581546724</v>
      </c>
      <c r="E251">
        <f t="shared" si="72"/>
        <v>0.64543439722495322</v>
      </c>
      <c r="F251">
        <f t="shared" si="73"/>
        <v>0.21783870229730162</v>
      </c>
      <c r="G251">
        <f t="shared" si="83"/>
        <v>1.3000475268047484</v>
      </c>
      <c r="I251">
        <v>118.1764</v>
      </c>
      <c r="J251">
        <v>0.17725670006927413</v>
      </c>
      <c r="K251">
        <f t="shared" si="67"/>
        <v>20.947558690066568</v>
      </c>
      <c r="L251">
        <f t="shared" si="74"/>
        <v>1.4879280820447427</v>
      </c>
      <c r="M251">
        <f t="shared" si="75"/>
        <v>0.62465498252248786</v>
      </c>
      <c r="N251">
        <f t="shared" si="84"/>
        <v>1.2744140390999137</v>
      </c>
      <c r="P251">
        <v>133.48060000000001</v>
      </c>
      <c r="Q251">
        <v>1.2817062537916989E-2</v>
      </c>
      <c r="R251">
        <f t="shared" si="68"/>
        <v>1.7108291977986827</v>
      </c>
      <c r="S251">
        <f t="shared" si="76"/>
        <v>1.2189749084536627</v>
      </c>
      <c r="T251">
        <f t="shared" si="77"/>
        <v>0.3557018089314079</v>
      </c>
      <c r="U251">
        <f t="shared" si="85"/>
        <v>2.7083754830290685</v>
      </c>
      <c r="W251">
        <v>140.3365</v>
      </c>
      <c r="X251">
        <v>0.23216520912789937</v>
      </c>
      <c r="Y251">
        <f t="shared" si="69"/>
        <v>32.581252870777448</v>
      </c>
      <c r="Z251">
        <f t="shared" si="78"/>
        <v>-1.3341385785827775</v>
      </c>
      <c r="AA251">
        <f t="shared" si="79"/>
        <v>2.1974116781050324</v>
      </c>
      <c r="AB251">
        <f t="shared" si="86"/>
        <v>1.0016471956436401</v>
      </c>
      <c r="AE251">
        <v>137.66999999999999</v>
      </c>
      <c r="AF251">
        <v>0.35963813806708345</v>
      </c>
      <c r="AG251">
        <f t="shared" si="70"/>
        <v>49.511382467695377</v>
      </c>
      <c r="AH251">
        <f t="shared" si="80"/>
        <v>2.2234927659448012</v>
      </c>
      <c r="AI251">
        <f t="shared" si="81"/>
        <v>1.3602196664225463</v>
      </c>
      <c r="AJ251">
        <f t="shared" si="87"/>
        <v>0.86702174225403716</v>
      </c>
      <c r="AL251">
        <f t="shared" si="71"/>
        <v>136.22992980788482</v>
      </c>
      <c r="AM251">
        <f t="shared" si="82"/>
        <v>0.86327309952225484</v>
      </c>
    </row>
    <row r="252" spans="1:39" x14ac:dyDescent="0.35">
      <c r="A252" s="2">
        <v>44105</v>
      </c>
      <c r="B252">
        <v>151.24789999999999</v>
      </c>
      <c r="C252">
        <v>0.21812289019782607</v>
      </c>
      <c r="D252">
        <f t="shared" si="66"/>
        <v>32.990629084351774</v>
      </c>
      <c r="E252">
        <f t="shared" si="72"/>
        <v>4.8023348552113987</v>
      </c>
      <c r="F252">
        <f t="shared" si="73"/>
        <v>3.0196129531365079</v>
      </c>
      <c r="G252">
        <f t="shared" si="83"/>
        <v>2.8017742508392063</v>
      </c>
      <c r="I252">
        <v>119.5279</v>
      </c>
      <c r="J252">
        <v>0.17725670006927413</v>
      </c>
      <c r="K252">
        <f t="shared" si="67"/>
        <v>21.187121120210193</v>
      </c>
      <c r="L252">
        <f t="shared" si="74"/>
        <v>1.1436293540842302</v>
      </c>
      <c r="M252">
        <f t="shared" si="75"/>
        <v>0.63909254799066062</v>
      </c>
      <c r="N252">
        <f t="shared" si="84"/>
        <v>1.4437565468172764E-2</v>
      </c>
      <c r="P252">
        <v>138.34100000000001</v>
      </c>
      <c r="Q252">
        <v>1.2817062537916989E-2</v>
      </c>
      <c r="R252">
        <f t="shared" si="68"/>
        <v>1.7731252485579743</v>
      </c>
      <c r="S252">
        <f t="shared" si="76"/>
        <v>3.6412782082190231</v>
      </c>
      <c r="T252">
        <f t="shared" si="77"/>
        <v>1.8585563061441324</v>
      </c>
      <c r="U252">
        <f t="shared" si="85"/>
        <v>1.5028544972127245</v>
      </c>
      <c r="W252">
        <v>139.76939999999999</v>
      </c>
      <c r="X252">
        <v>0.23216520912789937</v>
      </c>
      <c r="Y252">
        <f t="shared" si="69"/>
        <v>32.449591980681014</v>
      </c>
      <c r="Z252">
        <f t="shared" si="78"/>
        <v>-0.40410014500861235</v>
      </c>
      <c r="AA252">
        <f t="shared" si="79"/>
        <v>2.1868220470835031</v>
      </c>
      <c r="AB252">
        <f t="shared" si="86"/>
        <v>1.0589631021529211E-2</v>
      </c>
      <c r="AE252">
        <v>139.74619999999999</v>
      </c>
      <c r="AF252">
        <v>0.35963813806708345</v>
      </c>
      <c r="AG252">
        <f t="shared" si="70"/>
        <v>50.258063169950255</v>
      </c>
      <c r="AH252">
        <f t="shared" si="80"/>
        <v>1.5080990775041769</v>
      </c>
      <c r="AI252">
        <f t="shared" si="81"/>
        <v>0.27462282457071385</v>
      </c>
      <c r="AJ252">
        <f t="shared" si="87"/>
        <v>1.0855968418518325</v>
      </c>
      <c r="AL252">
        <f t="shared" si="71"/>
        <v>138.65853060375122</v>
      </c>
      <c r="AM252">
        <f t="shared" si="82"/>
        <v>1.7827219020748908</v>
      </c>
    </row>
    <row r="253" spans="1:39" x14ac:dyDescent="0.35">
      <c r="A253" s="2">
        <v>44136</v>
      </c>
      <c r="B253">
        <v>154.07570000000001</v>
      </c>
      <c r="C253">
        <v>0.21812289019782607</v>
      </c>
      <c r="D253">
        <f t="shared" si="66"/>
        <v>33.607436993253195</v>
      </c>
      <c r="E253">
        <f t="shared" si="72"/>
        <v>1.8696457934292088</v>
      </c>
      <c r="F253">
        <f t="shared" si="73"/>
        <v>1.0457299182901725</v>
      </c>
      <c r="G253">
        <f t="shared" si="83"/>
        <v>1.9738830348463354</v>
      </c>
      <c r="I253">
        <v>122.788</v>
      </c>
      <c r="J253">
        <v>0.17725670006927413</v>
      </c>
      <c r="K253">
        <f t="shared" si="67"/>
        <v>21.76499568810603</v>
      </c>
      <c r="L253">
        <f t="shared" si="74"/>
        <v>2.7274803623254407</v>
      </c>
      <c r="M253">
        <f t="shared" si="75"/>
        <v>0.18789534939394059</v>
      </c>
      <c r="N253">
        <f t="shared" si="84"/>
        <v>0.45119719859672003</v>
      </c>
      <c r="P253">
        <v>147.26939999999999</v>
      </c>
      <c r="Q253">
        <v>1.2817062537916989E-2</v>
      </c>
      <c r="R253">
        <f t="shared" si="68"/>
        <v>1.8875611097215121</v>
      </c>
      <c r="S253">
        <f t="shared" si="76"/>
        <v>6.4539073738081765</v>
      </c>
      <c r="T253">
        <f t="shared" si="77"/>
        <v>3.5385316620887952</v>
      </c>
      <c r="U253">
        <f t="shared" si="85"/>
        <v>1.6799753559446629</v>
      </c>
      <c r="W253">
        <v>145.1258</v>
      </c>
      <c r="X253">
        <v>0.23216520912789937</v>
      </c>
      <c r="Y253">
        <f t="shared" si="69"/>
        <v>33.693161706853701</v>
      </c>
      <c r="Z253">
        <f t="shared" si="78"/>
        <v>3.832312365939905</v>
      </c>
      <c r="AA253">
        <f t="shared" si="79"/>
        <v>0.91693665422052373</v>
      </c>
      <c r="AB253">
        <f t="shared" si="86"/>
        <v>1.2698853928629794</v>
      </c>
      <c r="AE253">
        <v>143.88849999999999</v>
      </c>
      <c r="AF253">
        <v>0.35963813806708345</v>
      </c>
      <c r="AG253">
        <f t="shared" si="70"/>
        <v>51.747792229265535</v>
      </c>
      <c r="AH253">
        <f t="shared" si="80"/>
        <v>2.9641593116664477</v>
      </c>
      <c r="AI253">
        <f t="shared" si="81"/>
        <v>4.8783599947066492E-2</v>
      </c>
      <c r="AJ253">
        <f t="shared" si="87"/>
        <v>0.22583922462364736</v>
      </c>
      <c r="AL253">
        <f t="shared" si="71"/>
        <v>142.70094772719997</v>
      </c>
      <c r="AM253">
        <f t="shared" si="82"/>
        <v>2.9153757117193813</v>
      </c>
    </row>
    <row r="254" spans="1:39" x14ac:dyDescent="0.35">
      <c r="A254" s="2">
        <v>44166</v>
      </c>
      <c r="B254">
        <v>159.07689999999999</v>
      </c>
      <c r="C254">
        <v>0.21812289019782607</v>
      </c>
      <c r="D254">
        <f t="shared" si="66"/>
        <v>34.698313191710561</v>
      </c>
      <c r="E254">
        <f t="shared" si="72"/>
        <v>3.2459368998485782</v>
      </c>
      <c r="F254">
        <f t="shared" si="73"/>
        <v>0.32677487883021605</v>
      </c>
      <c r="G254">
        <f t="shared" si="83"/>
        <v>0.71895503945995642</v>
      </c>
      <c r="I254">
        <v>126.7762</v>
      </c>
      <c r="J254">
        <v>0.17725670006927413</v>
      </c>
      <c r="K254">
        <f t="shared" si="67"/>
        <v>22.471930859322313</v>
      </c>
      <c r="L254">
        <f t="shared" si="74"/>
        <v>3.2480372674854374</v>
      </c>
      <c r="M254">
        <f t="shared" si="75"/>
        <v>0.32467451119335689</v>
      </c>
      <c r="N254">
        <f t="shared" si="84"/>
        <v>0.13677916179941629</v>
      </c>
      <c r="P254">
        <v>158.34180000000001</v>
      </c>
      <c r="Q254">
        <v>1.2817062537916989E-2</v>
      </c>
      <c r="R254">
        <f t="shared" si="68"/>
        <v>2.0294767529663442</v>
      </c>
      <c r="S254">
        <f t="shared" si="76"/>
        <v>7.518466157939141</v>
      </c>
      <c r="T254">
        <f t="shared" si="77"/>
        <v>3.9457543792603467</v>
      </c>
      <c r="U254">
        <f t="shared" si="85"/>
        <v>0.40722271717155145</v>
      </c>
      <c r="W254">
        <v>153.65280000000001</v>
      </c>
      <c r="X254">
        <v>0.23216520912789901</v>
      </c>
      <c r="Y254">
        <f t="shared" si="69"/>
        <v>35.672834445087247</v>
      </c>
      <c r="Z254">
        <f t="shared" si="78"/>
        <v>5.8755920725329425</v>
      </c>
      <c r="AA254">
        <f t="shared" si="79"/>
        <v>2.3028802938541482</v>
      </c>
      <c r="AB254">
        <f t="shared" si="86"/>
        <v>1.3859436396336244</v>
      </c>
      <c r="AE254">
        <v>147.16650000000001</v>
      </c>
      <c r="AF254">
        <v>0.35963813806708345</v>
      </c>
      <c r="AG254">
        <f t="shared" si="70"/>
        <v>52.926686045849443</v>
      </c>
      <c r="AH254">
        <f t="shared" si="80"/>
        <v>2.2781528753166747</v>
      </c>
      <c r="AI254">
        <f t="shared" si="81"/>
        <v>1.2945589033621197</v>
      </c>
      <c r="AJ254">
        <f t="shared" si="87"/>
        <v>1.2457753034150532</v>
      </c>
      <c r="AL254">
        <f t="shared" si="71"/>
        <v>147.79924129493591</v>
      </c>
      <c r="AM254">
        <f t="shared" si="82"/>
        <v>3.5727117786787943</v>
      </c>
    </row>
    <row r="255" spans="1:39" x14ac:dyDescent="0.35">
      <c r="A255" s="2">
        <v>44197</v>
      </c>
      <c r="B255">
        <v>165.45609999999999</v>
      </c>
      <c r="C255">
        <v>0.22159169278434576</v>
      </c>
      <c r="D255">
        <f t="shared" si="66"/>
        <v>36.663697280495988</v>
      </c>
      <c r="E255">
        <f t="shared" si="72"/>
        <v>4.0101359782595658</v>
      </c>
      <c r="F255">
        <f t="shared" si="73"/>
        <v>0.26207468586509908</v>
      </c>
      <c r="G255">
        <f t="shared" si="83"/>
        <v>6.4700192965116976E-2</v>
      </c>
      <c r="I255">
        <v>131.7764</v>
      </c>
      <c r="J255">
        <v>0.17332332496858338</v>
      </c>
      <c r="K255">
        <f t="shared" si="67"/>
        <v>22.839923800390029</v>
      </c>
      <c r="L255">
        <f t="shared" si="74"/>
        <v>3.9441156936396604</v>
      </c>
      <c r="M255">
        <f t="shared" si="75"/>
        <v>0.32809497048500447</v>
      </c>
      <c r="N255">
        <f t="shared" si="84"/>
        <v>3.4204592916475818E-3</v>
      </c>
      <c r="P255">
        <v>171.67939999999999</v>
      </c>
      <c r="Q255">
        <v>1.2736113195350961E-2</v>
      </c>
      <c r="R255">
        <f t="shared" si="68"/>
        <v>2.1865282717099355</v>
      </c>
      <c r="S255">
        <f t="shared" si="76"/>
        <v>8.4232969437002545</v>
      </c>
      <c r="T255">
        <f t="shared" si="77"/>
        <v>4.1510862795755896</v>
      </c>
      <c r="U255">
        <f t="shared" si="85"/>
        <v>0.20533190031524295</v>
      </c>
      <c r="W255">
        <v>161.0018</v>
      </c>
      <c r="X255">
        <v>0.22937652404332695</v>
      </c>
      <c r="Y255">
        <f t="shared" si="69"/>
        <v>36.930033248718921</v>
      </c>
      <c r="Z255">
        <f t="shared" si="78"/>
        <v>4.7828610998302601</v>
      </c>
      <c r="AA255">
        <f t="shared" si="79"/>
        <v>0.51065043570559521</v>
      </c>
      <c r="AB255">
        <f t="shared" si="86"/>
        <v>1.792229858148553</v>
      </c>
      <c r="AE255">
        <v>152.88589999999999</v>
      </c>
      <c r="AF255">
        <v>0.36297234500839293</v>
      </c>
      <c r="AG255">
        <f t="shared" si="70"/>
        <v>55.493353641718656</v>
      </c>
      <c r="AH255">
        <f t="shared" si="80"/>
        <v>3.8863464171533524</v>
      </c>
      <c r="AI255">
        <f t="shared" si="81"/>
        <v>0.3858642469713125</v>
      </c>
      <c r="AJ255">
        <f t="shared" si="87"/>
        <v>0.90869465639080715</v>
      </c>
      <c r="AL255">
        <f t="shared" si="71"/>
        <v>154.11353624303351</v>
      </c>
      <c r="AM255">
        <f t="shared" si="82"/>
        <v>4.2722106641246649</v>
      </c>
    </row>
    <row r="256" spans="1:39" x14ac:dyDescent="0.35">
      <c r="A256" s="2">
        <v>44228</v>
      </c>
      <c r="B256">
        <v>163.81659999999999</v>
      </c>
      <c r="C256">
        <v>0.22159169278434576</v>
      </c>
      <c r="D256">
        <f t="shared" si="66"/>
        <v>36.300397700176056</v>
      </c>
      <c r="E256">
        <f t="shared" si="72"/>
        <v>-0.99089728332771854</v>
      </c>
      <c r="F256">
        <f t="shared" si="73"/>
        <v>2.5029942065702193</v>
      </c>
      <c r="G256">
        <f t="shared" si="83"/>
        <v>2.2409195207051202</v>
      </c>
      <c r="I256">
        <v>133.5933</v>
      </c>
      <c r="J256">
        <v>0.17332332496858338</v>
      </c>
      <c r="K256">
        <f t="shared" si="67"/>
        <v>23.154834949525451</v>
      </c>
      <c r="L256">
        <f t="shared" si="74"/>
        <v>1.3787749551513073</v>
      </c>
      <c r="M256">
        <f t="shared" si="75"/>
        <v>0.13332196809119345</v>
      </c>
      <c r="N256">
        <f t="shared" si="84"/>
        <v>0.19477300239381101</v>
      </c>
      <c r="P256">
        <v>184.1738</v>
      </c>
      <c r="Q256">
        <v>1.2736113195350961E-2</v>
      </c>
      <c r="R256">
        <f t="shared" si="68"/>
        <v>2.345658364417929</v>
      </c>
      <c r="S256">
        <f t="shared" si="76"/>
        <v>7.2777514366895613</v>
      </c>
      <c r="T256">
        <f t="shared" si="77"/>
        <v>5.7656545134470605</v>
      </c>
      <c r="U256">
        <f t="shared" si="85"/>
        <v>1.6145682338714709</v>
      </c>
      <c r="W256">
        <v>163.33680000000001</v>
      </c>
      <c r="X256">
        <v>0.22937652404332695</v>
      </c>
      <c r="Y256">
        <f t="shared" si="69"/>
        <v>37.465627432360087</v>
      </c>
      <c r="Z256">
        <f t="shared" si="78"/>
        <v>1.4502943445352745</v>
      </c>
      <c r="AA256">
        <f t="shared" si="79"/>
        <v>6.1802578707226274E-2</v>
      </c>
      <c r="AB256">
        <f t="shared" si="86"/>
        <v>0.44884785699836893</v>
      </c>
      <c r="AE256">
        <v>157.52539999999999</v>
      </c>
      <c r="AF256">
        <v>0.36297234500839293</v>
      </c>
      <c r="AG256">
        <f t="shared" si="70"/>
        <v>57.177363836385098</v>
      </c>
      <c r="AH256">
        <f t="shared" si="80"/>
        <v>3.0346160110252152</v>
      </c>
      <c r="AI256">
        <f t="shared" si="81"/>
        <v>1.5225190877827144</v>
      </c>
      <c r="AJ256">
        <f t="shared" si="87"/>
        <v>1.1366548408114019</v>
      </c>
      <c r="AL256">
        <f t="shared" si="71"/>
        <v>156.44388228286462</v>
      </c>
      <c r="AM256">
        <f t="shared" si="82"/>
        <v>1.5120969232425008</v>
      </c>
    </row>
    <row r="257" spans="1:39" x14ac:dyDescent="0.35">
      <c r="A257" s="2">
        <v>44256</v>
      </c>
      <c r="B257">
        <v>161.21639999999999</v>
      </c>
      <c r="C257">
        <v>0.22159169278434576</v>
      </c>
      <c r="D257">
        <f t="shared" si="66"/>
        <v>35.724214980598198</v>
      </c>
      <c r="E257">
        <f t="shared" si="72"/>
        <v>-1.5872628292859181</v>
      </c>
      <c r="F257">
        <f t="shared" si="73"/>
        <v>4.4836208919902587</v>
      </c>
      <c r="G257">
        <f t="shared" si="83"/>
        <v>1.9806266854200394</v>
      </c>
      <c r="I257">
        <v>134.61600000000001</v>
      </c>
      <c r="J257">
        <v>0.17332332496858338</v>
      </c>
      <c r="K257">
        <f t="shared" si="67"/>
        <v>23.332092713970823</v>
      </c>
      <c r="L257">
        <f t="shared" si="74"/>
        <v>0.76553240319687799</v>
      </c>
      <c r="M257">
        <f t="shared" si="75"/>
        <v>2.1308256595074626</v>
      </c>
      <c r="N257">
        <f t="shared" si="84"/>
        <v>1.9975036914162692</v>
      </c>
      <c r="P257">
        <v>181.34829999999999</v>
      </c>
      <c r="Q257">
        <v>1.2736113195350961E-2</v>
      </c>
      <c r="R257">
        <f t="shared" si="68"/>
        <v>2.3096724765844647</v>
      </c>
      <c r="S257">
        <f t="shared" si="76"/>
        <v>-1.5341487225653205</v>
      </c>
      <c r="T257">
        <f t="shared" si="77"/>
        <v>4.4305067852696611</v>
      </c>
      <c r="U257">
        <f t="shared" si="85"/>
        <v>1.3351477281773994</v>
      </c>
      <c r="W257">
        <v>172.38579999999999</v>
      </c>
      <c r="X257">
        <v>0.22937652404332695</v>
      </c>
      <c r="Y257">
        <f t="shared" si="69"/>
        <v>39.541255598428151</v>
      </c>
      <c r="Z257">
        <f t="shared" si="78"/>
        <v>5.540086496123342</v>
      </c>
      <c r="AA257">
        <f t="shared" si="79"/>
        <v>2.6437284334190014</v>
      </c>
      <c r="AB257">
        <f t="shared" si="86"/>
        <v>2.5819258547117752</v>
      </c>
      <c r="AE257">
        <v>165.48869999999999</v>
      </c>
      <c r="AF257">
        <v>0.36297234500839293</v>
      </c>
      <c r="AG257">
        <f t="shared" si="70"/>
        <v>60.067821511390434</v>
      </c>
      <c r="AH257">
        <f t="shared" si="80"/>
        <v>5.0552482329833781</v>
      </c>
      <c r="AI257">
        <f t="shared" si="81"/>
        <v>2.1588901702790375</v>
      </c>
      <c r="AJ257">
        <f t="shared" si="87"/>
        <v>0.63637108249632313</v>
      </c>
      <c r="AL257">
        <f t="shared" si="71"/>
        <v>160.97505728097207</v>
      </c>
      <c r="AM257">
        <f t="shared" si="82"/>
        <v>2.8963580627043406</v>
      </c>
    </row>
    <row r="258" spans="1:39" x14ac:dyDescent="0.35">
      <c r="A258" s="2">
        <v>44287</v>
      </c>
      <c r="B258">
        <v>169.88820000000001</v>
      </c>
      <c r="C258">
        <v>0.22159169278434576</v>
      </c>
      <c r="D258">
        <f t="shared" si="66"/>
        <v>37.645813822085493</v>
      </c>
      <c r="E258">
        <f t="shared" si="72"/>
        <v>5.378981294706997</v>
      </c>
      <c r="F258">
        <f t="shared" si="73"/>
        <v>1.4650533466295856</v>
      </c>
      <c r="G258">
        <f t="shared" si="83"/>
        <v>3.0185675453606731</v>
      </c>
      <c r="I258">
        <v>138.88</v>
      </c>
      <c r="J258">
        <v>0.17332332496858338</v>
      </c>
      <c r="K258">
        <f t="shared" si="67"/>
        <v>24.071143371636857</v>
      </c>
      <c r="L258">
        <f t="shared" si="74"/>
        <v>3.1675283770131291</v>
      </c>
      <c r="M258">
        <f t="shared" si="75"/>
        <v>0.74639957106428234</v>
      </c>
      <c r="N258">
        <f t="shared" si="84"/>
        <v>1.3844260884431803</v>
      </c>
      <c r="P258">
        <v>188.97880000000001</v>
      </c>
      <c r="Q258">
        <v>1.2736113195350961E-2</v>
      </c>
      <c r="R258">
        <f t="shared" si="68"/>
        <v>2.4068553883215902</v>
      </c>
      <c r="S258">
        <f t="shared" si="76"/>
        <v>4.2076490377908282</v>
      </c>
      <c r="T258">
        <f t="shared" si="77"/>
        <v>0.29372108971341682</v>
      </c>
      <c r="U258">
        <f t="shared" si="85"/>
        <v>4.1367856955562443</v>
      </c>
      <c r="W258">
        <v>174.19280000000001</v>
      </c>
      <c r="X258">
        <v>0.22937652404332695</v>
      </c>
      <c r="Y258">
        <f t="shared" si="69"/>
        <v>39.955738977374445</v>
      </c>
      <c r="Z258">
        <f t="shared" si="78"/>
        <v>1.048230190653765</v>
      </c>
      <c r="AA258">
        <f t="shared" si="79"/>
        <v>2.8656977574236464</v>
      </c>
      <c r="AB258">
        <f t="shared" si="86"/>
        <v>0.22196932400464497</v>
      </c>
      <c r="AE258">
        <v>174.10679999999999</v>
      </c>
      <c r="AF258">
        <v>0.36297234500839293</v>
      </c>
      <c r="AG258">
        <f t="shared" si="70"/>
        <v>63.19595347790726</v>
      </c>
      <c r="AH258">
        <f t="shared" si="80"/>
        <v>5.2076667470347004</v>
      </c>
      <c r="AI258">
        <f t="shared" si="81"/>
        <v>1.293738798957289</v>
      </c>
      <c r="AJ258">
        <f t="shared" si="87"/>
        <v>0.86515137132174846</v>
      </c>
      <c r="AL258">
        <f t="shared" si="71"/>
        <v>167.27550503732564</v>
      </c>
      <c r="AM258">
        <f t="shared" si="82"/>
        <v>3.9139279480774114</v>
      </c>
    </row>
    <row r="259" spans="1:39" x14ac:dyDescent="0.35">
      <c r="A259" s="2">
        <v>44317</v>
      </c>
      <c r="B259">
        <v>173.67939999999999</v>
      </c>
      <c r="C259">
        <v>0.22159169278434576</v>
      </c>
      <c r="D259">
        <f t="shared" si="66"/>
        <v>38.485912247769498</v>
      </c>
      <c r="E259">
        <f t="shared" si="72"/>
        <v>2.2315852425300653</v>
      </c>
      <c r="F259">
        <f t="shared" si="73"/>
        <v>1.1386598142122839</v>
      </c>
      <c r="G259">
        <f t="shared" si="83"/>
        <v>0.32639353241730173</v>
      </c>
      <c r="I259">
        <v>141.70650000000001</v>
      </c>
      <c r="J259">
        <v>0.17332332496858338</v>
      </c>
      <c r="K259">
        <f t="shared" si="67"/>
        <v>24.561041749660561</v>
      </c>
      <c r="L259">
        <f t="shared" si="74"/>
        <v>2.0352102534562322</v>
      </c>
      <c r="M259">
        <f t="shared" si="75"/>
        <v>0.9422848251384508</v>
      </c>
      <c r="N259">
        <f t="shared" si="84"/>
        <v>0.19588525407416846</v>
      </c>
      <c r="P259">
        <v>191.96430000000001</v>
      </c>
      <c r="Q259">
        <v>1.2736113195350961E-2</v>
      </c>
      <c r="R259">
        <f t="shared" si="68"/>
        <v>2.4448790542663108</v>
      </c>
      <c r="S259">
        <f t="shared" si="76"/>
        <v>1.5798068354757167</v>
      </c>
      <c r="T259">
        <f t="shared" si="77"/>
        <v>0.48688140715793526</v>
      </c>
      <c r="U259">
        <f t="shared" si="85"/>
        <v>0.19316031744451845</v>
      </c>
      <c r="W259">
        <v>176.1327</v>
      </c>
      <c r="X259">
        <v>0.22937652404332695</v>
      </c>
      <c r="Y259">
        <f t="shared" si="69"/>
        <v>40.400706496366091</v>
      </c>
      <c r="Z259">
        <f t="shared" si="78"/>
        <v>1.113651080871314</v>
      </c>
      <c r="AA259">
        <f t="shared" si="79"/>
        <v>2.0725652553532647E-2</v>
      </c>
      <c r="AB259">
        <f t="shared" si="86"/>
        <v>2.8449721048701138</v>
      </c>
      <c r="AE259">
        <v>174.14869999999999</v>
      </c>
      <c r="AF259">
        <v>0.36297234500839293</v>
      </c>
      <c r="AG259">
        <f t="shared" si="70"/>
        <v>63.211162019163112</v>
      </c>
      <c r="AH259">
        <f t="shared" si="80"/>
        <v>2.4065688416530229E-2</v>
      </c>
      <c r="AI259">
        <f t="shared" si="81"/>
        <v>1.0688597399012512</v>
      </c>
      <c r="AJ259">
        <f t="shared" si="87"/>
        <v>0.22487905905603789</v>
      </c>
      <c r="AL259">
        <f t="shared" si="71"/>
        <v>169.10370156722558</v>
      </c>
      <c r="AM259">
        <f t="shared" si="82"/>
        <v>1.0929254283177814</v>
      </c>
    </row>
    <row r="260" spans="1:39" x14ac:dyDescent="0.35">
      <c r="A260" s="2">
        <v>44348</v>
      </c>
      <c r="B260">
        <v>180.1344</v>
      </c>
      <c r="C260">
        <v>0.22159169278434576</v>
      </c>
      <c r="D260">
        <f t="shared" ref="D260:D302" si="88">B260*C260</f>
        <v>39.916286624692454</v>
      </c>
      <c r="E260">
        <f t="shared" si="72"/>
        <v>3.7166180905737978</v>
      </c>
      <c r="F260">
        <f t="shared" si="73"/>
        <v>0.58110475412407325</v>
      </c>
      <c r="G260">
        <f t="shared" si="83"/>
        <v>0.55755506008821065</v>
      </c>
      <c r="I260">
        <v>146.10329999999999</v>
      </c>
      <c r="J260">
        <v>0.17332332496858338</v>
      </c>
      <c r="K260">
        <f t="shared" ref="K260:K302" si="89">I260*J260</f>
        <v>25.323109744882426</v>
      </c>
      <c r="L260">
        <f t="shared" si="74"/>
        <v>3.1027511088058679</v>
      </c>
      <c r="M260">
        <f t="shared" si="75"/>
        <v>3.2762227643856612E-2</v>
      </c>
      <c r="N260">
        <f t="shared" si="84"/>
        <v>0.90952259749459419</v>
      </c>
      <c r="P260">
        <v>193.49619999999999</v>
      </c>
      <c r="Q260">
        <v>1.2736113195350961E-2</v>
      </c>
      <c r="R260">
        <f t="shared" ref="R260:R302" si="90">P260*Q260</f>
        <v>2.4643895060702685</v>
      </c>
      <c r="S260">
        <f t="shared" si="76"/>
        <v>0.79801296386878828</v>
      </c>
      <c r="T260">
        <f t="shared" si="77"/>
        <v>2.3375003725809362</v>
      </c>
      <c r="U260">
        <f t="shared" si="85"/>
        <v>1.850618965423001</v>
      </c>
      <c r="W260">
        <v>183.01249999999999</v>
      </c>
      <c r="X260">
        <v>0.22937652404332695</v>
      </c>
      <c r="Y260">
        <f t="shared" ref="Y260:Y302" si="91">W260*X260</f>
        <v>41.978771106479371</v>
      </c>
      <c r="Z260">
        <f t="shared" si="78"/>
        <v>3.906032213211974</v>
      </c>
      <c r="AA260">
        <f t="shared" si="79"/>
        <v>0.7705188767622495</v>
      </c>
      <c r="AB260">
        <f t="shared" si="86"/>
        <v>0.74979322420871686</v>
      </c>
      <c r="AE260">
        <v>178.315</v>
      </c>
      <c r="AF260">
        <v>0.36297234500839293</v>
      </c>
      <c r="AG260">
        <f t="shared" ref="AG260:AG302" si="92">AE260*AF260</f>
        <v>64.723413700171591</v>
      </c>
      <c r="AH260">
        <f t="shared" si="80"/>
        <v>2.39238076425492</v>
      </c>
      <c r="AI260">
        <f t="shared" si="81"/>
        <v>0.74313257219480455</v>
      </c>
      <c r="AJ260">
        <f t="shared" si="87"/>
        <v>0.32572716770644661</v>
      </c>
      <c r="AL260">
        <f t="shared" ref="AL260:AL302" si="93">AG260+Y260+R260+K260+D260</f>
        <v>174.4059706822961</v>
      </c>
      <c r="AM260">
        <f t="shared" si="82"/>
        <v>3.1355133364497245</v>
      </c>
    </row>
    <row r="261" spans="1:39" x14ac:dyDescent="0.35">
      <c r="A261" s="2">
        <v>44378</v>
      </c>
      <c r="B261">
        <v>188.03110000000001</v>
      </c>
      <c r="C261">
        <v>0.22159169278434576</v>
      </c>
      <c r="D261">
        <f t="shared" si="88"/>
        <v>41.666129745102602</v>
      </c>
      <c r="E261">
        <f t="shared" ref="E261:E302" si="94">((B261/B260)-1)*100</f>
        <v>4.383782331414765</v>
      </c>
      <c r="F261">
        <f t="shared" ref="F261:F302" si="95">ABS(E261-$AM261)</f>
        <v>1.3108570760370419</v>
      </c>
      <c r="G261">
        <f t="shared" si="83"/>
        <v>0.72975232191296868</v>
      </c>
      <c r="I261">
        <v>150.87739999999999</v>
      </c>
      <c r="J261">
        <v>0.17332332496858338</v>
      </c>
      <c r="K261">
        <f t="shared" si="89"/>
        <v>26.150572630614942</v>
      </c>
      <c r="L261">
        <f t="shared" ref="L261:L302" si="96">((I261/I260)-1)*100</f>
        <v>3.2676195541100128</v>
      </c>
      <c r="M261">
        <f t="shared" ref="M261:M302" si="97">ABS(L261-$AM261)</f>
        <v>0.19469429873228972</v>
      </c>
      <c r="N261">
        <f t="shared" si="84"/>
        <v>0.1619320710884331</v>
      </c>
      <c r="P261">
        <v>206.6448</v>
      </c>
      <c r="Q261">
        <v>1.2736113195350961E-2</v>
      </c>
      <c r="R261">
        <f t="shared" si="90"/>
        <v>2.6318515640306606</v>
      </c>
      <c r="S261">
        <f t="shared" ref="S261:S302" si="98">((P261/P260)-1)*100</f>
        <v>6.7952755661351505</v>
      </c>
      <c r="T261">
        <f t="shared" ref="T261:T302" si="99">ABS(S261-$AM261)</f>
        <v>3.7223503107574274</v>
      </c>
      <c r="U261">
        <f t="shared" si="85"/>
        <v>1.3848499381764912</v>
      </c>
      <c r="W261">
        <v>182.25530000000001</v>
      </c>
      <c r="X261">
        <v>0.22937652404332695</v>
      </c>
      <c r="Y261">
        <f t="shared" si="91"/>
        <v>41.805087202473764</v>
      </c>
      <c r="Z261">
        <f t="shared" ref="Z261:Z302" si="100">((W261/W260)-1)*100</f>
        <v>-0.41374223072193628</v>
      </c>
      <c r="AA261">
        <f t="shared" ref="AA261:AA302" si="101">ABS(Z261-$AM261)</f>
        <v>3.4866674860996594</v>
      </c>
      <c r="AB261">
        <f t="shared" si="86"/>
        <v>2.7161486093374099</v>
      </c>
      <c r="AE261">
        <v>185.99680000000001</v>
      </c>
      <c r="AF261">
        <v>0.36297234500839293</v>
      </c>
      <c r="AG261">
        <f t="shared" si="92"/>
        <v>67.51169466005706</v>
      </c>
      <c r="AH261">
        <f t="shared" ref="AH261:AH302" si="102">((AE261/AE260)-1)*100</f>
        <v>4.3079942797857873</v>
      </c>
      <c r="AI261">
        <f t="shared" ref="AI261:AI302" si="103">ABS(AH261-$AM261)</f>
        <v>1.2350690244080642</v>
      </c>
      <c r="AJ261">
        <f t="shared" si="87"/>
        <v>0.49193645221325966</v>
      </c>
      <c r="AL261">
        <f t="shared" si="93"/>
        <v>179.76533580227903</v>
      </c>
      <c r="AM261">
        <f t="shared" ref="AM261:AM302" si="104">((AL261/AL260)-1)*100</f>
        <v>3.0729252553777231</v>
      </c>
    </row>
    <row r="262" spans="1:39" x14ac:dyDescent="0.35">
      <c r="A262" s="2">
        <v>44409</v>
      </c>
      <c r="B262">
        <v>197.46979999999999</v>
      </c>
      <c r="C262">
        <v>0.22159169278434576</v>
      </c>
      <c r="D262">
        <f t="shared" si="88"/>
        <v>43.757667255786203</v>
      </c>
      <c r="E262">
        <f t="shared" si="94"/>
        <v>5.0197547107898588</v>
      </c>
      <c r="F262">
        <f t="shared" si="95"/>
        <v>1.6175315844284333</v>
      </c>
      <c r="G262">
        <f t="shared" ref="G262:G302" si="105">ABS(F262-F261)</f>
        <v>0.30667450839139132</v>
      </c>
      <c r="I262">
        <v>155.03739999999999</v>
      </c>
      <c r="J262">
        <v>0.17332332496858338</v>
      </c>
      <c r="K262">
        <f t="shared" si="89"/>
        <v>26.871597662484248</v>
      </c>
      <c r="L262">
        <f t="shared" si="96"/>
        <v>2.7572055191831257</v>
      </c>
      <c r="M262">
        <f t="shared" si="97"/>
        <v>0.64501760717829981</v>
      </c>
      <c r="N262">
        <f t="shared" ref="N262:N302" si="106">ABS(M262-M261)</f>
        <v>0.4503233084460101</v>
      </c>
      <c r="P262">
        <v>214.1636</v>
      </c>
      <c r="Q262">
        <v>1.2736113195350961E-2</v>
      </c>
      <c r="R262">
        <f t="shared" si="90"/>
        <v>2.7276118519238652</v>
      </c>
      <c r="S262">
        <f t="shared" si="98"/>
        <v>3.6385140105146707</v>
      </c>
      <c r="T262">
        <f t="shared" si="99"/>
        <v>0.23629088415324517</v>
      </c>
      <c r="U262">
        <f t="shared" ref="U262:U302" si="107">ABS(T262-T261)</f>
        <v>3.4860594266041822</v>
      </c>
      <c r="W262">
        <v>185.42</v>
      </c>
      <c r="X262">
        <v>0.22937652404332695</v>
      </c>
      <c r="Y262">
        <f t="shared" si="91"/>
        <v>42.530995088113677</v>
      </c>
      <c r="Z262">
        <f t="shared" si="100"/>
        <v>1.7364104089153898</v>
      </c>
      <c r="AA262">
        <f t="shared" si="101"/>
        <v>1.6658127174460358</v>
      </c>
      <c r="AB262">
        <f t="shared" ref="AB262:AB302" si="108">ABS(AA262-AA261)</f>
        <v>1.8208547686536236</v>
      </c>
      <c r="AE262">
        <v>192.83420000000001</v>
      </c>
      <c r="AF262">
        <v>0.36297234500839293</v>
      </c>
      <c r="AG262">
        <f t="shared" si="92"/>
        <v>69.993481771817443</v>
      </c>
      <c r="AH262">
        <f t="shared" si="102"/>
        <v>3.6760847498451543</v>
      </c>
      <c r="AI262">
        <f t="shared" si="103"/>
        <v>0.27386162348372878</v>
      </c>
      <c r="AJ262">
        <f t="shared" ref="AJ262:AJ302" si="109">ABS(AI262-AI261)</f>
        <v>0.96120740092433543</v>
      </c>
      <c r="AL262">
        <f t="shared" si="93"/>
        <v>185.88135363012543</v>
      </c>
      <c r="AM262">
        <f t="shared" si="104"/>
        <v>3.4022231263614255</v>
      </c>
    </row>
    <row r="263" spans="1:39" x14ac:dyDescent="0.35">
      <c r="A263" s="2">
        <v>44440</v>
      </c>
      <c r="B263">
        <v>194.86019999999999</v>
      </c>
      <c r="C263">
        <v>0.22159169278434576</v>
      </c>
      <c r="D263">
        <f t="shared" si="88"/>
        <v>43.179401574296172</v>
      </c>
      <c r="E263">
        <f t="shared" si="94"/>
        <v>-1.321518530934862</v>
      </c>
      <c r="F263">
        <f t="shared" si="95"/>
        <v>8.8773367736150188E-2</v>
      </c>
      <c r="G263">
        <f t="shared" si="105"/>
        <v>1.5287582166922831</v>
      </c>
      <c r="I263">
        <v>152.51419999999999</v>
      </c>
      <c r="J263">
        <v>0.17332332496858338</v>
      </c>
      <c r="K263">
        <f t="shared" si="89"/>
        <v>26.434268248923516</v>
      </c>
      <c r="L263">
        <f t="shared" si="96"/>
        <v>-1.6274782729844506</v>
      </c>
      <c r="M263">
        <f t="shared" si="97"/>
        <v>0.39473310978573872</v>
      </c>
      <c r="N263">
        <f t="shared" si="106"/>
        <v>0.25028449739256109</v>
      </c>
      <c r="P263">
        <v>215.1634</v>
      </c>
      <c r="Q263">
        <v>1.2736113195350961E-2</v>
      </c>
      <c r="R263">
        <f t="shared" si="90"/>
        <v>2.7403454178965769</v>
      </c>
      <c r="S263">
        <f t="shared" si="98"/>
        <v>0.46683936952871541</v>
      </c>
      <c r="T263">
        <f t="shared" si="99"/>
        <v>1.6995845327274273</v>
      </c>
      <c r="U263">
        <f t="shared" si="107"/>
        <v>1.4632936485741821</v>
      </c>
      <c r="W263">
        <v>187.92089999999999</v>
      </c>
      <c r="X263">
        <v>0.22937652404332695</v>
      </c>
      <c r="Y263">
        <f t="shared" si="91"/>
        <v>43.104642837093635</v>
      </c>
      <c r="Z263">
        <f t="shared" si="100"/>
        <v>1.3487757523460209</v>
      </c>
      <c r="AA263">
        <f t="shared" si="101"/>
        <v>2.5815209155447327</v>
      </c>
      <c r="AB263">
        <f t="shared" si="108"/>
        <v>0.91570819809869697</v>
      </c>
      <c r="AE263">
        <v>187.7037</v>
      </c>
      <c r="AF263">
        <v>0.36297234500839293</v>
      </c>
      <c r="AG263">
        <f t="shared" si="92"/>
        <v>68.131252155751881</v>
      </c>
      <c r="AH263">
        <f t="shared" si="102"/>
        <v>-2.6605757692359622</v>
      </c>
      <c r="AI263">
        <f t="shared" si="103"/>
        <v>1.4278306060372503</v>
      </c>
      <c r="AJ263">
        <f t="shared" si="109"/>
        <v>1.1539689825535215</v>
      </c>
      <c r="AL263">
        <f t="shared" si="93"/>
        <v>183.58991023396177</v>
      </c>
      <c r="AM263">
        <f t="shared" si="104"/>
        <v>-1.2327451631987119</v>
      </c>
    </row>
    <row r="264" spans="1:39" x14ac:dyDescent="0.35">
      <c r="A264" s="2">
        <v>44470</v>
      </c>
      <c r="B264">
        <v>190.57169999999999</v>
      </c>
      <c r="C264">
        <v>0.22159169278434576</v>
      </c>
      <c r="D264">
        <f t="shared" si="88"/>
        <v>42.2291055997905</v>
      </c>
      <c r="E264">
        <f t="shared" si="94"/>
        <v>-2.2008085796894394</v>
      </c>
      <c r="F264">
        <f t="shared" si="95"/>
        <v>1.7754497494931298</v>
      </c>
      <c r="G264">
        <f t="shared" si="105"/>
        <v>1.6866763817569796</v>
      </c>
      <c r="I264">
        <v>148.64420000000001</v>
      </c>
      <c r="J264">
        <v>0.17332332496858338</v>
      </c>
      <c r="K264">
        <f t="shared" si="89"/>
        <v>25.763506981295105</v>
      </c>
      <c r="L264">
        <f t="shared" si="96"/>
        <v>-2.5374686422641179</v>
      </c>
      <c r="M264">
        <f t="shared" si="97"/>
        <v>2.1121098120678083</v>
      </c>
      <c r="N264">
        <f t="shared" si="106"/>
        <v>1.7173767022820696</v>
      </c>
      <c r="P264">
        <v>223.39449999999999</v>
      </c>
      <c r="Q264">
        <v>1.2736113195350961E-2</v>
      </c>
      <c r="R264">
        <f t="shared" si="90"/>
        <v>2.8451776392188304</v>
      </c>
      <c r="S264">
        <f t="shared" si="98"/>
        <v>3.8255112161269089</v>
      </c>
      <c r="T264">
        <f t="shared" si="99"/>
        <v>4.2508700463232181</v>
      </c>
      <c r="U264">
        <f t="shared" si="107"/>
        <v>2.5512855135957908</v>
      </c>
      <c r="W264">
        <v>196.44640000000001</v>
      </c>
      <c r="X264">
        <v>0.22937652404332695</v>
      </c>
      <c r="Y264">
        <f t="shared" si="91"/>
        <v>45.060192392825023</v>
      </c>
      <c r="Z264">
        <f t="shared" si="100"/>
        <v>4.5367492386424457</v>
      </c>
      <c r="AA264">
        <f t="shared" si="101"/>
        <v>4.9621080688387558</v>
      </c>
      <c r="AB264">
        <f t="shared" si="108"/>
        <v>2.380587153294023</v>
      </c>
      <c r="AE264">
        <v>184.34190000000001</v>
      </c>
      <c r="AF264">
        <v>0.36297234500839293</v>
      </c>
      <c r="AG264">
        <f t="shared" si="92"/>
        <v>66.911011726302675</v>
      </c>
      <c r="AH264">
        <f t="shared" si="102"/>
        <v>-1.7910142421273423</v>
      </c>
      <c r="AI264">
        <f t="shared" si="103"/>
        <v>1.3656554119310327</v>
      </c>
      <c r="AJ264">
        <f t="shared" si="109"/>
        <v>6.2175194106217635E-2</v>
      </c>
      <c r="AL264">
        <f t="shared" si="93"/>
        <v>182.80899433943213</v>
      </c>
      <c r="AM264">
        <f t="shared" si="104"/>
        <v>-0.4253588301963096</v>
      </c>
    </row>
    <row r="265" spans="1:39" x14ac:dyDescent="0.35">
      <c r="A265" s="2">
        <v>44501</v>
      </c>
      <c r="B265">
        <v>199.64179999999999</v>
      </c>
      <c r="C265">
        <v>0.22159169278434576</v>
      </c>
      <c r="D265">
        <f t="shared" si="88"/>
        <v>44.238964412513795</v>
      </c>
      <c r="E265">
        <f t="shared" si="94"/>
        <v>4.7594160098272775</v>
      </c>
      <c r="F265">
        <f t="shared" si="95"/>
        <v>0.8571824258102545</v>
      </c>
      <c r="G265">
        <f t="shared" si="105"/>
        <v>0.91826732368287534</v>
      </c>
      <c r="I265">
        <v>149.5104</v>
      </c>
      <c r="J265">
        <v>0.17332332496858338</v>
      </c>
      <c r="K265">
        <f t="shared" si="89"/>
        <v>25.91363964538289</v>
      </c>
      <c r="L265">
        <f t="shared" si="96"/>
        <v>0.58273380326980817</v>
      </c>
      <c r="M265">
        <f t="shared" si="97"/>
        <v>3.3194997807472149</v>
      </c>
      <c r="N265">
        <f t="shared" si="106"/>
        <v>1.2073899686794065</v>
      </c>
      <c r="P265">
        <v>228.40440000000001</v>
      </c>
      <c r="Q265">
        <v>1.2736113195350961E-2</v>
      </c>
      <c r="R265">
        <f t="shared" si="90"/>
        <v>2.9089842927162191</v>
      </c>
      <c r="S265">
        <f t="shared" si="98"/>
        <v>2.242624594607312</v>
      </c>
      <c r="T265">
        <f t="shared" si="99"/>
        <v>1.659608989409711</v>
      </c>
      <c r="U265">
        <f t="shared" si="107"/>
        <v>2.5912610569135071</v>
      </c>
      <c r="W265">
        <v>200.61269999999999</v>
      </c>
      <c r="X265">
        <v>0.22937652404332695</v>
      </c>
      <c r="Y265">
        <f t="shared" si="91"/>
        <v>46.015843804946734</v>
      </c>
      <c r="Z265">
        <f t="shared" si="100"/>
        <v>2.1208329600338693</v>
      </c>
      <c r="AA265">
        <f t="shared" si="101"/>
        <v>1.7814006239831537</v>
      </c>
      <c r="AB265">
        <f t="shared" si="108"/>
        <v>3.1807074448556021</v>
      </c>
      <c r="AE265">
        <v>195.23580000000001</v>
      </c>
      <c r="AF265">
        <v>0.36297234500839293</v>
      </c>
      <c r="AG265">
        <f t="shared" si="92"/>
        <v>70.865196155589601</v>
      </c>
      <c r="AH265">
        <f t="shared" si="102"/>
        <v>5.9096168586740161</v>
      </c>
      <c r="AI265">
        <f t="shared" si="103"/>
        <v>2.0073832746569931</v>
      </c>
      <c r="AJ265">
        <f t="shared" si="109"/>
        <v>0.64172786272596039</v>
      </c>
      <c r="AL265">
        <f t="shared" si="93"/>
        <v>189.94262831114924</v>
      </c>
      <c r="AM265">
        <f t="shared" si="104"/>
        <v>3.902233584017023</v>
      </c>
    </row>
    <row r="266" spans="1:39" x14ac:dyDescent="0.35">
      <c r="A266" s="2">
        <v>44531</v>
      </c>
      <c r="B266">
        <v>195.5729</v>
      </c>
      <c r="C266">
        <v>0.22159169278434576</v>
      </c>
      <c r="D266">
        <f t="shared" si="88"/>
        <v>43.337329973743579</v>
      </c>
      <c r="E266">
        <f t="shared" si="94"/>
        <v>-2.0381002375253976</v>
      </c>
      <c r="F266">
        <f t="shared" si="95"/>
        <v>0.74317057664006203</v>
      </c>
      <c r="G266">
        <f t="shared" si="105"/>
        <v>0.11401184917019247</v>
      </c>
      <c r="I266">
        <v>148.61969999999999</v>
      </c>
      <c r="J266">
        <v>0.17332332496858338</v>
      </c>
      <c r="K266">
        <f t="shared" si="89"/>
        <v>25.759260559833372</v>
      </c>
      <c r="L266">
        <f t="shared" si="96"/>
        <v>-0.5957445100809089</v>
      </c>
      <c r="M266">
        <f t="shared" si="97"/>
        <v>0.69918515080442667</v>
      </c>
      <c r="N266">
        <f t="shared" si="106"/>
        <v>2.6203146299427882</v>
      </c>
      <c r="P266">
        <v>227.751</v>
      </c>
      <c r="Q266">
        <v>1.2736113195350961E-2</v>
      </c>
      <c r="R266">
        <f t="shared" si="90"/>
        <v>2.9006625163543767</v>
      </c>
      <c r="S266">
        <f t="shared" si="98"/>
        <v>-0.28607154678281788</v>
      </c>
      <c r="T266">
        <f t="shared" si="99"/>
        <v>1.0088581141025177</v>
      </c>
      <c r="U266">
        <f t="shared" si="107"/>
        <v>0.65075087530719333</v>
      </c>
      <c r="W266">
        <v>195.38900000000001</v>
      </c>
      <c r="X266">
        <v>0.22937652404332695</v>
      </c>
      <c r="Y266">
        <f t="shared" si="91"/>
        <v>44.817649656301612</v>
      </c>
      <c r="Z266">
        <f t="shared" si="100"/>
        <v>-2.6038730349573935</v>
      </c>
      <c r="AA266">
        <f t="shared" si="101"/>
        <v>1.308943374072058</v>
      </c>
      <c r="AB266">
        <f t="shared" si="108"/>
        <v>0.47245724991109572</v>
      </c>
      <c r="AE266">
        <v>194.69280000000001</v>
      </c>
      <c r="AF266">
        <v>0.36297234500839293</v>
      </c>
      <c r="AG266">
        <f t="shared" si="92"/>
        <v>70.668102172250045</v>
      </c>
      <c r="AH266">
        <f t="shared" si="102"/>
        <v>-0.27812522088674907</v>
      </c>
      <c r="AI266">
        <f t="shared" si="103"/>
        <v>1.0168044399985865</v>
      </c>
      <c r="AJ266">
        <f t="shared" si="109"/>
        <v>0.99057883465840657</v>
      </c>
      <c r="AL266">
        <f t="shared" si="93"/>
        <v>187.48300487848297</v>
      </c>
      <c r="AM266">
        <f t="shared" si="104"/>
        <v>-1.2949296608853356</v>
      </c>
    </row>
    <row r="267" spans="1:39" x14ac:dyDescent="0.35">
      <c r="A267" s="2">
        <v>44562</v>
      </c>
      <c r="B267">
        <v>186.1328</v>
      </c>
      <c r="C267">
        <v>0.22159568920570122</v>
      </c>
      <c r="D267">
        <f t="shared" si="88"/>
        <v>41.246226099786945</v>
      </c>
      <c r="E267">
        <f t="shared" si="94"/>
        <v>-4.826895750893911</v>
      </c>
      <c r="F267">
        <f t="shared" si="95"/>
        <v>2.7919416971249551</v>
      </c>
      <c r="G267">
        <f t="shared" si="105"/>
        <v>2.0487711204848931</v>
      </c>
      <c r="I267">
        <v>148.32820000000001</v>
      </c>
      <c r="J267">
        <v>0.1714758382736449</v>
      </c>
      <c r="K267">
        <f t="shared" si="89"/>
        <v>25.434702434620856</v>
      </c>
      <c r="L267">
        <f t="shared" si="96"/>
        <v>-0.19613819702232194</v>
      </c>
      <c r="M267">
        <f t="shared" si="97"/>
        <v>1.8388158567466339</v>
      </c>
      <c r="N267">
        <f t="shared" si="106"/>
        <v>1.1396307059422073</v>
      </c>
      <c r="P267">
        <v>227.64109999999999</v>
      </c>
      <c r="Q267">
        <v>1.3295098437424961E-2</v>
      </c>
      <c r="R267">
        <f t="shared" si="90"/>
        <v>3.0265108329036994</v>
      </c>
      <c r="S267">
        <f t="shared" si="98"/>
        <v>-4.8254453328422375E-2</v>
      </c>
      <c r="T267">
        <f t="shared" si="99"/>
        <v>1.9866996004405335</v>
      </c>
      <c r="U267">
        <f t="shared" si="107"/>
        <v>0.97784148633801582</v>
      </c>
      <c r="W267">
        <v>196.6908</v>
      </c>
      <c r="X267">
        <v>0.2300163794870819</v>
      </c>
      <c r="Y267">
        <f t="shared" si="91"/>
        <v>45.242105694417724</v>
      </c>
      <c r="Z267">
        <f t="shared" si="100"/>
        <v>0.66626063903290067</v>
      </c>
      <c r="AA267">
        <f t="shared" si="101"/>
        <v>2.7012146928018566</v>
      </c>
      <c r="AB267">
        <f t="shared" si="108"/>
        <v>1.3922713187297986</v>
      </c>
      <c r="AE267">
        <v>188.9853</v>
      </c>
      <c r="AF267">
        <v>0.36361699459614699</v>
      </c>
      <c r="AG267">
        <f t="shared" si="92"/>
        <v>68.718266808851212</v>
      </c>
      <c r="AH267">
        <f t="shared" si="102"/>
        <v>-2.931541382115832</v>
      </c>
      <c r="AI267">
        <f t="shared" si="103"/>
        <v>0.89658732834687616</v>
      </c>
      <c r="AJ267">
        <f t="shared" si="109"/>
        <v>0.12021711165171034</v>
      </c>
      <c r="AL267">
        <f t="shared" si="93"/>
        <v>183.66781187058044</v>
      </c>
      <c r="AM267">
        <f t="shared" si="104"/>
        <v>-2.0349540537689559</v>
      </c>
    </row>
    <row r="268" spans="1:39" x14ac:dyDescent="0.35">
      <c r="A268" s="2">
        <v>44593</v>
      </c>
      <c r="B268">
        <v>179.3973</v>
      </c>
      <c r="C268">
        <v>0.22159568920570122</v>
      </c>
      <c r="D268">
        <f t="shared" si="88"/>
        <v>39.753668335141946</v>
      </c>
      <c r="E268">
        <f t="shared" si="94"/>
        <v>-3.6186529187762773</v>
      </c>
      <c r="F268">
        <f t="shared" si="95"/>
        <v>0.61608494173296435</v>
      </c>
      <c r="G268">
        <f t="shared" si="105"/>
        <v>2.1758567553919907</v>
      </c>
      <c r="I268">
        <v>139.8338</v>
      </c>
      <c r="J268">
        <v>0.1714758382736449</v>
      </c>
      <c r="K268">
        <f t="shared" si="89"/>
        <v>23.978118073989208</v>
      </c>
      <c r="L268">
        <f t="shared" si="96"/>
        <v>-5.7267599822555688</v>
      </c>
      <c r="M268">
        <f t="shared" si="97"/>
        <v>1.4920221217463272</v>
      </c>
      <c r="N268">
        <f t="shared" si="106"/>
        <v>0.34679373500030675</v>
      </c>
      <c r="P268">
        <v>226.1628</v>
      </c>
      <c r="Q268">
        <v>1.3295098437424961E-2</v>
      </c>
      <c r="R268">
        <f t="shared" si="90"/>
        <v>3.0068566888836541</v>
      </c>
      <c r="S268">
        <f t="shared" si="98"/>
        <v>-0.64939942743204027</v>
      </c>
      <c r="T268">
        <f t="shared" si="99"/>
        <v>3.5853384330772013</v>
      </c>
      <c r="U268">
        <f t="shared" si="107"/>
        <v>1.5986388326366678</v>
      </c>
      <c r="W268">
        <v>196.62440000000001</v>
      </c>
      <c r="X268">
        <v>0.2300163794870819</v>
      </c>
      <c r="Y268">
        <f t="shared" si="91"/>
        <v>45.226832606819791</v>
      </c>
      <c r="Z268">
        <f t="shared" si="100"/>
        <v>-3.3758569287423157E-2</v>
      </c>
      <c r="AA268">
        <f t="shared" si="101"/>
        <v>4.2009792912218185</v>
      </c>
      <c r="AB268">
        <f t="shared" si="108"/>
        <v>1.4997645984199619</v>
      </c>
      <c r="AE268">
        <v>175.80170000000001</v>
      </c>
      <c r="AF268">
        <v>0.36361699459614699</v>
      </c>
      <c r="AG268">
        <f t="shared" si="92"/>
        <v>63.924485798893457</v>
      </c>
      <c r="AH268">
        <f t="shared" si="102"/>
        <v>-6.9759923126295975</v>
      </c>
      <c r="AI268">
        <f t="shared" si="103"/>
        <v>2.7412544521203559</v>
      </c>
      <c r="AJ268">
        <f t="shared" si="109"/>
        <v>1.8446671237734797</v>
      </c>
      <c r="AL268">
        <f t="shared" si="93"/>
        <v>175.88996150372807</v>
      </c>
      <c r="AM268">
        <f t="shared" si="104"/>
        <v>-4.2347378605092416</v>
      </c>
    </row>
    <row r="269" spans="1:39" x14ac:dyDescent="0.35">
      <c r="A269" s="2">
        <v>44621</v>
      </c>
      <c r="B269">
        <v>183.4256</v>
      </c>
      <c r="C269">
        <v>0.22159568920570122</v>
      </c>
      <c r="D269">
        <f t="shared" si="88"/>
        <v>40.646322249969273</v>
      </c>
      <c r="E269">
        <f t="shared" si="94"/>
        <v>2.2454630030663836</v>
      </c>
      <c r="F269">
        <f t="shared" si="95"/>
        <v>3.3354373249091074</v>
      </c>
      <c r="G269">
        <f t="shared" si="105"/>
        <v>2.719352383176143</v>
      </c>
      <c r="I269">
        <v>128.87610000000001</v>
      </c>
      <c r="J269">
        <v>0.1714758382736449</v>
      </c>
      <c r="K269">
        <f t="shared" si="89"/>
        <v>22.099137280938088</v>
      </c>
      <c r="L269">
        <f t="shared" si="96"/>
        <v>-7.8362312974402437</v>
      </c>
      <c r="M269">
        <f t="shared" si="97"/>
        <v>6.7462569755975199</v>
      </c>
      <c r="N269">
        <f t="shared" si="106"/>
        <v>5.2542348538511927</v>
      </c>
      <c r="P269">
        <v>219.7653</v>
      </c>
      <c r="Q269">
        <v>1.3295098437424961E-2</v>
      </c>
      <c r="R269">
        <f t="shared" si="90"/>
        <v>2.9218012966302278</v>
      </c>
      <c r="S269">
        <f t="shared" si="98"/>
        <v>-2.8287145366081456</v>
      </c>
      <c r="T269">
        <f t="shared" si="99"/>
        <v>1.7387402147654218</v>
      </c>
      <c r="U269">
        <f t="shared" si="107"/>
        <v>1.8465982183117795</v>
      </c>
      <c r="W269">
        <v>206.01580000000001</v>
      </c>
      <c r="X269">
        <v>0.2300163794870819</v>
      </c>
      <c r="Y269">
        <f t="shared" si="91"/>
        <v>47.387008433134767</v>
      </c>
      <c r="Z269">
        <f t="shared" si="100"/>
        <v>4.7763146384680599</v>
      </c>
      <c r="AA269">
        <f t="shared" si="101"/>
        <v>5.8662889603107837</v>
      </c>
      <c r="AB269">
        <f t="shared" si="108"/>
        <v>1.6653096690889653</v>
      </c>
      <c r="AE269">
        <v>167.53489999999999</v>
      </c>
      <c r="AF269">
        <v>0.36361699459614699</v>
      </c>
      <c r="AG269">
        <f t="shared" si="92"/>
        <v>60.918536827966022</v>
      </c>
      <c r="AH269">
        <f t="shared" si="102"/>
        <v>-4.7023436064611568</v>
      </c>
      <c r="AI269">
        <f t="shared" si="103"/>
        <v>3.612369284618433</v>
      </c>
      <c r="AJ269">
        <f t="shared" si="109"/>
        <v>0.87111483249807709</v>
      </c>
      <c r="AL269">
        <f t="shared" si="93"/>
        <v>173.97280608863838</v>
      </c>
      <c r="AM269">
        <f t="shared" si="104"/>
        <v>-1.0899743218427238</v>
      </c>
    </row>
    <row r="270" spans="1:39" x14ac:dyDescent="0.35">
      <c r="A270" s="2">
        <v>44652</v>
      </c>
      <c r="B270">
        <v>189.1463</v>
      </c>
      <c r="C270">
        <v>0.22159568920570122</v>
      </c>
      <c r="D270">
        <f t="shared" si="88"/>
        <v>41.914004709208321</v>
      </c>
      <c r="E270">
        <f t="shared" si="94"/>
        <v>3.1188122050575195</v>
      </c>
      <c r="F270">
        <f t="shared" si="95"/>
        <v>0.60537319706488457</v>
      </c>
      <c r="G270">
        <f t="shared" si="105"/>
        <v>2.7300641278442228</v>
      </c>
      <c r="I270">
        <v>132.3826</v>
      </c>
      <c r="J270">
        <v>0.1714758382736449</v>
      </c>
      <c r="K270">
        <f t="shared" si="89"/>
        <v>22.700417307844624</v>
      </c>
      <c r="L270">
        <f t="shared" si="96"/>
        <v>2.7208303168702264</v>
      </c>
      <c r="M270">
        <f t="shared" si="97"/>
        <v>0.20739130887759138</v>
      </c>
      <c r="N270">
        <f t="shared" si="106"/>
        <v>6.5388656667199285</v>
      </c>
      <c r="P270">
        <v>228.67699999999999</v>
      </c>
      <c r="Q270">
        <v>1.3295098437424961E-2</v>
      </c>
      <c r="R270">
        <f t="shared" si="90"/>
        <v>3.0402832253750276</v>
      </c>
      <c r="S270">
        <f t="shared" si="98"/>
        <v>4.0550987803807059</v>
      </c>
      <c r="T270">
        <f t="shared" si="99"/>
        <v>1.5416597723880709</v>
      </c>
      <c r="U270">
        <f t="shared" si="107"/>
        <v>0.1970804423773509</v>
      </c>
      <c r="W270">
        <v>214.23660000000001</v>
      </c>
      <c r="X270">
        <v>0.2300163794870819</v>
      </c>
      <c r="Y270">
        <f t="shared" si="91"/>
        <v>49.277927085622174</v>
      </c>
      <c r="Z270">
        <f t="shared" si="100"/>
        <v>3.9903735538730611</v>
      </c>
      <c r="AA270">
        <f t="shared" si="101"/>
        <v>1.4769345458804262</v>
      </c>
      <c r="AB270">
        <f t="shared" si="108"/>
        <v>4.3893544144303576</v>
      </c>
      <c r="AE270">
        <v>168.89439999999999</v>
      </c>
      <c r="AF270">
        <v>0.36361699459614699</v>
      </c>
      <c r="AG270">
        <f t="shared" si="92"/>
        <v>61.412874132119484</v>
      </c>
      <c r="AH270">
        <f t="shared" si="102"/>
        <v>0.81147271404347077</v>
      </c>
      <c r="AI270">
        <f t="shared" si="103"/>
        <v>1.7019662939491642</v>
      </c>
      <c r="AJ270">
        <f t="shared" si="109"/>
        <v>1.9104029906692688</v>
      </c>
      <c r="AL270">
        <f t="shared" si="93"/>
        <v>178.34550646016962</v>
      </c>
      <c r="AM270">
        <f t="shared" si="104"/>
        <v>2.513439007992635</v>
      </c>
    </row>
    <row r="271" spans="1:39" x14ac:dyDescent="0.35">
      <c r="A271" s="2">
        <v>44682</v>
      </c>
      <c r="B271">
        <v>179.26589999999999</v>
      </c>
      <c r="C271">
        <v>0.22159568920570122</v>
      </c>
      <c r="D271">
        <f t="shared" si="88"/>
        <v>39.724550661580309</v>
      </c>
      <c r="E271">
        <f t="shared" si="94"/>
        <v>-5.2236813514195184</v>
      </c>
      <c r="F271">
        <f t="shared" si="95"/>
        <v>0.45944359971760207</v>
      </c>
      <c r="G271">
        <f t="shared" si="105"/>
        <v>0.1459295973472825</v>
      </c>
      <c r="I271">
        <v>128.31530000000001</v>
      </c>
      <c r="J271">
        <v>0.1714758382736449</v>
      </c>
      <c r="K271">
        <f t="shared" si="89"/>
        <v>22.00297363083423</v>
      </c>
      <c r="L271">
        <f t="shared" si="96"/>
        <v>-3.0723826243025831</v>
      </c>
      <c r="M271">
        <f t="shared" si="97"/>
        <v>1.6918551273993332</v>
      </c>
      <c r="N271">
        <f t="shared" si="106"/>
        <v>1.4844638185217418</v>
      </c>
      <c r="P271">
        <v>208.40799999999999</v>
      </c>
      <c r="Q271">
        <v>1.3295098437424961E-2</v>
      </c>
      <c r="R271">
        <f t="shared" si="90"/>
        <v>2.7708048751468612</v>
      </c>
      <c r="S271">
        <f t="shared" si="98"/>
        <v>-8.863593627693211</v>
      </c>
      <c r="T271">
        <f t="shared" si="99"/>
        <v>4.0993558759912947</v>
      </c>
      <c r="U271">
        <f t="shared" si="107"/>
        <v>2.5576961036032237</v>
      </c>
      <c r="W271">
        <v>210.4716</v>
      </c>
      <c r="X271">
        <v>0.2300163794870819</v>
      </c>
      <c r="Y271">
        <f t="shared" si="91"/>
        <v>48.411915416853304</v>
      </c>
      <c r="Z271">
        <f t="shared" si="100"/>
        <v>-1.7574027967210193</v>
      </c>
      <c r="AA271">
        <f t="shared" si="101"/>
        <v>3.006834954980897</v>
      </c>
      <c r="AB271">
        <f t="shared" si="108"/>
        <v>1.5299004091004709</v>
      </c>
      <c r="AE271">
        <v>156.5891</v>
      </c>
      <c r="AF271">
        <v>0.36361699459614699</v>
      </c>
      <c r="AG271">
        <f t="shared" si="92"/>
        <v>56.938457928515518</v>
      </c>
      <c r="AH271">
        <f t="shared" si="102"/>
        <v>-7.2857951477372733</v>
      </c>
      <c r="AI271">
        <f t="shared" si="103"/>
        <v>2.521557396035357</v>
      </c>
      <c r="AJ271">
        <f t="shared" si="109"/>
        <v>0.81959110208619279</v>
      </c>
      <c r="AL271">
        <f t="shared" si="93"/>
        <v>169.84870251293023</v>
      </c>
      <c r="AM271">
        <f t="shared" si="104"/>
        <v>-4.7642377517019163</v>
      </c>
    </row>
    <row r="272" spans="1:39" x14ac:dyDescent="0.35">
      <c r="A272" s="2">
        <v>44713</v>
      </c>
      <c r="B272">
        <v>176.19820000000001</v>
      </c>
      <c r="C272">
        <v>0.22159568920570122</v>
      </c>
      <c r="D272">
        <f t="shared" si="88"/>
        <v>39.044761565803988</v>
      </c>
      <c r="E272">
        <f t="shared" si="94"/>
        <v>-1.7112568536458816</v>
      </c>
      <c r="F272">
        <f t="shared" si="95"/>
        <v>0.40263025733043856</v>
      </c>
      <c r="G272">
        <f t="shared" si="105"/>
        <v>5.6813342387163512E-2</v>
      </c>
      <c r="I272">
        <v>125.6208</v>
      </c>
      <c r="J272">
        <v>0.1714758382736449</v>
      </c>
      <c r="K272">
        <f t="shared" si="89"/>
        <v>21.540931984605891</v>
      </c>
      <c r="L272">
        <f t="shared" si="96"/>
        <v>-2.0999054672357853</v>
      </c>
      <c r="M272">
        <f t="shared" si="97"/>
        <v>1.3981643740534899E-2</v>
      </c>
      <c r="N272">
        <f t="shared" si="106"/>
        <v>1.6778734836587983</v>
      </c>
      <c r="P272">
        <v>199.59030000000001</v>
      </c>
      <c r="Q272">
        <v>1.3295098437424961E-2</v>
      </c>
      <c r="R272">
        <f t="shared" si="90"/>
        <v>2.6535726856551793</v>
      </c>
      <c r="S272">
        <f t="shared" si="98"/>
        <v>-4.2309796169052838</v>
      </c>
      <c r="T272">
        <f t="shared" si="99"/>
        <v>2.1170925059289636</v>
      </c>
      <c r="U272">
        <f t="shared" si="107"/>
        <v>1.9822633700623311</v>
      </c>
      <c r="W272">
        <v>210.58930000000001</v>
      </c>
      <c r="X272">
        <v>0.2300163794870819</v>
      </c>
      <c r="Y272">
        <f t="shared" si="91"/>
        <v>48.438988344718936</v>
      </c>
      <c r="Z272">
        <f t="shared" si="100"/>
        <v>5.5922034136668408E-2</v>
      </c>
      <c r="AA272">
        <f t="shared" si="101"/>
        <v>2.1698091451129886</v>
      </c>
      <c r="AB272">
        <f t="shared" si="108"/>
        <v>0.83702580986790842</v>
      </c>
      <c r="AE272">
        <v>150.10310000000001</v>
      </c>
      <c r="AF272">
        <v>0.36361699459614699</v>
      </c>
      <c r="AG272">
        <f t="shared" si="92"/>
        <v>54.580038101564917</v>
      </c>
      <c r="AH272">
        <f t="shared" si="102"/>
        <v>-4.1420507557678015</v>
      </c>
      <c r="AI272">
        <f t="shared" si="103"/>
        <v>2.0281636447914813</v>
      </c>
      <c r="AJ272">
        <f t="shared" si="109"/>
        <v>0.49339375124387574</v>
      </c>
      <c r="AL272">
        <f t="shared" si="93"/>
        <v>166.25829268234889</v>
      </c>
      <c r="AM272">
        <f t="shared" si="104"/>
        <v>-2.1138871109763202</v>
      </c>
    </row>
    <row r="273" spans="1:39" x14ac:dyDescent="0.35">
      <c r="A273" s="2">
        <v>44743</v>
      </c>
      <c r="B273">
        <v>182.35390000000001</v>
      </c>
      <c r="C273">
        <v>0.22159568920570122</v>
      </c>
      <c r="D273">
        <f t="shared" si="88"/>
        <v>40.408838149847519</v>
      </c>
      <c r="E273">
        <f t="shared" si="94"/>
        <v>3.4936225228180406</v>
      </c>
      <c r="F273">
        <f t="shared" si="95"/>
        <v>3.8755289070967924</v>
      </c>
      <c r="G273">
        <f t="shared" si="105"/>
        <v>3.4728986497663539</v>
      </c>
      <c r="I273">
        <v>123.3871</v>
      </c>
      <c r="J273">
        <v>0.1714758382736449</v>
      </c>
      <c r="K273">
        <f t="shared" si="89"/>
        <v>21.157906404654053</v>
      </c>
      <c r="L273">
        <f t="shared" si="96"/>
        <v>-1.7781290996395471</v>
      </c>
      <c r="M273">
        <f t="shared" si="97"/>
        <v>1.3962227153607953</v>
      </c>
      <c r="N273">
        <f t="shared" si="106"/>
        <v>1.3822410716202604</v>
      </c>
      <c r="P273">
        <v>209.05699999999999</v>
      </c>
      <c r="Q273">
        <v>1.3295098437424961E-2</v>
      </c>
      <c r="R273">
        <f t="shared" si="90"/>
        <v>2.77943339403275</v>
      </c>
      <c r="S273">
        <f t="shared" si="98"/>
        <v>4.74306617105138</v>
      </c>
      <c r="T273">
        <f t="shared" si="99"/>
        <v>5.1249725553301317</v>
      </c>
      <c r="U273">
        <f t="shared" si="107"/>
        <v>3.0078800494011682</v>
      </c>
      <c r="W273">
        <v>204.4682</v>
      </c>
      <c r="X273">
        <v>0.2300163794870819</v>
      </c>
      <c r="Y273">
        <f t="shared" si="91"/>
        <v>47.031035084240557</v>
      </c>
      <c r="Z273">
        <f t="shared" si="100"/>
        <v>-2.9066529021180121</v>
      </c>
      <c r="AA273">
        <f t="shared" si="101"/>
        <v>2.5247465178392603</v>
      </c>
      <c r="AB273">
        <f t="shared" si="108"/>
        <v>0.35493737272627168</v>
      </c>
      <c r="AE273">
        <v>149.1848</v>
      </c>
      <c r="AF273">
        <v>0.36361699459614699</v>
      </c>
      <c r="AG273">
        <f t="shared" si="92"/>
        <v>54.246128615427267</v>
      </c>
      <c r="AH273">
        <f t="shared" si="102"/>
        <v>-0.6117795035545659</v>
      </c>
      <c r="AI273">
        <f t="shared" si="103"/>
        <v>0.22987311927581411</v>
      </c>
      <c r="AJ273">
        <f t="shared" si="109"/>
        <v>1.7982905255156671</v>
      </c>
      <c r="AL273">
        <f t="shared" si="93"/>
        <v>165.62334164820214</v>
      </c>
      <c r="AM273">
        <f t="shared" si="104"/>
        <v>-0.38190638427875179</v>
      </c>
    </row>
    <row r="274" spans="1:39" x14ac:dyDescent="0.35">
      <c r="A274" s="2">
        <v>44774</v>
      </c>
      <c r="B274">
        <v>185.18709999999999</v>
      </c>
      <c r="C274">
        <v>0.22159568920570122</v>
      </c>
      <c r="D274">
        <f t="shared" si="88"/>
        <v>41.036663056505112</v>
      </c>
      <c r="E274">
        <f t="shared" si="94"/>
        <v>1.5536821532196265</v>
      </c>
      <c r="F274">
        <f t="shared" si="95"/>
        <v>2.2198397208274656</v>
      </c>
      <c r="G274">
        <f t="shared" si="105"/>
        <v>1.6556891862693268</v>
      </c>
      <c r="I274">
        <v>128.61850000000001</v>
      </c>
      <c r="J274">
        <v>0.1714758382736449</v>
      </c>
      <c r="K274">
        <f t="shared" si="89"/>
        <v>22.0549651049988</v>
      </c>
      <c r="L274">
        <f t="shared" si="96"/>
        <v>4.2398273401352382</v>
      </c>
      <c r="M274">
        <f t="shared" si="97"/>
        <v>0.46630546608814605</v>
      </c>
      <c r="N274">
        <f t="shared" si="106"/>
        <v>0.92991724927264929</v>
      </c>
      <c r="P274">
        <v>212.64930000000001</v>
      </c>
      <c r="Q274">
        <v>1.3295098437424961E-2</v>
      </c>
      <c r="R274">
        <f t="shared" si="90"/>
        <v>2.8271933761495118</v>
      </c>
      <c r="S274">
        <f t="shared" si="98"/>
        <v>1.7183351908809597</v>
      </c>
      <c r="T274">
        <f t="shared" si="99"/>
        <v>2.0551866831661325</v>
      </c>
      <c r="U274">
        <f t="shared" si="107"/>
        <v>3.0697858721639992</v>
      </c>
      <c r="W274">
        <v>216.42679999999999</v>
      </c>
      <c r="X274">
        <v>0.2300163794870819</v>
      </c>
      <c r="Y274">
        <f t="shared" si="91"/>
        <v>49.781708959974772</v>
      </c>
      <c r="Z274">
        <f t="shared" si="100"/>
        <v>5.8486356313597776</v>
      </c>
      <c r="AA274">
        <f t="shared" si="101"/>
        <v>2.0751137573126854</v>
      </c>
      <c r="AB274">
        <f t="shared" si="108"/>
        <v>0.44963276052657486</v>
      </c>
      <c r="AE274">
        <v>154.483</v>
      </c>
      <c r="AF274">
        <v>0.36361699459614699</v>
      </c>
      <c r="AG274">
        <f t="shared" si="92"/>
        <v>56.172644176196577</v>
      </c>
      <c r="AH274">
        <f t="shared" si="102"/>
        <v>3.5514341943683414</v>
      </c>
      <c r="AI274">
        <f t="shared" si="103"/>
        <v>0.22208767967875076</v>
      </c>
      <c r="AJ274">
        <f t="shared" si="109"/>
        <v>7.7854395970633483E-3</v>
      </c>
      <c r="AL274">
        <f t="shared" si="93"/>
        <v>171.87317467382479</v>
      </c>
      <c r="AM274">
        <f t="shared" si="104"/>
        <v>3.7735218740470922</v>
      </c>
    </row>
    <row r="275" spans="1:39" x14ac:dyDescent="0.35">
      <c r="A275" s="2">
        <v>44805</v>
      </c>
      <c r="B275">
        <v>169.52099999999999</v>
      </c>
      <c r="C275">
        <v>0.22159568920570122</v>
      </c>
      <c r="D275">
        <f t="shared" si="88"/>
        <v>37.565122829839673</v>
      </c>
      <c r="E275">
        <f t="shared" si="94"/>
        <v>-8.4596065276685053</v>
      </c>
      <c r="F275">
        <f t="shared" si="95"/>
        <v>1.245491182389368</v>
      </c>
      <c r="G275">
        <f t="shared" si="105"/>
        <v>0.97434853843809766</v>
      </c>
      <c r="I275">
        <v>121.3142</v>
      </c>
      <c r="J275">
        <v>0.1714758382736449</v>
      </c>
      <c r="K275">
        <f t="shared" si="89"/>
        <v>20.802454139496614</v>
      </c>
      <c r="L275">
        <f t="shared" si="96"/>
        <v>-5.6790430614569569</v>
      </c>
      <c r="M275">
        <f t="shared" si="97"/>
        <v>1.5350722838221804</v>
      </c>
      <c r="N275">
        <f t="shared" si="106"/>
        <v>1.0687668177340344</v>
      </c>
      <c r="P275">
        <v>202.70949999999999</v>
      </c>
      <c r="Q275">
        <v>1.3295098437424961E-2</v>
      </c>
      <c r="R275">
        <f t="shared" si="90"/>
        <v>2.695042756701195</v>
      </c>
      <c r="S275">
        <f t="shared" si="98"/>
        <v>-4.6742688548704443</v>
      </c>
      <c r="T275">
        <f t="shared" si="99"/>
        <v>2.539846490408693</v>
      </c>
      <c r="U275">
        <f t="shared" si="107"/>
        <v>0.48465980724256053</v>
      </c>
      <c r="W275">
        <v>203.60079999999999</v>
      </c>
      <c r="X275">
        <v>0.2300163794870819</v>
      </c>
      <c r="Y275">
        <f t="shared" si="91"/>
        <v>46.831518876673464</v>
      </c>
      <c r="Z275">
        <f t="shared" si="100"/>
        <v>-5.926253125768155</v>
      </c>
      <c r="AA275">
        <f t="shared" si="101"/>
        <v>1.2878622195109823</v>
      </c>
      <c r="AB275">
        <f t="shared" si="108"/>
        <v>0.78725153780170309</v>
      </c>
      <c r="AE275">
        <v>141.85230000000001</v>
      </c>
      <c r="AF275">
        <v>0.36361699459614699</v>
      </c>
      <c r="AG275">
        <f t="shared" si="92"/>
        <v>51.579907002551025</v>
      </c>
      <c r="AH275">
        <f t="shared" si="102"/>
        <v>-8.1761099926852765</v>
      </c>
      <c r="AI275">
        <f t="shared" si="103"/>
        <v>0.96199464740613916</v>
      </c>
      <c r="AJ275">
        <f t="shared" si="109"/>
        <v>0.7399069677273884</v>
      </c>
      <c r="AL275">
        <f t="shared" si="93"/>
        <v>159.47404560526198</v>
      </c>
      <c r="AM275">
        <f t="shared" si="104"/>
        <v>-7.2141153452791373</v>
      </c>
    </row>
    <row r="276" spans="1:39" x14ac:dyDescent="0.35">
      <c r="A276" s="2">
        <v>44835</v>
      </c>
      <c r="B276">
        <v>167.33410000000001</v>
      </c>
      <c r="C276">
        <v>0.22159568920570122</v>
      </c>
      <c r="D276">
        <f t="shared" si="88"/>
        <v>37.080515217115732</v>
      </c>
      <c r="E276">
        <f t="shared" si="94"/>
        <v>-1.2900466608856576</v>
      </c>
      <c r="F276">
        <f t="shared" si="95"/>
        <v>0.37159104116497588</v>
      </c>
      <c r="G276">
        <f t="shared" si="105"/>
        <v>0.87390014122439208</v>
      </c>
      <c r="I276">
        <v>120.57210000000001</v>
      </c>
      <c r="J276">
        <v>0.1714758382736449</v>
      </c>
      <c r="K276">
        <f t="shared" si="89"/>
        <v>20.675201919913743</v>
      </c>
      <c r="L276">
        <f t="shared" si="96"/>
        <v>-0.61171734224022556</v>
      </c>
      <c r="M276">
        <f t="shared" si="97"/>
        <v>1.0499203598104079</v>
      </c>
      <c r="N276">
        <f t="shared" si="106"/>
        <v>0.48515192401177254</v>
      </c>
      <c r="P276">
        <v>190.5916</v>
      </c>
      <c r="Q276">
        <v>1.3295098437424961E-2</v>
      </c>
      <c r="R276">
        <f t="shared" si="90"/>
        <v>2.5339340833463231</v>
      </c>
      <c r="S276">
        <f t="shared" si="98"/>
        <v>-5.9779635389559882</v>
      </c>
      <c r="T276">
        <f t="shared" si="99"/>
        <v>4.3163258369053548</v>
      </c>
      <c r="U276">
        <f t="shared" si="107"/>
        <v>1.7764793464966617</v>
      </c>
      <c r="W276">
        <v>198.44210000000001</v>
      </c>
      <c r="X276">
        <v>0.2300163794870819</v>
      </c>
      <c r="Y276">
        <f t="shared" si="91"/>
        <v>45.644933379813459</v>
      </c>
      <c r="Z276">
        <f t="shared" si="100"/>
        <v>-2.5337326768853474</v>
      </c>
      <c r="AA276">
        <f t="shared" si="101"/>
        <v>0.87209497483471399</v>
      </c>
      <c r="AB276">
        <f t="shared" si="108"/>
        <v>0.41576724467626835</v>
      </c>
      <c r="AE276">
        <v>139.9538</v>
      </c>
      <c r="AF276">
        <v>0.36361699459614699</v>
      </c>
      <c r="AG276">
        <f t="shared" si="92"/>
        <v>50.889580138310237</v>
      </c>
      <c r="AH276">
        <f t="shared" si="102"/>
        <v>-1.3383639179625706</v>
      </c>
      <c r="AI276">
        <f t="shared" si="103"/>
        <v>0.32327378408806284</v>
      </c>
      <c r="AJ276">
        <f t="shared" si="109"/>
        <v>0.63872086331807632</v>
      </c>
      <c r="AL276">
        <f t="shared" si="93"/>
        <v>156.82416473849952</v>
      </c>
      <c r="AM276">
        <f t="shared" si="104"/>
        <v>-1.6616377020506334</v>
      </c>
    </row>
    <row r="277" spans="1:39" x14ac:dyDescent="0.35">
      <c r="A277" s="2">
        <v>44866</v>
      </c>
      <c r="B277">
        <v>179.21709999999999</v>
      </c>
      <c r="C277">
        <v>0.22159568920570122</v>
      </c>
      <c r="D277">
        <f t="shared" si="88"/>
        <v>39.713736791947071</v>
      </c>
      <c r="E277">
        <f t="shared" si="94"/>
        <v>7.1013618861905492</v>
      </c>
      <c r="F277">
        <f t="shared" si="95"/>
        <v>0.13733258120558478</v>
      </c>
      <c r="G277">
        <f t="shared" si="105"/>
        <v>0.2342584599593911</v>
      </c>
      <c r="I277">
        <v>127.651</v>
      </c>
      <c r="J277">
        <v>0.1714758382736449</v>
      </c>
      <c r="K277">
        <f t="shared" si="89"/>
        <v>21.889062231469044</v>
      </c>
      <c r="L277">
        <f t="shared" si="96"/>
        <v>5.8710928979423871</v>
      </c>
      <c r="M277">
        <f t="shared" si="97"/>
        <v>1.0929364070425773</v>
      </c>
      <c r="N277">
        <f t="shared" si="106"/>
        <v>4.3016047232169452E-2</v>
      </c>
      <c r="P277">
        <v>198.06899999999999</v>
      </c>
      <c r="Q277">
        <v>1.3295098437424961E-2</v>
      </c>
      <c r="R277">
        <f t="shared" si="90"/>
        <v>2.6333468524023242</v>
      </c>
      <c r="S277">
        <f t="shared" si="98"/>
        <v>3.9232578980395783</v>
      </c>
      <c r="T277">
        <f t="shared" si="99"/>
        <v>3.0407714069453862</v>
      </c>
      <c r="U277">
        <f t="shared" si="107"/>
        <v>1.2755544299599686</v>
      </c>
      <c r="W277">
        <v>208.4383</v>
      </c>
      <c r="X277">
        <v>0.2300163794870819</v>
      </c>
      <c r="Y277">
        <f t="shared" si="91"/>
        <v>47.944223112442224</v>
      </c>
      <c r="Z277">
        <f t="shared" si="100"/>
        <v>5.0373383470543764</v>
      </c>
      <c r="AA277">
        <f t="shared" si="101"/>
        <v>1.926690957930588</v>
      </c>
      <c r="AB277">
        <f t="shared" si="108"/>
        <v>1.054595983095874</v>
      </c>
      <c r="AE277">
        <v>152.81209999999999</v>
      </c>
      <c r="AF277">
        <v>0.36361699459614699</v>
      </c>
      <c r="AG277">
        <f t="shared" si="92"/>
        <v>55.565076539925869</v>
      </c>
      <c r="AH277">
        <f t="shared" si="102"/>
        <v>9.1875318855222154</v>
      </c>
      <c r="AI277">
        <f t="shared" si="103"/>
        <v>2.223502580537251</v>
      </c>
      <c r="AJ277">
        <f t="shared" si="109"/>
        <v>1.9002287964491882</v>
      </c>
      <c r="AL277">
        <f t="shared" si="93"/>
        <v>167.74544552818654</v>
      </c>
      <c r="AM277">
        <f t="shared" si="104"/>
        <v>6.9640293049849644</v>
      </c>
    </row>
    <row r="278" spans="1:39" x14ac:dyDescent="0.35">
      <c r="A278" s="2">
        <v>44896</v>
      </c>
      <c r="B278">
        <v>187.42009999999999</v>
      </c>
      <c r="C278">
        <v>0.22159568920570122</v>
      </c>
      <c r="D278">
        <f t="shared" si="88"/>
        <v>41.531486230501443</v>
      </c>
      <c r="E278">
        <f t="shared" si="94"/>
        <v>4.5771301957235222</v>
      </c>
      <c r="F278">
        <f t="shared" si="95"/>
        <v>3.2681930799848269</v>
      </c>
      <c r="G278">
        <f t="shared" si="105"/>
        <v>3.1308604987792421</v>
      </c>
      <c r="I278">
        <v>129.4496</v>
      </c>
      <c r="J278">
        <v>0.1714758382736449</v>
      </c>
      <c r="K278">
        <f t="shared" si="89"/>
        <v>22.197478674188023</v>
      </c>
      <c r="L278">
        <f t="shared" si="96"/>
        <v>1.4089979710304013</v>
      </c>
      <c r="M278">
        <f t="shared" si="97"/>
        <v>0.10006085529170594</v>
      </c>
      <c r="N278">
        <f t="shared" si="106"/>
        <v>0.99287555175087139</v>
      </c>
      <c r="P278">
        <v>192.9237</v>
      </c>
      <c r="Q278">
        <v>1.3295098437424961E-2</v>
      </c>
      <c r="R278">
        <f t="shared" si="90"/>
        <v>2.5649395824122418</v>
      </c>
      <c r="S278">
        <f t="shared" si="98"/>
        <v>-2.5977310937097653</v>
      </c>
      <c r="T278">
        <f t="shared" si="99"/>
        <v>3.9066682094484606</v>
      </c>
      <c r="U278">
        <f t="shared" si="107"/>
        <v>0.86589680250307444</v>
      </c>
      <c r="W278">
        <v>207.16970000000001</v>
      </c>
      <c r="X278">
        <v>0.2300163794870819</v>
      </c>
      <c r="Y278">
        <f t="shared" si="91"/>
        <v>47.652424333424911</v>
      </c>
      <c r="Z278">
        <f t="shared" si="100"/>
        <v>-0.60862135221789737</v>
      </c>
      <c r="AA278">
        <f t="shared" si="101"/>
        <v>1.9175584679565927</v>
      </c>
      <c r="AB278">
        <f t="shared" si="108"/>
        <v>9.1324899739952947E-3</v>
      </c>
      <c r="AE278">
        <v>153.9939</v>
      </c>
      <c r="AF278">
        <v>0.36361699459614699</v>
      </c>
      <c r="AG278">
        <f t="shared" si="92"/>
        <v>55.994799104139602</v>
      </c>
      <c r="AH278">
        <f t="shared" si="102"/>
        <v>0.77336807752790282</v>
      </c>
      <c r="AI278">
        <f t="shared" si="103"/>
        <v>0.53556903821079249</v>
      </c>
      <c r="AJ278">
        <f t="shared" si="109"/>
        <v>1.6879335423264585</v>
      </c>
      <c r="AL278">
        <f t="shared" si="93"/>
        <v>169.9411279246662</v>
      </c>
      <c r="AM278">
        <f t="shared" si="104"/>
        <v>1.3089371157386953</v>
      </c>
    </row>
    <row r="279" spans="1:39" x14ac:dyDescent="0.35">
      <c r="A279" s="2">
        <v>44927</v>
      </c>
      <c r="B279">
        <v>191.1422</v>
      </c>
      <c r="C279">
        <v>0.22076335029974245</v>
      </c>
      <c r="D279">
        <f t="shared" si="88"/>
        <v>42.197192455663433</v>
      </c>
      <c r="E279">
        <f t="shared" si="94"/>
        <v>1.985966286433527</v>
      </c>
      <c r="F279">
        <f t="shared" si="95"/>
        <v>0.88113518738390795</v>
      </c>
      <c r="G279">
        <f t="shared" si="105"/>
        <v>2.3870578926009189</v>
      </c>
      <c r="I279">
        <v>131.59710000000001</v>
      </c>
      <c r="J279">
        <v>0.16316852334602683</v>
      </c>
      <c r="K279">
        <f t="shared" si="89"/>
        <v>21.472504483619428</v>
      </c>
      <c r="L279">
        <f t="shared" si="96"/>
        <v>1.6589468024621246</v>
      </c>
      <c r="M279">
        <f t="shared" si="97"/>
        <v>1.2081546713553104</v>
      </c>
      <c r="N279">
        <f t="shared" si="106"/>
        <v>1.1080938160636045</v>
      </c>
      <c r="P279">
        <v>202.08080000000001</v>
      </c>
      <c r="Q279">
        <v>1.3727858591661092E-2</v>
      </c>
      <c r="R279">
        <f t="shared" si="90"/>
        <v>2.774136646489747</v>
      </c>
      <c r="S279">
        <f t="shared" si="98"/>
        <v>4.7464878602266225</v>
      </c>
      <c r="T279">
        <f t="shared" si="99"/>
        <v>1.8793863864091875</v>
      </c>
      <c r="U279">
        <f t="shared" si="107"/>
        <v>2.0272818230392731</v>
      </c>
      <c r="W279">
        <v>204.24039999999999</v>
      </c>
      <c r="X279">
        <v>0.25832421094306013</v>
      </c>
      <c r="Y279">
        <f t="shared" si="91"/>
        <v>52.760240172694978</v>
      </c>
      <c r="Z279">
        <f t="shared" si="100"/>
        <v>-1.4139615976660691</v>
      </c>
      <c r="AA279">
        <f t="shared" si="101"/>
        <v>4.2810630714835041</v>
      </c>
      <c r="AB279">
        <f t="shared" si="108"/>
        <v>2.3635046035269114</v>
      </c>
      <c r="AE279">
        <v>161.64779999999999</v>
      </c>
      <c r="AF279">
        <v>0.34401605681950947</v>
      </c>
      <c r="AG279">
        <f t="shared" si="92"/>
        <v>55.609438749548701</v>
      </c>
      <c r="AH279">
        <f t="shared" si="102"/>
        <v>4.9702618090716522</v>
      </c>
      <c r="AI279">
        <f t="shared" si="103"/>
        <v>2.1031603352542172</v>
      </c>
      <c r="AJ279">
        <f t="shared" si="109"/>
        <v>1.5675912970434247</v>
      </c>
      <c r="AL279">
        <f t="shared" si="93"/>
        <v>174.81351250801629</v>
      </c>
      <c r="AM279">
        <f t="shared" si="104"/>
        <v>2.867101473817435</v>
      </c>
    </row>
    <row r="280" spans="1:39" x14ac:dyDescent="0.35">
      <c r="A280" s="2">
        <v>44958</v>
      </c>
      <c r="B280">
        <v>196.6216</v>
      </c>
      <c r="C280">
        <v>0.22076335029974245</v>
      </c>
      <c r="D280">
        <f t="shared" si="88"/>
        <v>43.406843157295839</v>
      </c>
      <c r="E280">
        <f t="shared" si="94"/>
        <v>2.8666615744717738</v>
      </c>
      <c r="F280">
        <f t="shared" si="95"/>
        <v>3.9006870765589952E-2</v>
      </c>
      <c r="G280">
        <f t="shared" si="105"/>
        <v>0.842128316618318</v>
      </c>
      <c r="I280">
        <v>132.833</v>
      </c>
      <c r="J280">
        <v>0.16316852334602683</v>
      </c>
      <c r="K280">
        <f t="shared" si="89"/>
        <v>21.67416446162278</v>
      </c>
      <c r="L280">
        <f t="shared" si="96"/>
        <v>0.93915443425423017</v>
      </c>
      <c r="M280">
        <f t="shared" si="97"/>
        <v>1.8885002694519537</v>
      </c>
      <c r="N280">
        <f t="shared" si="106"/>
        <v>0.6803455980966433</v>
      </c>
      <c r="P280">
        <v>210.09020000000001</v>
      </c>
      <c r="Q280">
        <v>1.3727858591661092E-2</v>
      </c>
      <c r="R280">
        <f t="shared" si="90"/>
        <v>2.8840885570937975</v>
      </c>
      <c r="S280">
        <f t="shared" si="98"/>
        <v>3.9634641193027731</v>
      </c>
      <c r="T280">
        <f t="shared" si="99"/>
        <v>1.1358094155965892</v>
      </c>
      <c r="U280">
        <f t="shared" si="107"/>
        <v>0.74357697081259833</v>
      </c>
      <c r="W280">
        <v>211.1037</v>
      </c>
      <c r="X280">
        <v>0.25832421094306013</v>
      </c>
      <c r="Y280">
        <f t="shared" si="91"/>
        <v>54.533196729660482</v>
      </c>
      <c r="Z280">
        <f t="shared" si="100"/>
        <v>3.3604027410835569</v>
      </c>
      <c r="AA280">
        <f t="shared" si="101"/>
        <v>0.53274803737737297</v>
      </c>
      <c r="AB280">
        <f t="shared" si="108"/>
        <v>3.7483150341061311</v>
      </c>
      <c r="AE280">
        <v>166.4409</v>
      </c>
      <c r="AF280">
        <v>0.34401605681950947</v>
      </c>
      <c r="AG280">
        <f t="shared" si="92"/>
        <v>57.258342111490293</v>
      </c>
      <c r="AH280">
        <f t="shared" si="102"/>
        <v>2.9651501597918406</v>
      </c>
      <c r="AI280">
        <f t="shared" si="103"/>
        <v>0.13749545608565672</v>
      </c>
      <c r="AJ280">
        <f t="shared" si="109"/>
        <v>1.9656648791685605</v>
      </c>
      <c r="AL280">
        <f t="shared" si="93"/>
        <v>179.75663501716321</v>
      </c>
      <c r="AM280">
        <f t="shared" si="104"/>
        <v>2.8276547037061839</v>
      </c>
    </row>
    <row r="281" spans="1:39" x14ac:dyDescent="0.35">
      <c r="A281" s="2">
        <v>44986</v>
      </c>
      <c r="B281">
        <v>197.36959999999999</v>
      </c>
      <c r="C281">
        <v>0.22076335029974245</v>
      </c>
      <c r="D281">
        <f t="shared" si="88"/>
        <v>43.571974143320048</v>
      </c>
      <c r="E281">
        <f t="shared" si="94"/>
        <v>0.3804261586722868</v>
      </c>
      <c r="F281">
        <f t="shared" si="95"/>
        <v>3.0126995998256079</v>
      </c>
      <c r="G281">
        <f t="shared" si="105"/>
        <v>2.9736927290600179</v>
      </c>
      <c r="I281">
        <v>127.43380000000001</v>
      </c>
      <c r="J281">
        <v>0.16316852334602683</v>
      </c>
      <c r="K281">
        <f t="shared" si="89"/>
        <v>20.793184970372913</v>
      </c>
      <c r="L281">
        <f t="shared" si="96"/>
        <v>-4.0646526089149537</v>
      </c>
      <c r="M281">
        <f t="shared" si="97"/>
        <v>1.4323791677616327</v>
      </c>
      <c r="N281">
        <f t="shared" si="106"/>
        <v>0.45612110169032105</v>
      </c>
      <c r="P281">
        <v>203.209</v>
      </c>
      <c r="Q281">
        <v>1.3727858591661092E-2</v>
      </c>
      <c r="R281">
        <f t="shared" si="90"/>
        <v>2.7896244165528588</v>
      </c>
      <c r="S281">
        <f t="shared" si="98"/>
        <v>-3.275355061778229</v>
      </c>
      <c r="T281">
        <f t="shared" si="99"/>
        <v>0.64308162062490792</v>
      </c>
      <c r="U281">
        <f t="shared" si="107"/>
        <v>0.49272779497168129</v>
      </c>
      <c r="W281">
        <v>204.9494</v>
      </c>
      <c r="X281">
        <v>0.25832421094306013</v>
      </c>
      <c r="Y281">
        <f t="shared" si="91"/>
        <v>52.943392038253606</v>
      </c>
      <c r="Z281">
        <f t="shared" si="100"/>
        <v>-2.9152970791132549</v>
      </c>
      <c r="AA281">
        <f t="shared" si="101"/>
        <v>0.28302363795993379</v>
      </c>
      <c r="AB281">
        <f t="shared" si="108"/>
        <v>0.24972439941743918</v>
      </c>
      <c r="AE281">
        <v>159.6634</v>
      </c>
      <c r="AF281">
        <v>0.34401605681950947</v>
      </c>
      <c r="AG281">
        <f t="shared" si="92"/>
        <v>54.92677328639607</v>
      </c>
      <c r="AH281">
        <f t="shared" si="102"/>
        <v>-4.0720159528096822</v>
      </c>
      <c r="AI281">
        <f t="shared" si="103"/>
        <v>1.4397425116563611</v>
      </c>
      <c r="AJ281">
        <f t="shared" si="109"/>
        <v>1.3022470555707044</v>
      </c>
      <c r="AL281">
        <f t="shared" si="93"/>
        <v>175.02494885489551</v>
      </c>
      <c r="AM281">
        <f t="shared" si="104"/>
        <v>-2.6322734411533211</v>
      </c>
    </row>
    <row r="282" spans="1:39" x14ac:dyDescent="0.35">
      <c r="A282" s="2">
        <v>45017</v>
      </c>
      <c r="B282">
        <v>204.34219999999999</v>
      </c>
      <c r="C282">
        <v>0.22076335029974245</v>
      </c>
      <c r="D282">
        <f t="shared" si="88"/>
        <v>45.111268679620032</v>
      </c>
      <c r="E282">
        <f t="shared" si="94"/>
        <v>3.5327628976296266</v>
      </c>
      <c r="F282">
        <f t="shared" si="95"/>
        <v>1.6683007056485843</v>
      </c>
      <c r="G282">
        <f t="shared" si="105"/>
        <v>1.3443988941770235</v>
      </c>
      <c r="I282">
        <v>126.46250000000001</v>
      </c>
      <c r="J282">
        <v>0.16316852334602683</v>
      </c>
      <c r="K282">
        <f t="shared" si="89"/>
        <v>20.634699383646918</v>
      </c>
      <c r="L282">
        <f t="shared" si="96"/>
        <v>-0.76219966759211166</v>
      </c>
      <c r="M282">
        <f t="shared" si="97"/>
        <v>2.6266618595731539</v>
      </c>
      <c r="N282">
        <f t="shared" si="106"/>
        <v>1.1942826918115212</v>
      </c>
      <c r="P282">
        <v>197.54400000000001</v>
      </c>
      <c r="Q282">
        <v>1.3727858591661092E-2</v>
      </c>
      <c r="R282">
        <f t="shared" si="90"/>
        <v>2.7118560976310988</v>
      </c>
      <c r="S282">
        <f t="shared" si="98"/>
        <v>-2.7877702267123938</v>
      </c>
      <c r="T282">
        <f t="shared" si="99"/>
        <v>4.6522324186934361</v>
      </c>
      <c r="U282">
        <f t="shared" si="107"/>
        <v>4.0091507980685286</v>
      </c>
      <c r="W282">
        <v>207.49709999999999</v>
      </c>
      <c r="X282">
        <v>0.25832421094306013</v>
      </c>
      <c r="Y282">
        <f t="shared" si="91"/>
        <v>53.601524630473236</v>
      </c>
      <c r="Z282">
        <f t="shared" si="100"/>
        <v>1.2430873181380253</v>
      </c>
      <c r="AA282">
        <f t="shared" si="101"/>
        <v>0.62137487384301693</v>
      </c>
      <c r="AB282">
        <f t="shared" si="108"/>
        <v>0.33835123588308313</v>
      </c>
      <c r="AE282">
        <v>163.44839999999999</v>
      </c>
      <c r="AF282">
        <v>0.34401605681950947</v>
      </c>
      <c r="AG282">
        <f t="shared" si="92"/>
        <v>56.228874061457908</v>
      </c>
      <c r="AH282">
        <f t="shared" si="102"/>
        <v>2.3706121753639176</v>
      </c>
      <c r="AI282">
        <f t="shared" si="103"/>
        <v>0.50614998338287531</v>
      </c>
      <c r="AJ282">
        <f t="shared" si="109"/>
        <v>0.93359252827348582</v>
      </c>
      <c r="AL282">
        <f t="shared" si="93"/>
        <v>178.28822285282919</v>
      </c>
      <c r="AM282">
        <f t="shared" si="104"/>
        <v>1.8644621919810422</v>
      </c>
    </row>
    <row r="283" spans="1:39" x14ac:dyDescent="0.35">
      <c r="A283" s="2">
        <v>45047</v>
      </c>
      <c r="B283">
        <v>207.90710000000001</v>
      </c>
      <c r="C283">
        <v>0.22076335029974245</v>
      </c>
      <c r="D283">
        <f t="shared" si="88"/>
        <v>45.898267947103584</v>
      </c>
      <c r="E283">
        <f t="shared" si="94"/>
        <v>1.74457356336577</v>
      </c>
      <c r="F283">
        <f t="shared" si="95"/>
        <v>1.8612954435380691</v>
      </c>
      <c r="G283">
        <f t="shared" si="105"/>
        <v>0.19299473788948474</v>
      </c>
      <c r="I283">
        <v>122.4915</v>
      </c>
      <c r="J283">
        <v>0.16316852334602683</v>
      </c>
      <c r="K283">
        <f t="shared" si="89"/>
        <v>19.986757177439845</v>
      </c>
      <c r="L283">
        <f t="shared" si="96"/>
        <v>-3.1400612829890262</v>
      </c>
      <c r="M283">
        <f t="shared" si="97"/>
        <v>3.0233394028167271</v>
      </c>
      <c r="N283">
        <f t="shared" si="106"/>
        <v>0.39667754324357318</v>
      </c>
      <c r="P283">
        <v>180.00110000000001</v>
      </c>
      <c r="Q283">
        <v>1.3727858591661092E-2</v>
      </c>
      <c r="R283">
        <f t="shared" si="90"/>
        <v>2.4710296471434474</v>
      </c>
      <c r="S283">
        <f t="shared" si="98"/>
        <v>-8.8805025715789974</v>
      </c>
      <c r="T283">
        <f t="shared" si="99"/>
        <v>8.7637806914066978</v>
      </c>
      <c r="U283">
        <f t="shared" si="107"/>
        <v>4.1115482727132617</v>
      </c>
      <c r="W283">
        <v>207.59059999999999</v>
      </c>
      <c r="X283">
        <v>0.25832421094306013</v>
      </c>
      <c r="Y283">
        <f t="shared" si="91"/>
        <v>53.625677944196418</v>
      </c>
      <c r="Z283">
        <f t="shared" si="100"/>
        <v>4.5060870730240232E-2</v>
      </c>
      <c r="AA283">
        <f t="shared" si="101"/>
        <v>0.16178275090253935</v>
      </c>
      <c r="AB283">
        <f t="shared" si="108"/>
        <v>0.45959212294047758</v>
      </c>
      <c r="AE283">
        <v>163.06909999999999</v>
      </c>
      <c r="AF283">
        <v>0.34401605681950947</v>
      </c>
      <c r="AG283">
        <f t="shared" si="92"/>
        <v>56.098388771106272</v>
      </c>
      <c r="AH283">
        <f t="shared" si="102"/>
        <v>-0.23206100518573525</v>
      </c>
      <c r="AI283">
        <f t="shared" si="103"/>
        <v>0.11533912501343613</v>
      </c>
      <c r="AJ283">
        <f t="shared" si="109"/>
        <v>0.39081085836943918</v>
      </c>
      <c r="AL283">
        <f t="shared" si="93"/>
        <v>178.08012148698958</v>
      </c>
      <c r="AM283">
        <f t="shared" si="104"/>
        <v>-0.11672188017229912</v>
      </c>
    </row>
    <row r="284" spans="1:39" x14ac:dyDescent="0.35">
      <c r="A284" s="2">
        <v>45078</v>
      </c>
      <c r="B284">
        <v>203.76089999999999</v>
      </c>
      <c r="C284">
        <v>0.22076335029974245</v>
      </c>
      <c r="D284">
        <f t="shared" si="88"/>
        <v>44.98293894409079</v>
      </c>
      <c r="E284">
        <f t="shared" si="94"/>
        <v>-1.994256088416424</v>
      </c>
      <c r="F284">
        <f t="shared" si="95"/>
        <v>1.5832932868849237</v>
      </c>
      <c r="G284">
        <f t="shared" si="105"/>
        <v>0.27800215665314543</v>
      </c>
      <c r="I284">
        <v>119.8075</v>
      </c>
      <c r="J284">
        <v>0.16316852334602683</v>
      </c>
      <c r="K284">
        <f t="shared" si="89"/>
        <v>19.548812860779108</v>
      </c>
      <c r="L284">
        <f t="shared" si="96"/>
        <v>-2.191172448700518</v>
      </c>
      <c r="M284">
        <f t="shared" si="97"/>
        <v>1.7802096471690176</v>
      </c>
      <c r="N284">
        <f t="shared" si="106"/>
        <v>1.2431297556477094</v>
      </c>
      <c r="P284">
        <v>171.02340000000001</v>
      </c>
      <c r="Q284">
        <v>1.3727858591661092E-2</v>
      </c>
      <c r="R284">
        <f t="shared" si="90"/>
        <v>2.3477850510650917</v>
      </c>
      <c r="S284">
        <f t="shared" si="98"/>
        <v>-4.9875806314516939</v>
      </c>
      <c r="T284">
        <f t="shared" si="99"/>
        <v>4.5766178299201936</v>
      </c>
      <c r="U284">
        <f t="shared" si="107"/>
        <v>4.1871628614865042</v>
      </c>
      <c r="W284">
        <v>209.7687</v>
      </c>
      <c r="X284">
        <v>0.25832421094306013</v>
      </c>
      <c r="Y284">
        <f t="shared" si="91"/>
        <v>54.188333908051497</v>
      </c>
      <c r="Z284">
        <f t="shared" si="100"/>
        <v>1.0492286259589756</v>
      </c>
      <c r="AA284">
        <f t="shared" si="101"/>
        <v>1.4601914274904759</v>
      </c>
      <c r="AB284">
        <f t="shared" si="108"/>
        <v>1.2984086765879366</v>
      </c>
      <c r="AE284">
        <v>163.59819999999999</v>
      </c>
      <c r="AF284">
        <v>0.34401605681950947</v>
      </c>
      <c r="AG284">
        <f t="shared" si="92"/>
        <v>56.28040766676947</v>
      </c>
      <c r="AH284">
        <f t="shared" si="102"/>
        <v>0.32446367828116163</v>
      </c>
      <c r="AI284">
        <f t="shared" si="103"/>
        <v>0.73542647981266196</v>
      </c>
      <c r="AJ284">
        <f t="shared" si="109"/>
        <v>0.62008735479922583</v>
      </c>
      <c r="AL284">
        <f t="shared" si="93"/>
        <v>177.34827843075595</v>
      </c>
      <c r="AM284">
        <f t="shared" si="104"/>
        <v>-0.41096280153150033</v>
      </c>
    </row>
    <row r="285" spans="1:39" x14ac:dyDescent="0.35">
      <c r="A285" s="2">
        <v>45108</v>
      </c>
      <c r="B285">
        <v>202.0943</v>
      </c>
      <c r="C285">
        <v>0.22076335029974245</v>
      </c>
      <c r="D285">
        <f t="shared" si="88"/>
        <v>44.615014744481243</v>
      </c>
      <c r="E285">
        <f t="shared" si="94"/>
        <v>-0.81791943400327805</v>
      </c>
      <c r="F285">
        <f t="shared" si="95"/>
        <v>5.5086040129681546E-2</v>
      </c>
      <c r="G285">
        <f t="shared" si="105"/>
        <v>1.5282072467552421</v>
      </c>
      <c r="I285">
        <v>117.0711</v>
      </c>
      <c r="J285">
        <v>0.16316852334602683</v>
      </c>
      <c r="K285">
        <f t="shared" si="89"/>
        <v>19.102318513495042</v>
      </c>
      <c r="L285">
        <f t="shared" si="96"/>
        <v>-2.2839972455814594</v>
      </c>
      <c r="M285">
        <f t="shared" si="97"/>
        <v>1.5211638517078629</v>
      </c>
      <c r="N285">
        <f t="shared" si="106"/>
        <v>0.25904579546115469</v>
      </c>
      <c r="P285">
        <v>180.36600000000001</v>
      </c>
      <c r="Q285">
        <v>1.3727858591661092E-2</v>
      </c>
      <c r="R285">
        <f t="shared" si="90"/>
        <v>2.476038942743545</v>
      </c>
      <c r="S285">
        <f t="shared" si="98"/>
        <v>5.4627612361817235</v>
      </c>
      <c r="T285">
        <f t="shared" si="99"/>
        <v>6.22559463005532</v>
      </c>
      <c r="U285">
        <f t="shared" si="107"/>
        <v>1.6489768001351264</v>
      </c>
      <c r="W285">
        <v>209.31469999999999</v>
      </c>
      <c r="X285">
        <v>0.25832421094306013</v>
      </c>
      <c r="Y285">
        <f t="shared" si="91"/>
        <v>54.071054716283342</v>
      </c>
      <c r="Z285">
        <f t="shared" si="100"/>
        <v>-0.21642885711739002</v>
      </c>
      <c r="AA285">
        <f t="shared" si="101"/>
        <v>0.54640453675620648</v>
      </c>
      <c r="AB285">
        <f t="shared" si="108"/>
        <v>0.91378689073426944</v>
      </c>
      <c r="AE285">
        <v>162.00110000000001</v>
      </c>
      <c r="AF285">
        <v>0.34401605681950947</v>
      </c>
      <c r="AG285">
        <f t="shared" si="92"/>
        <v>55.730979622423042</v>
      </c>
      <c r="AH285">
        <f t="shared" si="102"/>
        <v>-0.97623323483998492</v>
      </c>
      <c r="AI285">
        <f t="shared" si="103"/>
        <v>0.21339984096638842</v>
      </c>
      <c r="AJ285">
        <f t="shared" si="109"/>
        <v>0.52202663884627354</v>
      </c>
      <c r="AL285">
        <f t="shared" si="93"/>
        <v>175.99540653942623</v>
      </c>
      <c r="AM285">
        <f t="shared" si="104"/>
        <v>-0.7628333938735965</v>
      </c>
    </row>
    <row r="286" spans="1:39" x14ac:dyDescent="0.35">
      <c r="A286" s="2">
        <v>45139</v>
      </c>
      <c r="B286">
        <v>209.31630000000001</v>
      </c>
      <c r="C286">
        <v>0.22076335029974245</v>
      </c>
      <c r="D286">
        <f t="shared" si="88"/>
        <v>46.209367660345983</v>
      </c>
      <c r="E286">
        <f t="shared" si="94"/>
        <v>3.5735792647293874</v>
      </c>
      <c r="F286">
        <f t="shared" si="95"/>
        <v>2.9004137047763612</v>
      </c>
      <c r="G286">
        <f t="shared" si="105"/>
        <v>2.8453276646466796</v>
      </c>
      <c r="I286">
        <v>113.7196</v>
      </c>
      <c r="J286">
        <v>0.16316852334602683</v>
      </c>
      <c r="K286">
        <f t="shared" si="89"/>
        <v>18.555459207500832</v>
      </c>
      <c r="L286">
        <f t="shared" si="96"/>
        <v>-2.8627902189353294</v>
      </c>
      <c r="M286">
        <f t="shared" si="97"/>
        <v>3.5359557788883555</v>
      </c>
      <c r="N286">
        <f t="shared" si="106"/>
        <v>2.0147919271804926</v>
      </c>
      <c r="P286">
        <v>182.08699999999999</v>
      </c>
      <c r="Q286">
        <v>1.3727858591661092E-2</v>
      </c>
      <c r="R286">
        <f t="shared" si="90"/>
        <v>2.4996645873797934</v>
      </c>
      <c r="S286">
        <f t="shared" si="98"/>
        <v>0.95417096348533459</v>
      </c>
      <c r="T286">
        <f t="shared" si="99"/>
        <v>0.28100540353230841</v>
      </c>
      <c r="U286">
        <f t="shared" si="107"/>
        <v>5.9445892265230116</v>
      </c>
      <c r="W286">
        <v>215.38</v>
      </c>
      <c r="X286">
        <v>0.25832421094306013</v>
      </c>
      <c r="Y286">
        <f t="shared" si="91"/>
        <v>55.637868552916288</v>
      </c>
      <c r="Z286">
        <f t="shared" si="100"/>
        <v>2.8976942374329129</v>
      </c>
      <c r="AA286">
        <f t="shared" si="101"/>
        <v>2.2245286774798867</v>
      </c>
      <c r="AB286">
        <f t="shared" si="108"/>
        <v>1.6781241407236802</v>
      </c>
      <c r="AE286">
        <v>157.77690000000001</v>
      </c>
      <c r="AF286">
        <v>0.34401605681950947</v>
      </c>
      <c r="AG286">
        <f t="shared" si="92"/>
        <v>54.277786995206071</v>
      </c>
      <c r="AH286">
        <f t="shared" si="102"/>
        <v>-2.6075131588612632</v>
      </c>
      <c r="AI286">
        <f t="shared" si="103"/>
        <v>3.2806787188142894</v>
      </c>
      <c r="AJ286">
        <f t="shared" si="109"/>
        <v>3.067278877847901</v>
      </c>
      <c r="AL286">
        <f t="shared" si="93"/>
        <v>177.18014700334896</v>
      </c>
      <c r="AM286">
        <f t="shared" si="104"/>
        <v>0.67316555995302618</v>
      </c>
    </row>
    <row r="287" spans="1:39" x14ac:dyDescent="0.35">
      <c r="A287" s="2">
        <v>45170</v>
      </c>
      <c r="B287">
        <v>210.66579999999999</v>
      </c>
      <c r="C287">
        <v>0.22076335029974245</v>
      </c>
      <c r="D287">
        <f t="shared" si="88"/>
        <v>46.50728780157548</v>
      </c>
      <c r="E287">
        <f t="shared" si="94"/>
        <v>0.64471806543493493</v>
      </c>
      <c r="F287">
        <f t="shared" si="95"/>
        <v>0.43836042655120977</v>
      </c>
      <c r="G287">
        <f t="shared" si="105"/>
        <v>2.4620532782251514</v>
      </c>
      <c r="I287">
        <v>114.67310000000001</v>
      </c>
      <c r="J287">
        <v>0.16316852334602683</v>
      </c>
      <c r="K287">
        <f t="shared" si="89"/>
        <v>18.711040394511269</v>
      </c>
      <c r="L287">
        <f t="shared" si="96"/>
        <v>0.83846584054112494</v>
      </c>
      <c r="M287">
        <f t="shared" si="97"/>
        <v>0.24461265144501976</v>
      </c>
      <c r="N287">
        <f t="shared" si="106"/>
        <v>3.2913431274433358</v>
      </c>
      <c r="P287">
        <v>173.72669999999999</v>
      </c>
      <c r="Q287">
        <v>1.3727858591661092E-2</v>
      </c>
      <c r="R287">
        <f t="shared" si="90"/>
        <v>2.384895571195929</v>
      </c>
      <c r="S287">
        <f t="shared" si="98"/>
        <v>-4.5913766496235242</v>
      </c>
      <c r="T287">
        <f t="shared" si="99"/>
        <v>5.6744551416096689</v>
      </c>
      <c r="U287">
        <f t="shared" si="107"/>
        <v>5.3934497380773605</v>
      </c>
      <c r="W287">
        <v>224.04429999999999</v>
      </c>
      <c r="X287">
        <v>0.25832421094306013</v>
      </c>
      <c r="Y287">
        <f t="shared" si="91"/>
        <v>57.876067013790248</v>
      </c>
      <c r="Z287">
        <f t="shared" si="100"/>
        <v>4.0227969170767874</v>
      </c>
      <c r="AA287">
        <f t="shared" si="101"/>
        <v>2.9397184250906427</v>
      </c>
      <c r="AB287">
        <f t="shared" si="108"/>
        <v>0.71518974761075604</v>
      </c>
      <c r="AE287">
        <v>155.86439999999999</v>
      </c>
      <c r="AF287">
        <v>0.34401605681950947</v>
      </c>
      <c r="AG287">
        <f t="shared" si="92"/>
        <v>53.619856286538749</v>
      </c>
      <c r="AH287">
        <f t="shared" si="102"/>
        <v>-1.2121546310011277</v>
      </c>
      <c r="AI287">
        <f t="shared" si="103"/>
        <v>2.2952331229872724</v>
      </c>
      <c r="AJ287">
        <f t="shared" si="109"/>
        <v>0.98544559582701696</v>
      </c>
      <c r="AL287">
        <f t="shared" si="93"/>
        <v>179.09914706761165</v>
      </c>
      <c r="AM287">
        <f t="shared" si="104"/>
        <v>1.0830784919861447</v>
      </c>
    </row>
    <row r="288" spans="1:39" x14ac:dyDescent="0.35">
      <c r="A288" s="2">
        <v>45200</v>
      </c>
      <c r="B288">
        <v>207.3313</v>
      </c>
      <c r="C288">
        <v>0.22076335029974245</v>
      </c>
      <c r="D288">
        <f t="shared" si="88"/>
        <v>45.771152410000994</v>
      </c>
      <c r="E288">
        <f t="shared" si="94"/>
        <v>-1.5828387901595797</v>
      </c>
      <c r="F288">
        <f t="shared" si="95"/>
        <v>8.8204808726033423E-2</v>
      </c>
      <c r="G288">
        <f t="shared" si="105"/>
        <v>0.35015561782517635</v>
      </c>
      <c r="I288">
        <v>109.544</v>
      </c>
      <c r="J288">
        <v>0.16316852334602683</v>
      </c>
      <c r="K288">
        <f t="shared" si="89"/>
        <v>17.874132721417162</v>
      </c>
      <c r="L288">
        <f t="shared" si="96"/>
        <v>-4.4728013806202167</v>
      </c>
      <c r="M288">
        <f t="shared" si="97"/>
        <v>2.8017577817346035</v>
      </c>
      <c r="N288">
        <f t="shared" si="106"/>
        <v>2.5571451302895838</v>
      </c>
      <c r="P288">
        <v>163.9162</v>
      </c>
      <c r="Q288">
        <v>1.3727858591661092E-2</v>
      </c>
      <c r="R288">
        <f t="shared" si="90"/>
        <v>2.250218414482438</v>
      </c>
      <c r="S288">
        <f t="shared" si="98"/>
        <v>-5.6470882138439205</v>
      </c>
      <c r="T288">
        <f t="shared" si="99"/>
        <v>3.9760446149583073</v>
      </c>
      <c r="U288">
        <f t="shared" si="107"/>
        <v>1.6984105266513616</v>
      </c>
      <c r="W288">
        <v>225.5377</v>
      </c>
      <c r="X288">
        <v>0.25832421094306013</v>
      </c>
      <c r="Y288">
        <f t="shared" si="91"/>
        <v>58.261848390412609</v>
      </c>
      <c r="Z288">
        <f t="shared" si="100"/>
        <v>0.66656460351814939</v>
      </c>
      <c r="AA288">
        <f t="shared" si="101"/>
        <v>2.3376082024037625</v>
      </c>
      <c r="AB288">
        <f t="shared" si="108"/>
        <v>0.60211022268688019</v>
      </c>
      <c r="AE288">
        <v>151.00739999999999</v>
      </c>
      <c r="AF288">
        <v>0.34401605681950947</v>
      </c>
      <c r="AG288">
        <f t="shared" si="92"/>
        <v>51.948970298566394</v>
      </c>
      <c r="AH288">
        <f t="shared" si="102"/>
        <v>-3.1161702094897881</v>
      </c>
      <c r="AI288">
        <f t="shared" si="103"/>
        <v>1.4451266106041749</v>
      </c>
      <c r="AJ288">
        <f t="shared" si="109"/>
        <v>0.85010651238309753</v>
      </c>
      <c r="AL288">
        <f t="shared" si="93"/>
        <v>176.1063222348796</v>
      </c>
      <c r="AM288">
        <f t="shared" si="104"/>
        <v>-1.6710435988856132</v>
      </c>
    </row>
    <row r="289" spans="1:39" x14ac:dyDescent="0.35">
      <c r="A289" s="2">
        <v>45231</v>
      </c>
      <c r="B289">
        <v>210.62110000000001</v>
      </c>
      <c r="C289">
        <v>0.22076335029974245</v>
      </c>
      <c r="D289">
        <f t="shared" si="88"/>
        <v>46.497419679817085</v>
      </c>
      <c r="E289">
        <f t="shared" si="94"/>
        <v>1.5867358184702418</v>
      </c>
      <c r="F289">
        <f t="shared" si="95"/>
        <v>0.7624148051177837</v>
      </c>
      <c r="G289">
        <f t="shared" si="105"/>
        <v>0.67420999639175028</v>
      </c>
      <c r="I289">
        <v>113.2916</v>
      </c>
      <c r="J289">
        <v>0.16316852334602683</v>
      </c>
      <c r="K289">
        <f t="shared" si="89"/>
        <v>18.485623079508734</v>
      </c>
      <c r="L289">
        <f t="shared" si="96"/>
        <v>3.4210910684291385</v>
      </c>
      <c r="M289">
        <f t="shared" si="97"/>
        <v>1.0719404448411129</v>
      </c>
      <c r="N289">
        <f t="shared" si="106"/>
        <v>1.7298173368934906</v>
      </c>
      <c r="P289">
        <v>161.55330000000001</v>
      </c>
      <c r="Q289">
        <v>1.3727858591661092E-2</v>
      </c>
      <c r="R289">
        <f t="shared" si="90"/>
        <v>2.2177808574162019</v>
      </c>
      <c r="S289">
        <f t="shared" si="98"/>
        <v>-1.441529269224151</v>
      </c>
      <c r="T289">
        <f t="shared" si="99"/>
        <v>3.7906798928121765</v>
      </c>
      <c r="U289">
        <f t="shared" si="107"/>
        <v>0.18536472214613076</v>
      </c>
      <c r="W289">
        <v>228.54239999999999</v>
      </c>
      <c r="X289">
        <v>0.25832421094306013</v>
      </c>
      <c r="Y289">
        <f t="shared" si="91"/>
        <v>59.03803514703322</v>
      </c>
      <c r="Z289">
        <f t="shared" si="100"/>
        <v>1.3322384683358779</v>
      </c>
      <c r="AA289">
        <f t="shared" si="101"/>
        <v>1.0169121552521476</v>
      </c>
      <c r="AB289">
        <f t="shared" si="108"/>
        <v>1.3206960471516149</v>
      </c>
      <c r="AE289">
        <v>156.98240000000001</v>
      </c>
      <c r="AF289">
        <v>0.34401605681950947</v>
      </c>
      <c r="AG289">
        <f t="shared" si="92"/>
        <v>54.004466238062967</v>
      </c>
      <c r="AH289">
        <f t="shared" si="102"/>
        <v>3.9567597349533967</v>
      </c>
      <c r="AI289">
        <f t="shared" si="103"/>
        <v>1.6076091113653712</v>
      </c>
      <c r="AJ289">
        <f t="shared" si="109"/>
        <v>0.1624825007611963</v>
      </c>
      <c r="AL289">
        <f t="shared" si="93"/>
        <v>180.2433250018382</v>
      </c>
      <c r="AM289">
        <f t="shared" si="104"/>
        <v>2.3491506235880255</v>
      </c>
    </row>
    <row r="290" spans="1:39" x14ac:dyDescent="0.35">
      <c r="A290" s="2">
        <v>45261</v>
      </c>
      <c r="B290">
        <v>214.80119999999999</v>
      </c>
      <c r="C290">
        <v>0.22076335029974245</v>
      </c>
      <c r="D290">
        <f t="shared" si="88"/>
        <v>47.42023256040504</v>
      </c>
      <c r="E290">
        <f t="shared" si="94"/>
        <v>1.9846539591712231</v>
      </c>
      <c r="F290">
        <f t="shared" si="95"/>
        <v>1.4895729379797107</v>
      </c>
      <c r="G290">
        <f t="shared" si="105"/>
        <v>0.72715813286192699</v>
      </c>
      <c r="I290">
        <v>117.303</v>
      </c>
      <c r="J290">
        <v>0.16316852334602683</v>
      </c>
      <c r="K290">
        <f t="shared" si="89"/>
        <v>19.140157294058984</v>
      </c>
      <c r="L290">
        <f t="shared" si="96"/>
        <v>3.5407744263475704</v>
      </c>
      <c r="M290">
        <f t="shared" si="97"/>
        <v>6.6547529196636646E-2</v>
      </c>
      <c r="N290">
        <f t="shared" si="106"/>
        <v>1.0053929156444763</v>
      </c>
      <c r="P290">
        <v>178.09630000000001</v>
      </c>
      <c r="Q290">
        <v>1.3727858591661092E-2</v>
      </c>
      <c r="R290">
        <f t="shared" si="90"/>
        <v>2.4448808220980518</v>
      </c>
      <c r="S290">
        <f t="shared" si="98"/>
        <v>10.239964148055169</v>
      </c>
      <c r="T290">
        <f t="shared" si="99"/>
        <v>6.7657372509042348</v>
      </c>
      <c r="U290">
        <f t="shared" si="107"/>
        <v>2.9750573580920583</v>
      </c>
      <c r="W290">
        <v>227.6645</v>
      </c>
      <c r="X290">
        <v>0.25832421094306013</v>
      </c>
      <c r="Y290">
        <f t="shared" si="91"/>
        <v>58.811252322246311</v>
      </c>
      <c r="Z290">
        <f t="shared" si="100"/>
        <v>-0.38413003451437389</v>
      </c>
      <c r="AA290">
        <f t="shared" si="101"/>
        <v>3.8583569316653077</v>
      </c>
      <c r="AB290">
        <f t="shared" si="108"/>
        <v>2.8414447764131601</v>
      </c>
      <c r="AE290">
        <v>170.5992</v>
      </c>
      <c r="AF290">
        <v>0.34401605681950947</v>
      </c>
      <c r="AG290">
        <f t="shared" si="92"/>
        <v>58.688864080562858</v>
      </c>
      <c r="AH290">
        <f t="shared" si="102"/>
        <v>8.6740934015532734</v>
      </c>
      <c r="AI290">
        <f t="shared" si="103"/>
        <v>5.1998665044023396</v>
      </c>
      <c r="AJ290">
        <f t="shared" si="109"/>
        <v>3.5922573930369683</v>
      </c>
      <c r="AL290">
        <f t="shared" si="93"/>
        <v>186.50538707937125</v>
      </c>
      <c r="AM290">
        <f t="shared" si="104"/>
        <v>3.4742268971509338</v>
      </c>
    </row>
    <row r="291" spans="1:39" x14ac:dyDescent="0.35">
      <c r="A291" s="2">
        <v>45292</v>
      </c>
      <c r="B291">
        <v>226.6395</v>
      </c>
      <c r="C291">
        <v>0.2251170838171099</v>
      </c>
      <c r="D291">
        <f t="shared" si="88"/>
        <v>51.020423317767879</v>
      </c>
      <c r="E291">
        <f t="shared" si="94"/>
        <v>5.5112820598767653</v>
      </c>
      <c r="F291">
        <f t="shared" si="95"/>
        <v>3.6385222176064547</v>
      </c>
      <c r="G291">
        <f t="shared" si="105"/>
        <v>2.148949279626744</v>
      </c>
      <c r="I291">
        <v>119.2627</v>
      </c>
      <c r="J291">
        <v>0.16023911514735295</v>
      </c>
      <c r="K291">
        <f t="shared" si="89"/>
        <v>19.110549518084209</v>
      </c>
      <c r="L291">
        <f t="shared" si="96"/>
        <v>1.6706307596566106</v>
      </c>
      <c r="M291">
        <f t="shared" si="97"/>
        <v>0.20212908261370011</v>
      </c>
      <c r="N291">
        <f t="shared" si="106"/>
        <v>0.13558155341706346</v>
      </c>
      <c r="P291">
        <v>195.4203</v>
      </c>
      <c r="Q291">
        <v>1.357200909736349E-2</v>
      </c>
      <c r="R291">
        <f t="shared" si="90"/>
        <v>2.6522460894095023</v>
      </c>
      <c r="S291">
        <f t="shared" si="98"/>
        <v>9.7273216793386297</v>
      </c>
      <c r="T291">
        <f t="shared" si="99"/>
        <v>7.854561837068319</v>
      </c>
      <c r="U291">
        <f t="shared" si="107"/>
        <v>1.0888245861640842</v>
      </c>
      <c r="W291">
        <v>226.75190000000001</v>
      </c>
      <c r="X291">
        <v>0.2594150689820634</v>
      </c>
      <c r="Y291">
        <f t="shared" si="91"/>
        <v>58.822859780313941</v>
      </c>
      <c r="Z291">
        <f t="shared" si="100"/>
        <v>-0.40085300958208059</v>
      </c>
      <c r="AA291">
        <f t="shared" si="101"/>
        <v>2.2736128518523913</v>
      </c>
      <c r="AB291">
        <f t="shared" si="108"/>
        <v>1.5847440798129164</v>
      </c>
      <c r="AE291">
        <v>170.90870000000001</v>
      </c>
      <c r="AF291">
        <v>0.34165672295611027</v>
      </c>
      <c r="AG291">
        <f t="shared" si="92"/>
        <v>58.392106366688964</v>
      </c>
      <c r="AH291">
        <f t="shared" si="102"/>
        <v>0.18141937359612559</v>
      </c>
      <c r="AI291">
        <f t="shared" si="103"/>
        <v>1.6913404686741851</v>
      </c>
      <c r="AJ291">
        <f t="shared" si="109"/>
        <v>3.5085260357281545</v>
      </c>
      <c r="AL291">
        <f t="shared" si="93"/>
        <v>189.9981850722645</v>
      </c>
      <c r="AM291">
        <f t="shared" si="104"/>
        <v>1.8727598422703107</v>
      </c>
    </row>
    <row r="292" spans="1:39" x14ac:dyDescent="0.35">
      <c r="A292" s="2">
        <v>45323</v>
      </c>
      <c r="B292">
        <v>243.43969999999999</v>
      </c>
      <c r="C292">
        <v>0.2251170838171099</v>
      </c>
      <c r="D292">
        <f t="shared" si="88"/>
        <v>54.802435349312084</v>
      </c>
      <c r="E292">
        <f t="shared" si="94"/>
        <v>7.4127413800330499</v>
      </c>
      <c r="F292">
        <f t="shared" si="95"/>
        <v>5.6651879715640119</v>
      </c>
      <c r="G292">
        <f t="shared" si="105"/>
        <v>2.0266657539575572</v>
      </c>
      <c r="I292">
        <v>116.2347</v>
      </c>
      <c r="J292">
        <v>0.16023911514735295</v>
      </c>
      <c r="K292">
        <f t="shared" si="89"/>
        <v>18.625345477418026</v>
      </c>
      <c r="L292">
        <f t="shared" si="96"/>
        <v>-2.5389329605987387</v>
      </c>
      <c r="M292">
        <f t="shared" si="97"/>
        <v>4.2864863690677772</v>
      </c>
      <c r="N292">
        <f t="shared" si="106"/>
        <v>4.0843572864540771</v>
      </c>
      <c r="P292">
        <v>200.9033</v>
      </c>
      <c r="Q292">
        <v>1.357200909736349E-2</v>
      </c>
      <c r="R292">
        <f t="shared" si="90"/>
        <v>2.7266614152903466</v>
      </c>
      <c r="S292">
        <f t="shared" si="98"/>
        <v>2.8057474069991706</v>
      </c>
      <c r="T292">
        <f t="shared" si="99"/>
        <v>1.0581939985301325</v>
      </c>
      <c r="U292">
        <f t="shared" si="107"/>
        <v>6.7963678385381865</v>
      </c>
      <c r="W292">
        <v>220.46639999999999</v>
      </c>
      <c r="X292">
        <v>0.2594150689820634</v>
      </c>
      <c r="Y292">
        <f t="shared" si="91"/>
        <v>57.192306364227179</v>
      </c>
      <c r="Z292">
        <f t="shared" si="100"/>
        <v>-2.7719723627453674</v>
      </c>
      <c r="AA292">
        <f t="shared" si="101"/>
        <v>4.5195257712144059</v>
      </c>
      <c r="AB292">
        <f t="shared" si="108"/>
        <v>2.2459129193620146</v>
      </c>
      <c r="AE292">
        <v>175.53219999999999</v>
      </c>
      <c r="AF292">
        <v>0.34165672295611027</v>
      </c>
      <c r="AG292">
        <f t="shared" si="92"/>
        <v>59.971756225276536</v>
      </c>
      <c r="AH292">
        <f t="shared" si="102"/>
        <v>2.7052455492318384</v>
      </c>
      <c r="AI292">
        <f t="shared" si="103"/>
        <v>0.95769214076280029</v>
      </c>
      <c r="AJ292">
        <f t="shared" si="109"/>
        <v>0.73364832791138479</v>
      </c>
      <c r="AL292">
        <f t="shared" si="93"/>
        <v>193.31850483152417</v>
      </c>
      <c r="AM292">
        <f t="shared" si="104"/>
        <v>1.7475534084690381</v>
      </c>
    </row>
    <row r="293" spans="1:39" x14ac:dyDescent="0.35">
      <c r="A293" s="2">
        <v>45352</v>
      </c>
      <c r="B293">
        <v>253.65479999999999</v>
      </c>
      <c r="C293">
        <v>0.2251170838171099</v>
      </c>
      <c r="D293">
        <f t="shared" si="88"/>
        <v>57.102028872212244</v>
      </c>
      <c r="E293">
        <f t="shared" si="94"/>
        <v>4.1961520655833917</v>
      </c>
      <c r="F293">
        <f t="shared" si="95"/>
        <v>0.61797082489936095</v>
      </c>
      <c r="G293">
        <f t="shared" si="105"/>
        <v>5.0472171466646509</v>
      </c>
      <c r="I293">
        <v>115.2818</v>
      </c>
      <c r="J293">
        <v>0.16023911514735295</v>
      </c>
      <c r="K293">
        <f t="shared" si="89"/>
        <v>18.472653624594113</v>
      </c>
      <c r="L293">
        <f t="shared" si="96"/>
        <v>-0.81980682188709242</v>
      </c>
      <c r="M293">
        <f t="shared" si="97"/>
        <v>4.3979880625711232</v>
      </c>
      <c r="N293">
        <f t="shared" si="106"/>
        <v>0.11150169350334593</v>
      </c>
      <c r="P293">
        <v>190.8501</v>
      </c>
      <c r="Q293">
        <v>1.357200909736349E-2</v>
      </c>
      <c r="R293">
        <f t="shared" si="90"/>
        <v>2.5902192934327317</v>
      </c>
      <c r="S293">
        <f t="shared" si="98"/>
        <v>-5.0039994365448486</v>
      </c>
      <c r="T293">
        <f t="shared" si="99"/>
        <v>8.5821806772288802</v>
      </c>
      <c r="U293">
        <f t="shared" si="107"/>
        <v>7.5239866786987477</v>
      </c>
      <c r="W293">
        <v>226.82429999999999</v>
      </c>
      <c r="X293">
        <v>0.2594150689820634</v>
      </c>
      <c r="Y293">
        <f t="shared" si="91"/>
        <v>58.84164143130824</v>
      </c>
      <c r="Z293">
        <f t="shared" si="100"/>
        <v>2.8838408029522977</v>
      </c>
      <c r="AA293">
        <f t="shared" si="101"/>
        <v>0.69434043773173304</v>
      </c>
      <c r="AB293">
        <f t="shared" si="108"/>
        <v>3.8251853334826729</v>
      </c>
      <c r="AE293">
        <v>185.06659999999999</v>
      </c>
      <c r="AF293">
        <v>0.34165672295611027</v>
      </c>
      <c r="AG293">
        <f t="shared" si="92"/>
        <v>63.229248084629276</v>
      </c>
      <c r="AH293">
        <f t="shared" si="102"/>
        <v>5.4317099654650258</v>
      </c>
      <c r="AI293">
        <f t="shared" si="103"/>
        <v>1.8535287247809951</v>
      </c>
      <c r="AJ293">
        <f t="shared" si="109"/>
        <v>0.89583658401819477</v>
      </c>
      <c r="AL293">
        <f t="shared" si="93"/>
        <v>200.23579130617662</v>
      </c>
      <c r="AM293">
        <f t="shared" si="104"/>
        <v>3.5781812406840308</v>
      </c>
    </row>
    <row r="294" spans="1:39" x14ac:dyDescent="0.35">
      <c r="A294" s="2">
        <v>45383</v>
      </c>
      <c r="B294">
        <v>249.57640000000001</v>
      </c>
      <c r="C294">
        <v>0.2251170838171099</v>
      </c>
      <c r="D294">
        <f t="shared" si="88"/>
        <v>56.183911357572548</v>
      </c>
      <c r="E294">
        <f t="shared" si="94"/>
        <v>-1.6078544541636819</v>
      </c>
      <c r="F294">
        <f t="shared" si="95"/>
        <v>2.5686036197636208</v>
      </c>
      <c r="G294">
        <f t="shared" si="105"/>
        <v>1.9506327948642599</v>
      </c>
      <c r="I294">
        <v>116.0889</v>
      </c>
      <c r="J294">
        <v>0.16023911514735295</v>
      </c>
      <c r="K294">
        <f t="shared" si="89"/>
        <v>18.601982614429541</v>
      </c>
      <c r="L294">
        <f t="shared" si="96"/>
        <v>0.70011051180671746</v>
      </c>
      <c r="M294">
        <f t="shared" si="97"/>
        <v>0.26063865379322149</v>
      </c>
      <c r="N294">
        <f t="shared" si="106"/>
        <v>4.1373494087779017</v>
      </c>
      <c r="P294">
        <v>183.05170000000001</v>
      </c>
      <c r="Q294">
        <v>1.357200909736349E-2</v>
      </c>
      <c r="R294">
        <f t="shared" si="90"/>
        <v>2.4843793376878525</v>
      </c>
      <c r="S294">
        <f t="shared" si="98"/>
        <v>-4.0861388073676563</v>
      </c>
      <c r="T294">
        <f t="shared" si="99"/>
        <v>5.0468879729675953</v>
      </c>
      <c r="U294">
        <f t="shared" si="107"/>
        <v>3.5352927042612849</v>
      </c>
      <c r="W294">
        <v>237.54159999999999</v>
      </c>
      <c r="X294">
        <v>0.2594150689820634</v>
      </c>
      <c r="Y294">
        <f t="shared" si="91"/>
        <v>61.621870550109712</v>
      </c>
      <c r="Z294">
        <f t="shared" si="100"/>
        <v>4.7249346741067733</v>
      </c>
      <c r="AA294">
        <f t="shared" si="101"/>
        <v>3.7641855085068343</v>
      </c>
      <c r="AB294">
        <f t="shared" si="108"/>
        <v>3.0698450707751013</v>
      </c>
      <c r="AE294">
        <v>185.17830000000001</v>
      </c>
      <c r="AF294">
        <v>0.34165672295611027</v>
      </c>
      <c r="AG294">
        <f t="shared" si="92"/>
        <v>63.267411140583476</v>
      </c>
      <c r="AH294">
        <f t="shared" si="102"/>
        <v>6.0356649984383282E-2</v>
      </c>
      <c r="AI294">
        <f t="shared" si="103"/>
        <v>0.90039251561555567</v>
      </c>
      <c r="AJ294">
        <f t="shared" si="109"/>
        <v>0.9531362091654394</v>
      </c>
      <c r="AL294">
        <f t="shared" si="93"/>
        <v>202.15955500038314</v>
      </c>
      <c r="AM294">
        <f t="shared" si="104"/>
        <v>0.96074916559993895</v>
      </c>
    </row>
    <row r="295" spans="1:39" x14ac:dyDescent="0.35">
      <c r="A295" s="2">
        <v>45413</v>
      </c>
      <c r="B295">
        <v>257.5625</v>
      </c>
      <c r="C295">
        <v>0.2251170838171099</v>
      </c>
      <c r="D295">
        <f t="shared" si="88"/>
        <v>57.981718900644367</v>
      </c>
      <c r="E295">
        <f t="shared" si="94"/>
        <v>3.1998618459117001</v>
      </c>
      <c r="F295">
        <f t="shared" si="95"/>
        <v>0.39377162194531579</v>
      </c>
      <c r="G295">
        <f t="shared" si="105"/>
        <v>2.1748319978183051</v>
      </c>
      <c r="I295">
        <v>120.5562</v>
      </c>
      <c r="J295">
        <v>0.16023911514735295</v>
      </c>
      <c r="K295">
        <f t="shared" si="89"/>
        <v>19.317818813527314</v>
      </c>
      <c r="L295">
        <f t="shared" si="96"/>
        <v>3.848171530611455</v>
      </c>
      <c r="M295">
        <f t="shared" si="97"/>
        <v>0.25453806275443913</v>
      </c>
      <c r="N295">
        <f t="shared" si="106"/>
        <v>6.1005910387823548E-3</v>
      </c>
      <c r="P295">
        <v>181.79949999999999</v>
      </c>
      <c r="Q295">
        <v>1.357200909736349E-2</v>
      </c>
      <c r="R295">
        <f t="shared" si="90"/>
        <v>2.4673844678961339</v>
      </c>
      <c r="S295">
        <f t="shared" si="98"/>
        <v>-0.68406903623403625</v>
      </c>
      <c r="T295">
        <f t="shared" si="99"/>
        <v>4.2777025040910521</v>
      </c>
      <c r="U295">
        <f t="shared" si="107"/>
        <v>0.76918546887654315</v>
      </c>
      <c r="W295">
        <v>247.13810000000001</v>
      </c>
      <c r="X295">
        <v>0.2594150689820634</v>
      </c>
      <c r="Y295">
        <f t="shared" si="91"/>
        <v>64.111347259596087</v>
      </c>
      <c r="Z295">
        <f t="shared" si="100"/>
        <v>4.0399239543726262</v>
      </c>
      <c r="AA295">
        <f t="shared" si="101"/>
        <v>0.44629048651561032</v>
      </c>
      <c r="AB295">
        <f t="shared" si="108"/>
        <v>3.317895021991224</v>
      </c>
      <c r="AE295">
        <v>191.84800000000001</v>
      </c>
      <c r="AF295">
        <v>0.34165672295611027</v>
      </c>
      <c r="AG295">
        <f t="shared" si="92"/>
        <v>65.546158985683846</v>
      </c>
      <c r="AH295">
        <f t="shared" si="102"/>
        <v>3.6017719138797588</v>
      </c>
      <c r="AI295">
        <f t="shared" si="103"/>
        <v>8.13844602274294E-3</v>
      </c>
      <c r="AJ295">
        <f t="shared" si="109"/>
        <v>0.89225406959281273</v>
      </c>
      <c r="AL295">
        <f t="shared" si="93"/>
        <v>209.42442842734772</v>
      </c>
      <c r="AM295">
        <f t="shared" si="104"/>
        <v>3.5936334678570159</v>
      </c>
    </row>
    <row r="296" spans="1:39" x14ac:dyDescent="0.35">
      <c r="A296" s="2">
        <v>45444</v>
      </c>
      <c r="B296">
        <v>270.02949999999998</v>
      </c>
      <c r="C296">
        <v>0.2251170838171099</v>
      </c>
      <c r="D296">
        <f t="shared" si="88"/>
        <v>60.788253584592276</v>
      </c>
      <c r="E296">
        <f t="shared" si="94"/>
        <v>4.8403785488958961</v>
      </c>
      <c r="F296">
        <f t="shared" si="95"/>
        <v>3.8391117503832728</v>
      </c>
      <c r="G296">
        <f t="shared" si="105"/>
        <v>3.445340128437957</v>
      </c>
      <c r="I296">
        <v>118.94629999999999</v>
      </c>
      <c r="J296">
        <v>0.16023911514735295</v>
      </c>
      <c r="K296">
        <f t="shared" si="89"/>
        <v>19.059849862051589</v>
      </c>
      <c r="L296">
        <f t="shared" si="96"/>
        <v>-1.335393783148453</v>
      </c>
      <c r="M296">
        <f t="shared" si="97"/>
        <v>2.3366605816610764</v>
      </c>
      <c r="N296">
        <f t="shared" si="106"/>
        <v>2.0821225189066372</v>
      </c>
      <c r="P296">
        <v>179.9228</v>
      </c>
      <c r="Q296">
        <v>1.357200909736349E-2</v>
      </c>
      <c r="R296">
        <f t="shared" si="90"/>
        <v>2.4419138784231116</v>
      </c>
      <c r="S296">
        <f t="shared" si="98"/>
        <v>-1.0322910679072317</v>
      </c>
      <c r="T296">
        <f t="shared" si="99"/>
        <v>2.033557866419855</v>
      </c>
      <c r="U296">
        <f t="shared" si="107"/>
        <v>2.2441446376711971</v>
      </c>
      <c r="W296">
        <v>246.56790000000001</v>
      </c>
      <c r="X296">
        <v>0.2594150689820634</v>
      </c>
      <c r="Y296">
        <f t="shared" si="91"/>
        <v>63.963428787262515</v>
      </c>
      <c r="Z296">
        <f t="shared" si="100"/>
        <v>-0.23072120405555063</v>
      </c>
      <c r="AA296">
        <f t="shared" si="101"/>
        <v>1.231988002568174</v>
      </c>
      <c r="AB296">
        <f t="shared" si="108"/>
        <v>0.78569751605256366</v>
      </c>
      <c r="AE296">
        <v>191.0335</v>
      </c>
      <c r="AF296">
        <v>0.34165672295611027</v>
      </c>
      <c r="AG296">
        <f t="shared" si="92"/>
        <v>65.267879584836095</v>
      </c>
      <c r="AH296">
        <f t="shared" si="102"/>
        <v>-0.42455485592761688</v>
      </c>
      <c r="AI296">
        <f t="shared" si="103"/>
        <v>1.4258216544402402</v>
      </c>
      <c r="AJ296">
        <f t="shared" si="109"/>
        <v>1.4176832084174973</v>
      </c>
      <c r="AL296">
        <f t="shared" si="93"/>
        <v>211.52132569716559</v>
      </c>
      <c r="AM296">
        <f t="shared" si="104"/>
        <v>1.0012667985126233</v>
      </c>
    </row>
    <row r="297" spans="1:39" x14ac:dyDescent="0.35">
      <c r="A297" s="2">
        <v>45474</v>
      </c>
      <c r="B297">
        <v>263.63139999999999</v>
      </c>
      <c r="C297">
        <v>0.2251170838171099</v>
      </c>
      <c r="D297">
        <f t="shared" si="88"/>
        <v>59.347931970622021</v>
      </c>
      <c r="E297">
        <f t="shared" si="94"/>
        <v>-2.3694077869269803</v>
      </c>
      <c r="F297">
        <f t="shared" si="95"/>
        <v>2.2420664898455178</v>
      </c>
      <c r="G297">
        <f t="shared" si="105"/>
        <v>1.597045260537755</v>
      </c>
      <c r="I297">
        <v>116.81319999999999</v>
      </c>
      <c r="J297">
        <v>0.16023911514735295</v>
      </c>
      <c r="K297">
        <f t="shared" si="89"/>
        <v>18.718043805530769</v>
      </c>
      <c r="L297">
        <f t="shared" si="96"/>
        <v>-1.7933302675240848</v>
      </c>
      <c r="M297">
        <f t="shared" si="97"/>
        <v>1.6659889704426223</v>
      </c>
      <c r="N297">
        <f t="shared" si="106"/>
        <v>0.67067161121845409</v>
      </c>
      <c r="P297">
        <v>176.41139999999999</v>
      </c>
      <c r="Q297">
        <v>1.357200909736349E-2</v>
      </c>
      <c r="R297">
        <f t="shared" si="90"/>
        <v>2.3942571256786294</v>
      </c>
      <c r="S297">
        <f t="shared" si="98"/>
        <v>-1.9516148036824776</v>
      </c>
      <c r="T297">
        <f t="shared" si="99"/>
        <v>1.8242735066010152</v>
      </c>
      <c r="U297">
        <f t="shared" si="107"/>
        <v>0.20928435981883986</v>
      </c>
      <c r="W297">
        <v>249.93020000000001</v>
      </c>
      <c r="X297">
        <v>0.2594150689820634</v>
      </c>
      <c r="Y297">
        <f t="shared" si="91"/>
        <v>64.835660073700907</v>
      </c>
      <c r="Z297">
        <f t="shared" si="100"/>
        <v>1.3636406036633408</v>
      </c>
      <c r="AA297">
        <f t="shared" si="101"/>
        <v>1.4909819007448033</v>
      </c>
      <c r="AB297">
        <f t="shared" si="108"/>
        <v>0.25899389817662932</v>
      </c>
      <c r="AE297">
        <v>193.0478</v>
      </c>
      <c r="AF297">
        <v>0.34165672295611027</v>
      </c>
      <c r="AG297">
        <f t="shared" si="92"/>
        <v>65.956078721886584</v>
      </c>
      <c r="AH297">
        <f t="shared" si="102"/>
        <v>1.0544223918841356</v>
      </c>
      <c r="AI297">
        <f t="shared" si="103"/>
        <v>1.181763688965598</v>
      </c>
      <c r="AJ297">
        <f t="shared" si="109"/>
        <v>0.2440579654746422</v>
      </c>
      <c r="AL297">
        <f t="shared" si="93"/>
        <v>211.25197169741892</v>
      </c>
      <c r="AM297">
        <f t="shared" si="104"/>
        <v>-0.12734129708146247</v>
      </c>
    </row>
    <row r="298" spans="1:39" x14ac:dyDescent="0.35">
      <c r="A298" s="2">
        <v>45505</v>
      </c>
      <c r="B298">
        <v>257.16820000000001</v>
      </c>
      <c r="C298">
        <v>0.2251170838171099</v>
      </c>
      <c r="D298">
        <f t="shared" si="88"/>
        <v>57.892955234495282</v>
      </c>
      <c r="E298">
        <f t="shared" si="94"/>
        <v>-2.4516047784899575</v>
      </c>
      <c r="F298">
        <f t="shared" si="95"/>
        <v>0.85455311743311002</v>
      </c>
      <c r="G298">
        <f t="shared" si="105"/>
        <v>1.3875133724124078</v>
      </c>
      <c r="I298">
        <v>116.6324</v>
      </c>
      <c r="J298">
        <v>0.16023911514735295</v>
      </c>
      <c r="K298">
        <f t="shared" si="89"/>
        <v>18.689072573512128</v>
      </c>
      <c r="L298">
        <f t="shared" si="96"/>
        <v>-0.1547770286234651</v>
      </c>
      <c r="M298">
        <f t="shared" si="97"/>
        <v>1.4422746324333824</v>
      </c>
      <c r="N298">
        <f t="shared" si="106"/>
        <v>0.2237143380092399</v>
      </c>
      <c r="P298">
        <v>178.61519999999999</v>
      </c>
      <c r="Q298">
        <v>1.357200909736349E-2</v>
      </c>
      <c r="R298">
        <f t="shared" si="90"/>
        <v>2.4241671193273993</v>
      </c>
      <c r="S298">
        <f t="shared" si="98"/>
        <v>1.2492389947588389</v>
      </c>
      <c r="T298">
        <f t="shared" si="99"/>
        <v>2.8462906558156864</v>
      </c>
      <c r="U298">
        <f t="shared" si="107"/>
        <v>1.0220171492146712</v>
      </c>
      <c r="W298">
        <v>248.34030000000001</v>
      </c>
      <c r="X298">
        <v>0.2594150689820634</v>
      </c>
      <c r="Y298">
        <f t="shared" si="91"/>
        <v>64.423216055526325</v>
      </c>
      <c r="Z298">
        <f t="shared" si="100"/>
        <v>-0.63613760962060173</v>
      </c>
      <c r="AA298">
        <f t="shared" si="101"/>
        <v>0.96091405143624575</v>
      </c>
      <c r="AB298">
        <f t="shared" si="108"/>
        <v>0.53006784930855755</v>
      </c>
      <c r="AE298">
        <v>188.636</v>
      </c>
      <c r="AF298">
        <v>0.34165672295611027</v>
      </c>
      <c r="AG298">
        <f t="shared" si="92"/>
        <v>64.448757591548812</v>
      </c>
      <c r="AH298">
        <f t="shared" si="102"/>
        <v>-2.2853407290836736</v>
      </c>
      <c r="AI298">
        <f t="shared" si="103"/>
        <v>0.6882890680268261</v>
      </c>
      <c r="AJ298">
        <f t="shared" si="109"/>
        <v>0.49347462093877192</v>
      </c>
      <c r="AL298">
        <f t="shared" si="93"/>
        <v>207.87816857440995</v>
      </c>
      <c r="AM298">
        <f t="shared" si="104"/>
        <v>-1.5970516610568475</v>
      </c>
    </row>
    <row r="299" spans="1:39" x14ac:dyDescent="0.35">
      <c r="A299" s="2">
        <v>45536</v>
      </c>
      <c r="B299">
        <v>255.7807</v>
      </c>
      <c r="C299">
        <v>0.2251170838171099</v>
      </c>
      <c r="D299">
        <f t="shared" si="88"/>
        <v>57.580605280699039</v>
      </c>
      <c r="E299">
        <f t="shared" si="94"/>
        <v>-0.53953015963871254</v>
      </c>
      <c r="F299">
        <f t="shared" si="95"/>
        <v>0.54429873451132815</v>
      </c>
      <c r="G299">
        <f t="shared" si="105"/>
        <v>0.31025438292178187</v>
      </c>
      <c r="I299">
        <v>118.23099999999999</v>
      </c>
      <c r="J299">
        <v>0.16023911514735295</v>
      </c>
      <c r="K299">
        <f t="shared" si="89"/>
        <v>18.945230822986687</v>
      </c>
      <c r="L299">
        <f t="shared" si="96"/>
        <v>1.3706311453764108</v>
      </c>
      <c r="M299">
        <f t="shared" si="97"/>
        <v>1.3658625705037952</v>
      </c>
      <c r="N299">
        <f t="shared" si="106"/>
        <v>7.6412061929587161E-2</v>
      </c>
      <c r="P299">
        <v>178.25810000000001</v>
      </c>
      <c r="Q299">
        <v>1.357200909736349E-2</v>
      </c>
      <c r="R299">
        <f t="shared" si="90"/>
        <v>2.4193205548787309</v>
      </c>
      <c r="S299">
        <f t="shared" si="98"/>
        <v>-0.1999269938952386</v>
      </c>
      <c r="T299">
        <f t="shared" si="99"/>
        <v>0.20469556876785422</v>
      </c>
      <c r="U299">
        <f t="shared" si="107"/>
        <v>2.6415950870478322</v>
      </c>
      <c r="W299">
        <v>243.55260000000001</v>
      </c>
      <c r="X299">
        <v>0.2594150689820634</v>
      </c>
      <c r="Y299">
        <f t="shared" si="91"/>
        <v>63.181214529760901</v>
      </c>
      <c r="Z299">
        <f t="shared" si="100"/>
        <v>-1.9278788017893178</v>
      </c>
      <c r="AA299">
        <f t="shared" si="101"/>
        <v>1.9326473766619334</v>
      </c>
      <c r="AB299">
        <f t="shared" si="108"/>
        <v>0.97173332522568767</v>
      </c>
      <c r="AE299">
        <v>192.47890000000001</v>
      </c>
      <c r="AF299">
        <v>0.34165672295611027</v>
      </c>
      <c r="AG299">
        <f t="shared" si="92"/>
        <v>65.76171021219686</v>
      </c>
      <c r="AH299">
        <f t="shared" si="102"/>
        <v>2.0372039271401077</v>
      </c>
      <c r="AI299">
        <f t="shared" si="103"/>
        <v>2.0324353522674921</v>
      </c>
      <c r="AJ299">
        <f t="shared" si="109"/>
        <v>1.344146284240666</v>
      </c>
      <c r="AL299">
        <f t="shared" si="93"/>
        <v>207.88808140052225</v>
      </c>
      <c r="AM299">
        <f t="shared" si="104"/>
        <v>4.7685748726156163E-3</v>
      </c>
    </row>
    <row r="300" spans="1:39" x14ac:dyDescent="0.35">
      <c r="A300" s="2">
        <v>45566</v>
      </c>
      <c r="B300">
        <v>241.6728</v>
      </c>
      <c r="C300">
        <v>0.2251170838171099</v>
      </c>
      <c r="D300">
        <f t="shared" si="88"/>
        <v>54.404675973915637</v>
      </c>
      <c r="E300">
        <f t="shared" si="94"/>
        <v>-5.5156233445291196</v>
      </c>
      <c r="F300">
        <f t="shared" si="95"/>
        <v>5.1492269080325341</v>
      </c>
      <c r="G300">
        <f t="shared" si="105"/>
        <v>4.6049281735212055</v>
      </c>
      <c r="I300">
        <v>119.0318</v>
      </c>
      <c r="J300">
        <v>0.16023911514735295</v>
      </c>
      <c r="K300">
        <f t="shared" si="89"/>
        <v>19.073550306396687</v>
      </c>
      <c r="L300">
        <f t="shared" si="96"/>
        <v>0.67731813145452957</v>
      </c>
      <c r="M300">
        <f t="shared" si="97"/>
        <v>1.0437145679511151</v>
      </c>
      <c r="N300">
        <f t="shared" si="106"/>
        <v>0.32214800255268017</v>
      </c>
      <c r="P300">
        <v>193.54900000000001</v>
      </c>
      <c r="Q300">
        <v>1.357200909736349E-2</v>
      </c>
      <c r="R300">
        <f t="shared" si="90"/>
        <v>2.626848788785606</v>
      </c>
      <c r="S300">
        <f t="shared" si="98"/>
        <v>8.5779552233530953</v>
      </c>
      <c r="T300">
        <f t="shared" si="99"/>
        <v>8.9443516598496799</v>
      </c>
      <c r="U300">
        <f t="shared" si="107"/>
        <v>8.7396560910818266</v>
      </c>
      <c r="W300">
        <v>250.4838</v>
      </c>
      <c r="X300">
        <v>0.2594150689820634</v>
      </c>
      <c r="Y300">
        <f t="shared" si="91"/>
        <v>64.97927225588937</v>
      </c>
      <c r="Z300">
        <f t="shared" si="100"/>
        <v>2.8458739508426367</v>
      </c>
      <c r="AA300">
        <f t="shared" si="101"/>
        <v>3.2122703873392222</v>
      </c>
      <c r="AB300">
        <f t="shared" si="108"/>
        <v>1.2796230106772888</v>
      </c>
      <c r="AE300">
        <v>193.29939999999999</v>
      </c>
      <c r="AF300">
        <v>0.34165672295611027</v>
      </c>
      <c r="AG300">
        <f t="shared" si="92"/>
        <v>66.042039553382338</v>
      </c>
      <c r="AH300">
        <f t="shared" si="102"/>
        <v>0.42628049100446042</v>
      </c>
      <c r="AI300">
        <f t="shared" si="103"/>
        <v>0.7926769275010459</v>
      </c>
      <c r="AJ300">
        <f t="shared" si="109"/>
        <v>1.2397584247664462</v>
      </c>
      <c r="AL300">
        <f t="shared" si="93"/>
        <v>207.12638687836963</v>
      </c>
      <c r="AM300">
        <f t="shared" si="104"/>
        <v>-0.36639643649658549</v>
      </c>
    </row>
    <row r="301" spans="1:39" x14ac:dyDescent="0.35">
      <c r="A301" s="2">
        <v>45597</v>
      </c>
      <c r="B301">
        <v>230.6678</v>
      </c>
      <c r="C301">
        <v>0.2251170838171099</v>
      </c>
      <c r="D301">
        <f t="shared" si="88"/>
        <v>51.927262466508346</v>
      </c>
      <c r="E301">
        <f t="shared" si="94"/>
        <v>-4.5536775342529197</v>
      </c>
      <c r="F301">
        <f t="shared" si="95"/>
        <v>1.8854739783943026</v>
      </c>
      <c r="G301">
        <f t="shared" si="105"/>
        <v>3.2637529296382315</v>
      </c>
      <c r="I301">
        <v>113.7282</v>
      </c>
      <c r="J301">
        <v>0.16023911514735295</v>
      </c>
      <c r="K301">
        <f t="shared" si="89"/>
        <v>18.223706135301185</v>
      </c>
      <c r="L301">
        <f t="shared" si="96"/>
        <v>-4.455616062262358</v>
      </c>
      <c r="M301">
        <f t="shared" si="97"/>
        <v>1.7874125064037409</v>
      </c>
      <c r="N301">
        <f t="shared" si="106"/>
        <v>0.74369793845262588</v>
      </c>
      <c r="P301">
        <v>201.554</v>
      </c>
      <c r="Q301">
        <v>1.357200909736349E-2</v>
      </c>
      <c r="R301">
        <f t="shared" si="90"/>
        <v>2.7354927216100009</v>
      </c>
      <c r="S301">
        <f t="shared" si="98"/>
        <v>4.1359035696386881</v>
      </c>
      <c r="T301">
        <f t="shared" si="99"/>
        <v>6.8041071254973051</v>
      </c>
      <c r="U301">
        <f t="shared" si="107"/>
        <v>2.1402445343523748</v>
      </c>
      <c r="W301">
        <v>249.0146</v>
      </c>
      <c r="X301">
        <v>0.2594150689820634</v>
      </c>
      <c r="Y301">
        <f t="shared" si="91"/>
        <v>64.598139636540921</v>
      </c>
      <c r="Z301">
        <f t="shared" si="100"/>
        <v>-0.58654491827415667</v>
      </c>
      <c r="AA301">
        <f t="shared" si="101"/>
        <v>2.0816586375844603</v>
      </c>
      <c r="AB301">
        <f t="shared" si="108"/>
        <v>1.1306117497547619</v>
      </c>
      <c r="AE301">
        <v>187.65979999999999</v>
      </c>
      <c r="AF301">
        <v>0.34165672295611027</v>
      </c>
      <c r="AG301">
        <f t="shared" si="92"/>
        <v>64.115232298599054</v>
      </c>
      <c r="AH301">
        <f t="shared" si="102"/>
        <v>-2.9175465624828645</v>
      </c>
      <c r="AI301">
        <f t="shared" si="103"/>
        <v>0.24934300662424747</v>
      </c>
      <c r="AJ301">
        <f t="shared" si="109"/>
        <v>0.54333392087679844</v>
      </c>
      <c r="AL301">
        <f t="shared" si="93"/>
        <v>201.5998332585595</v>
      </c>
      <c r="AM301">
        <f t="shared" si="104"/>
        <v>-2.668203555858617</v>
      </c>
    </row>
    <row r="302" spans="1:39" x14ac:dyDescent="0.35">
      <c r="A302" s="2">
        <v>45627</v>
      </c>
      <c r="B302">
        <v>226.1653</v>
      </c>
      <c r="C302">
        <v>0.2251170838171099</v>
      </c>
      <c r="D302">
        <f t="shared" si="88"/>
        <v>50.91367279662181</v>
      </c>
      <c r="E302">
        <f t="shared" si="94"/>
        <v>-1.9519412765890976</v>
      </c>
      <c r="F302">
        <f t="shared" si="95"/>
        <v>1.442044012060173</v>
      </c>
      <c r="G302">
        <f t="shared" si="105"/>
        <v>0.44342996633412968</v>
      </c>
      <c r="I302">
        <v>112.2157</v>
      </c>
      <c r="J302">
        <v>0.16023911514735295</v>
      </c>
      <c r="K302">
        <f t="shared" si="89"/>
        <v>17.981344473640814</v>
      </c>
      <c r="L302">
        <f t="shared" si="96"/>
        <v>-1.3299252076441892</v>
      </c>
      <c r="M302">
        <f t="shared" si="97"/>
        <v>0.82002794311526461</v>
      </c>
      <c r="N302">
        <f t="shared" si="106"/>
        <v>0.96738456328847633</v>
      </c>
      <c r="P302">
        <v>205.58430000000001</v>
      </c>
      <c r="Q302">
        <v>1.357200909736349E-2</v>
      </c>
      <c r="R302">
        <f t="shared" si="90"/>
        <v>2.7901919898751051</v>
      </c>
      <c r="S302">
        <f t="shared" si="98"/>
        <v>1.9996130069361184</v>
      </c>
      <c r="T302">
        <f t="shared" si="99"/>
        <v>2.509510271465043</v>
      </c>
      <c r="U302">
        <f t="shared" si="107"/>
        <v>4.2945968540322621</v>
      </c>
      <c r="W302">
        <v>248.42330000000001</v>
      </c>
      <c r="X302">
        <v>0.2594150689820634</v>
      </c>
      <c r="Y302">
        <f t="shared" si="91"/>
        <v>64.444747506251829</v>
      </c>
      <c r="Z302">
        <f t="shared" si="100"/>
        <v>-0.23745595639773631</v>
      </c>
      <c r="AA302">
        <f t="shared" si="101"/>
        <v>0.27244130813118828</v>
      </c>
      <c r="AB302">
        <f t="shared" si="108"/>
        <v>1.8092173294532721</v>
      </c>
      <c r="AE302">
        <v>188.61600000000001</v>
      </c>
      <c r="AF302">
        <v>0.34165672295611027</v>
      </c>
      <c r="AG302">
        <f t="shared" si="92"/>
        <v>64.441924457089698</v>
      </c>
      <c r="AH302">
        <f t="shared" si="102"/>
        <v>0.50953907016848543</v>
      </c>
      <c r="AI302">
        <f t="shared" si="103"/>
        <v>1.01943633469741</v>
      </c>
      <c r="AJ302">
        <f t="shared" si="109"/>
        <v>0.77009332807316255</v>
      </c>
      <c r="AL302">
        <f t="shared" si="93"/>
        <v>200.57188122347924</v>
      </c>
      <c r="AM302">
        <f t="shared" si="104"/>
        <v>-0.50989726452892459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7D61-4696-4FB1-AA96-9CB38B7604D5}">
  <dimension ref="A1:AM302"/>
  <sheetViews>
    <sheetView tabSelected="1" topLeftCell="R284" workbookViewId="0">
      <selection activeCell="AG4" sqref="AG4:AG302"/>
    </sheetView>
  </sheetViews>
  <sheetFormatPr defaultRowHeight="14.5" x14ac:dyDescent="0.35"/>
  <cols>
    <col min="1" max="1" width="15.1796875" bestFit="1" customWidth="1"/>
  </cols>
  <sheetData>
    <row r="1" spans="1:39" x14ac:dyDescent="0.35">
      <c r="B1" t="s">
        <v>18</v>
      </c>
      <c r="I1" t="s">
        <v>19</v>
      </c>
      <c r="P1" t="s">
        <v>20</v>
      </c>
      <c r="W1" t="s">
        <v>21</v>
      </c>
      <c r="AD1" t="s">
        <v>22</v>
      </c>
    </row>
    <row r="2" spans="1:39" x14ac:dyDescent="0.35">
      <c r="B2" t="s">
        <v>27</v>
      </c>
      <c r="C2" t="s">
        <v>28</v>
      </c>
      <c r="D2" t="s">
        <v>29</v>
      </c>
      <c r="E2" s="3" t="s">
        <v>30</v>
      </c>
      <c r="F2" t="s">
        <v>38</v>
      </c>
      <c r="G2" t="s">
        <v>39</v>
      </c>
      <c r="I2" t="s">
        <v>27</v>
      </c>
      <c r="J2" t="s">
        <v>28</v>
      </c>
      <c r="K2" t="s">
        <v>29</v>
      </c>
      <c r="L2" s="3" t="s">
        <v>30</v>
      </c>
      <c r="M2" t="s">
        <v>38</v>
      </c>
      <c r="N2" t="s">
        <v>39</v>
      </c>
      <c r="P2" t="s">
        <v>27</v>
      </c>
      <c r="Q2" t="s">
        <v>28</v>
      </c>
      <c r="R2" t="s">
        <v>29</v>
      </c>
      <c r="S2" s="3" t="s">
        <v>30</v>
      </c>
      <c r="T2" t="s">
        <v>38</v>
      </c>
      <c r="U2" t="s">
        <v>39</v>
      </c>
      <c r="W2" t="s">
        <v>27</v>
      </c>
      <c r="X2" t="s">
        <v>28</v>
      </c>
      <c r="Y2" t="s">
        <v>29</v>
      </c>
      <c r="Z2" s="3" t="s">
        <v>30</v>
      </c>
      <c r="AA2" t="s">
        <v>38</v>
      </c>
      <c r="AB2" t="s">
        <v>39</v>
      </c>
      <c r="AD2" t="s">
        <v>27</v>
      </c>
      <c r="AE2" t="s">
        <v>28</v>
      </c>
      <c r="AF2" t="s">
        <v>29</v>
      </c>
      <c r="AG2" s="3" t="s">
        <v>30</v>
      </c>
      <c r="AH2" t="s">
        <v>38</v>
      </c>
      <c r="AI2" t="s">
        <v>39</v>
      </c>
      <c r="AL2" t="s">
        <v>46</v>
      </c>
      <c r="AM2" s="3" t="s">
        <v>30</v>
      </c>
    </row>
    <row r="3" spans="1:39" x14ac:dyDescent="0.35">
      <c r="A3" s="2">
        <v>36526</v>
      </c>
      <c r="B3">
        <v>28.76285</v>
      </c>
      <c r="C3">
        <v>6.7223330052316413E-2</v>
      </c>
      <c r="D3">
        <f>B3*C3</f>
        <v>1.9335345587952693</v>
      </c>
      <c r="I3">
        <v>11.03917</v>
      </c>
      <c r="J3">
        <v>0.10179254955831242</v>
      </c>
      <c r="K3">
        <f>I3*J3</f>
        <v>1.1237052593076358</v>
      </c>
      <c r="P3">
        <v>15.97113</v>
      </c>
      <c r="Q3">
        <v>0.53953544921599605</v>
      </c>
      <c r="R3">
        <f>P3*Q3</f>
        <v>8.6169907990370707</v>
      </c>
      <c r="W3">
        <v>33.462000000000003</v>
      </c>
      <c r="X3">
        <v>1.4208567611578852E-2</v>
      </c>
      <c r="Y3">
        <f>W3*X3</f>
        <v>0.4754470894186516</v>
      </c>
      <c r="AD3">
        <v>21.701260000000001</v>
      </c>
      <c r="AE3">
        <v>0.27724010356179629</v>
      </c>
      <c r="AF3">
        <f>AD3*AE3</f>
        <v>6.0164595698214676</v>
      </c>
      <c r="AL3">
        <f>AF3+Y3+R3+K3+D3</f>
        <v>18.166137276380095</v>
      </c>
    </row>
    <row r="4" spans="1:39" x14ac:dyDescent="0.35">
      <c r="A4" s="2">
        <v>36557</v>
      </c>
      <c r="B4">
        <v>28.800529999999998</v>
      </c>
      <c r="C4">
        <v>6.7223330052316413E-2</v>
      </c>
      <c r="D4">
        <f t="shared" ref="D4:D67" si="0">B4*C4</f>
        <v>1.9360675338716402</v>
      </c>
      <c r="E4">
        <f>((B4/B3)-1)*100</f>
        <v>0.13100231722515954</v>
      </c>
      <c r="F4">
        <f>ABS(E4-AM4)</f>
        <v>1.0558722477108873</v>
      </c>
      <c r="I4">
        <v>11.02932</v>
      </c>
      <c r="J4">
        <v>0.10179254955831242</v>
      </c>
      <c r="K4">
        <f t="shared" ref="K4:K67" si="1">I4*J4</f>
        <v>1.1227026026944864</v>
      </c>
      <c r="L4">
        <f>((I4/I3)-1)*100</f>
        <v>-8.9227722736406889E-2</v>
      </c>
      <c r="M4">
        <f>ABS(L4-AM4)</f>
        <v>0.83564220774932085</v>
      </c>
      <c r="P4">
        <v>16.796849999999999</v>
      </c>
      <c r="Q4">
        <v>0.53953544921599605</v>
      </c>
      <c r="R4">
        <f t="shared" ref="R4:R67" si="2">P4*Q4</f>
        <v>9.0624960101637022</v>
      </c>
      <c r="S4">
        <f>((P4/P3)-1)*100</f>
        <v>5.1700787608641274</v>
      </c>
      <c r="T4">
        <f>ABS(S4-AM4)</f>
        <v>6.0949486913498552</v>
      </c>
      <c r="W4">
        <v>38.376350000000002</v>
      </c>
      <c r="X4">
        <v>1.4208567611578852E-2</v>
      </c>
      <c r="Y4">
        <f t="shared" ref="Y4:Y67" si="3">W4*X4</f>
        <v>0.54527296366061406</v>
      </c>
      <c r="Z4">
        <f>((W4/W3)-1)*100</f>
        <v>14.6863606478991</v>
      </c>
      <c r="AA4">
        <f>ABS(Z4-AM4)</f>
        <v>15.611230578384827</v>
      </c>
      <c r="AD4">
        <v>19.230930000000001</v>
      </c>
      <c r="AE4">
        <v>0.27724010356179629</v>
      </c>
      <c r="AF4">
        <f t="shared" ref="AF4:AF67" si="4">AD4*AE4</f>
        <v>5.3315850247896552</v>
      </c>
      <c r="AG4">
        <f>((AD4/AD3)-1)*100</f>
        <v>-11.383348247981917</v>
      </c>
      <c r="AH4">
        <f>ABS(AG4-AM4)</f>
        <v>10.458478317496191</v>
      </c>
      <c r="AL4">
        <f t="shared" ref="AL4:AL67" si="5">AF4+Y4+R4+K4+D4</f>
        <v>17.998124135180095</v>
      </c>
      <c r="AM4">
        <f>((AL4/AL3)-1)*100</f>
        <v>-0.92486993048572774</v>
      </c>
    </row>
    <row r="5" spans="1:39" x14ac:dyDescent="0.35">
      <c r="A5" s="2">
        <v>36586</v>
      </c>
      <c r="B5">
        <v>27.6675</v>
      </c>
      <c r="C5">
        <v>6.7223330052316413E-2</v>
      </c>
      <c r="D5">
        <f t="shared" si="0"/>
        <v>1.8599014842224644</v>
      </c>
      <c r="E5">
        <f t="shared" ref="E5:E68" si="6">((B5/B4)-1)*100</f>
        <v>-3.9340595468208339</v>
      </c>
      <c r="F5">
        <f t="shared" ref="F5:F68" si="7">ABS(E5-AM5)</f>
        <v>10.176824179242338</v>
      </c>
      <c r="G5">
        <f>ABS(F5-F4)</f>
        <v>9.1209519315314509</v>
      </c>
      <c r="I5">
        <v>9.8820379999999997</v>
      </c>
      <c r="J5">
        <v>0.10179254955831242</v>
      </c>
      <c r="K5">
        <f t="shared" si="1"/>
        <v>1.0059178428521265</v>
      </c>
      <c r="L5">
        <f t="shared" ref="L5:L68" si="8">((I5/I4)-1)*100</f>
        <v>-10.402110012221977</v>
      </c>
      <c r="M5">
        <f t="shared" ref="M5:M68" si="9">ABS(L5-AM5)</f>
        <v>16.64487464464348</v>
      </c>
      <c r="N5">
        <f>ABS(M5-M4)</f>
        <v>15.80923243689416</v>
      </c>
      <c r="P5">
        <v>18.12621</v>
      </c>
      <c r="Q5">
        <v>0.53953544921599605</v>
      </c>
      <c r="R5">
        <f t="shared" si="2"/>
        <v>9.7797328549334797</v>
      </c>
      <c r="S5">
        <f t="shared" ref="S5:S68" si="10">((P5/P4)-1)*100</f>
        <v>7.9143410818099946</v>
      </c>
      <c r="T5">
        <f t="shared" ref="T5:T68" si="11">ABS(S5-AM5)</f>
        <v>1.6715764493884899</v>
      </c>
      <c r="U5">
        <f>ABS(T5-T4)</f>
        <v>4.4233722419613652</v>
      </c>
      <c r="W5">
        <v>37.504629999999999</v>
      </c>
      <c r="X5">
        <v>1.4208567611578852E-2</v>
      </c>
      <c r="Y5">
        <f t="shared" si="3"/>
        <v>0.53288707110224853</v>
      </c>
      <c r="Z5">
        <f t="shared" ref="Z5:Z68" si="12">((W5/W4)-1)*100</f>
        <v>-2.2715031523321105</v>
      </c>
      <c r="AA5">
        <f t="shared" ref="AA5:AA68" si="13">ABS(Z5-AM5)</f>
        <v>8.5142677847536152</v>
      </c>
      <c r="AB5">
        <f>ABS(AA5-AA4)</f>
        <v>7.0969627936312119</v>
      </c>
      <c r="AD5">
        <v>21.437249999999999</v>
      </c>
      <c r="AE5">
        <v>0.27724010356179629</v>
      </c>
      <c r="AF5">
        <f t="shared" si="4"/>
        <v>5.9432654100801177</v>
      </c>
      <c r="AG5">
        <f t="shared" ref="AG5:AG68" si="14">((AD5/AD4)-1)*100</f>
        <v>11.47276808765878</v>
      </c>
      <c r="AH5">
        <f t="shared" ref="AH5:AH68" si="15">ABS(AG5-AM5)</f>
        <v>5.2300034552372754</v>
      </c>
      <c r="AI5">
        <f>ABS(AH5-AH4)</f>
        <v>5.2284748622589152</v>
      </c>
      <c r="AL5">
        <f t="shared" si="5"/>
        <v>19.121704663190439</v>
      </c>
      <c r="AM5">
        <f t="shared" ref="AM5:AM68" si="16">((AL5/AL4)-1)*100</f>
        <v>6.2427646324215047</v>
      </c>
    </row>
    <row r="6" spans="1:39" x14ac:dyDescent="0.35">
      <c r="A6" s="2">
        <v>36617</v>
      </c>
      <c r="B6">
        <v>26.713979999999999</v>
      </c>
      <c r="C6">
        <v>6.7223330052316413E-2</v>
      </c>
      <c r="D6">
        <f t="shared" si="0"/>
        <v>1.7958026945509795</v>
      </c>
      <c r="E6">
        <f t="shared" si="6"/>
        <v>-3.4463540254811686</v>
      </c>
      <c r="F6">
        <f t="shared" si="7"/>
        <v>4.3606683291332216</v>
      </c>
      <c r="G6">
        <f t="shared" ref="G6:G69" si="17">ABS(F6-F5)</f>
        <v>5.8161558501091166</v>
      </c>
      <c r="I6">
        <v>9.6305019999999999</v>
      </c>
      <c r="J6">
        <v>0.10179254955831242</v>
      </c>
      <c r="K6">
        <f t="shared" si="1"/>
        <v>0.98031335210642689</v>
      </c>
      <c r="L6">
        <f t="shared" si="8"/>
        <v>-2.5453858809286078</v>
      </c>
      <c r="M6">
        <f t="shared" si="9"/>
        <v>5.2616364736857824</v>
      </c>
      <c r="N6">
        <f t="shared" ref="N6:N69" si="18">ABS(M6-M5)</f>
        <v>11.383238170957696</v>
      </c>
      <c r="P6">
        <v>15.65357</v>
      </c>
      <c r="Q6">
        <v>0.53953544921599605</v>
      </c>
      <c r="R6">
        <f t="shared" si="2"/>
        <v>8.4456559217840397</v>
      </c>
      <c r="S6">
        <f t="shared" si="10"/>
        <v>-13.641241053700693</v>
      </c>
      <c r="T6">
        <f t="shared" si="11"/>
        <v>5.8342186990863025</v>
      </c>
      <c r="U6">
        <f t="shared" ref="U6:U69" si="19">ABS(T6-T5)</f>
        <v>4.1626422496978126</v>
      </c>
      <c r="W6">
        <v>34.942250000000001</v>
      </c>
      <c r="X6">
        <v>1.4208567611578852E-2</v>
      </c>
      <c r="Y6">
        <f t="shared" si="3"/>
        <v>0.49647932162569114</v>
      </c>
      <c r="Z6">
        <f t="shared" si="12"/>
        <v>-6.8321697881034922</v>
      </c>
      <c r="AA6">
        <f t="shared" si="13"/>
        <v>0.97485256651089802</v>
      </c>
      <c r="AB6">
        <f t="shared" ref="AB6:AB69" si="20">ABS(AA6-AA5)</f>
        <v>7.5394152182427172</v>
      </c>
      <c r="AD6">
        <v>21.319489999999998</v>
      </c>
      <c r="AE6">
        <v>0.27724010356179629</v>
      </c>
      <c r="AF6">
        <f t="shared" si="4"/>
        <v>5.9106176154846803</v>
      </c>
      <c r="AG6">
        <f t="shared" si="14"/>
        <v>-0.54932419036957114</v>
      </c>
      <c r="AH6">
        <f t="shared" si="15"/>
        <v>7.2576981642448191</v>
      </c>
      <c r="AI6">
        <f t="shared" ref="AI6:AI69" si="21">ABS(AH6-AH5)</f>
        <v>2.0276947090075437</v>
      </c>
      <c r="AL6">
        <f t="shared" si="5"/>
        <v>17.628868905551819</v>
      </c>
      <c r="AM6">
        <f t="shared" si="16"/>
        <v>-7.8070223546143902</v>
      </c>
    </row>
    <row r="7" spans="1:39" x14ac:dyDescent="0.35">
      <c r="A7" s="2">
        <v>36647</v>
      </c>
      <c r="B7">
        <v>26.49654</v>
      </c>
      <c r="C7">
        <v>6.7223330052316413E-2</v>
      </c>
      <c r="D7">
        <f t="shared" si="0"/>
        <v>1.781185653664404</v>
      </c>
      <c r="E7">
        <f t="shared" si="6"/>
        <v>-0.81395583885292</v>
      </c>
      <c r="F7">
        <f t="shared" si="7"/>
        <v>5.2156347957570066</v>
      </c>
      <c r="G7">
        <f t="shared" si="17"/>
        <v>0.85496646662378506</v>
      </c>
      <c r="I7">
        <v>8.8559380000000001</v>
      </c>
      <c r="J7">
        <v>0.10179254955831242</v>
      </c>
      <c r="K7">
        <f t="shared" si="1"/>
        <v>0.90146850775034215</v>
      </c>
      <c r="L7">
        <f t="shared" si="8"/>
        <v>-8.0428206130895301</v>
      </c>
      <c r="M7">
        <f t="shared" si="9"/>
        <v>2.0132299784796031</v>
      </c>
      <c r="N7">
        <f t="shared" si="18"/>
        <v>3.2484064952061793</v>
      </c>
      <c r="P7">
        <v>13.923780000000001</v>
      </c>
      <c r="Q7">
        <v>0.53953544921599605</v>
      </c>
      <c r="R7">
        <f t="shared" si="2"/>
        <v>7.5123728970847017</v>
      </c>
      <c r="S7">
        <f t="shared" si="10"/>
        <v>-11.050450472320373</v>
      </c>
      <c r="T7">
        <f t="shared" si="11"/>
        <v>5.0208598377104456</v>
      </c>
      <c r="U7">
        <f t="shared" si="19"/>
        <v>0.81335886137585689</v>
      </c>
      <c r="W7">
        <v>33.748570000000001</v>
      </c>
      <c r="X7">
        <v>1.4208567611578852E-2</v>
      </c>
      <c r="Y7">
        <f t="shared" si="3"/>
        <v>0.47951883863910172</v>
      </c>
      <c r="Z7">
        <f t="shared" si="12"/>
        <v>-3.4161509347566343</v>
      </c>
      <c r="AA7">
        <f t="shared" si="13"/>
        <v>2.6134396998532927</v>
      </c>
      <c r="AB7">
        <f t="shared" si="20"/>
        <v>1.6385871333423947</v>
      </c>
      <c r="AD7">
        <v>21.250080000000001</v>
      </c>
      <c r="AE7">
        <v>0.27724010356179629</v>
      </c>
      <c r="AF7">
        <f t="shared" si="4"/>
        <v>5.8913743798964564</v>
      </c>
      <c r="AG7">
        <f t="shared" si="14"/>
        <v>-0.32557063982299184</v>
      </c>
      <c r="AH7">
        <f t="shared" si="15"/>
        <v>5.7040199947869352</v>
      </c>
      <c r="AI7">
        <f t="shared" si="21"/>
        <v>1.5536781694578838</v>
      </c>
      <c r="AL7">
        <f t="shared" si="5"/>
        <v>16.565920277035005</v>
      </c>
      <c r="AM7">
        <f t="shared" si="16"/>
        <v>-6.0295906346099271</v>
      </c>
    </row>
    <row r="8" spans="1:39" x14ac:dyDescent="0.35">
      <c r="A8" s="2">
        <v>36678</v>
      </c>
      <c r="B8">
        <v>26.10793</v>
      </c>
      <c r="C8">
        <v>6.7223330052316413E-2</v>
      </c>
      <c r="D8">
        <f t="shared" si="0"/>
        <v>1.7550619953727733</v>
      </c>
      <c r="E8">
        <f t="shared" si="6"/>
        <v>-1.4666443241268534</v>
      </c>
      <c r="F8">
        <f t="shared" si="7"/>
        <v>0.10073904462668537</v>
      </c>
      <c r="G8">
        <f t="shared" si="17"/>
        <v>5.1148957511303212</v>
      </c>
      <c r="I8">
        <v>7.8660639999999997</v>
      </c>
      <c r="J8">
        <v>0.10179254955831242</v>
      </c>
      <c r="K8">
        <f t="shared" si="1"/>
        <v>0.80070670954885725</v>
      </c>
      <c r="L8">
        <f t="shared" si="8"/>
        <v>-11.177517277108318</v>
      </c>
      <c r="M8">
        <f t="shared" si="9"/>
        <v>9.8116119976081499</v>
      </c>
      <c r="N8">
        <f t="shared" si="18"/>
        <v>7.7983820191285469</v>
      </c>
      <c r="P8">
        <v>14.89118</v>
      </c>
      <c r="Q8">
        <v>0.53953544921599605</v>
      </c>
      <c r="R8">
        <f t="shared" si="2"/>
        <v>8.0343194906562569</v>
      </c>
      <c r="S8">
        <f t="shared" si="10"/>
        <v>6.9478259495625361</v>
      </c>
      <c r="T8">
        <f t="shared" si="11"/>
        <v>8.3137312290627037</v>
      </c>
      <c r="U8">
        <f t="shared" si="19"/>
        <v>3.292871391352258</v>
      </c>
      <c r="W8">
        <v>32.319159999999997</v>
      </c>
      <c r="X8">
        <v>1.4208567611578852E-2</v>
      </c>
      <c r="Y8">
        <f t="shared" si="3"/>
        <v>0.45920897000943472</v>
      </c>
      <c r="Z8">
        <f t="shared" si="12"/>
        <v>-4.2354683472514694</v>
      </c>
      <c r="AA8">
        <f t="shared" si="13"/>
        <v>2.8695630677513013</v>
      </c>
      <c r="AB8">
        <f t="shared" si="20"/>
        <v>0.2561233678980086</v>
      </c>
      <c r="AD8">
        <v>19.082190000000001</v>
      </c>
      <c r="AE8">
        <v>0.27724010356179629</v>
      </c>
      <c r="AF8">
        <f t="shared" si="4"/>
        <v>5.2903483317858742</v>
      </c>
      <c r="AG8">
        <f t="shared" si="14"/>
        <v>-10.201796887352899</v>
      </c>
      <c r="AH8">
        <f t="shared" si="15"/>
        <v>8.8358916078527301</v>
      </c>
      <c r="AI8">
        <f t="shared" si="21"/>
        <v>3.1318716130657949</v>
      </c>
      <c r="AL8">
        <f t="shared" si="5"/>
        <v>16.339645497373194</v>
      </c>
      <c r="AM8">
        <f t="shared" si="16"/>
        <v>-1.365905279500168</v>
      </c>
    </row>
    <row r="9" spans="1:39" x14ac:dyDescent="0.35">
      <c r="A9" s="2">
        <v>36708</v>
      </c>
      <c r="B9">
        <v>25.922180000000001</v>
      </c>
      <c r="C9">
        <v>6.7223330052316413E-2</v>
      </c>
      <c r="D9">
        <f t="shared" si="0"/>
        <v>1.7425752618155554</v>
      </c>
      <c r="E9">
        <f t="shared" si="6"/>
        <v>-0.71146965692032715</v>
      </c>
      <c r="F9">
        <f t="shared" si="7"/>
        <v>1.4750960634239974</v>
      </c>
      <c r="G9">
        <f t="shared" si="17"/>
        <v>1.374357018797312</v>
      </c>
      <c r="I9">
        <v>8.1952649999999991</v>
      </c>
      <c r="J9">
        <v>0.10179254955831242</v>
      </c>
      <c r="K9">
        <f t="shared" si="1"/>
        <v>0.83421691865600311</v>
      </c>
      <c r="L9">
        <f t="shared" si="8"/>
        <v>4.18507909419501</v>
      </c>
      <c r="M9">
        <f t="shared" si="9"/>
        <v>3.4214526876913398</v>
      </c>
      <c r="N9">
        <f t="shared" si="18"/>
        <v>6.3901593099168101</v>
      </c>
      <c r="P9">
        <v>16.0916</v>
      </c>
      <c r="Q9">
        <v>0.53953544921599605</v>
      </c>
      <c r="R9">
        <f t="shared" si="2"/>
        <v>8.6819886346041226</v>
      </c>
      <c r="S9">
        <f t="shared" si="10"/>
        <v>8.0612819131861801</v>
      </c>
      <c r="T9">
        <f t="shared" si="11"/>
        <v>7.29765550668251</v>
      </c>
      <c r="U9">
        <f t="shared" si="19"/>
        <v>1.0160757223801937</v>
      </c>
      <c r="W9">
        <v>32.71067</v>
      </c>
      <c r="X9">
        <v>1.4208567611578852E-2</v>
      </c>
      <c r="Y9">
        <f t="shared" si="3"/>
        <v>0.46477176631504402</v>
      </c>
      <c r="Z9">
        <f t="shared" si="12"/>
        <v>1.2113866820796293</v>
      </c>
      <c r="AA9">
        <f t="shared" si="13"/>
        <v>0.4477602755759591</v>
      </c>
      <c r="AB9">
        <f t="shared" si="20"/>
        <v>2.4218027921753422</v>
      </c>
      <c r="AD9">
        <v>17.10022</v>
      </c>
      <c r="AE9">
        <v>0.27724010356179629</v>
      </c>
      <c r="AF9">
        <f t="shared" si="4"/>
        <v>4.7408667637295006</v>
      </c>
      <c r="AG9">
        <f t="shared" si="14"/>
        <v>-10.386491277992727</v>
      </c>
      <c r="AH9">
        <f t="shared" si="15"/>
        <v>11.150117684496397</v>
      </c>
      <c r="AI9">
        <f t="shared" si="21"/>
        <v>2.3142260766436671</v>
      </c>
      <c r="AL9">
        <f t="shared" si="5"/>
        <v>16.464419345120223</v>
      </c>
      <c r="AM9">
        <f t="shared" si="16"/>
        <v>0.7636264065036702</v>
      </c>
    </row>
    <row r="10" spans="1:39" x14ac:dyDescent="0.35">
      <c r="A10" s="2">
        <v>36739</v>
      </c>
      <c r="B10">
        <v>26.271360000000001</v>
      </c>
      <c r="C10">
        <v>6.7223330052316413E-2</v>
      </c>
      <c r="D10">
        <f t="shared" si="0"/>
        <v>1.7660483042032233</v>
      </c>
      <c r="E10">
        <f t="shared" si="6"/>
        <v>1.3470317697045653</v>
      </c>
      <c r="F10">
        <f t="shared" si="7"/>
        <v>6.8112596673875041</v>
      </c>
      <c r="G10">
        <f t="shared" si="17"/>
        <v>5.3361636039635068</v>
      </c>
      <c r="I10">
        <v>8.1366790000000009</v>
      </c>
      <c r="J10">
        <v>0.10179254955831242</v>
      </c>
      <c r="K10">
        <f t="shared" si="1"/>
        <v>0.82825330034758005</v>
      </c>
      <c r="L10">
        <f t="shared" si="8"/>
        <v>-0.71487621205656993</v>
      </c>
      <c r="M10">
        <f t="shared" si="9"/>
        <v>4.7493516856263689</v>
      </c>
      <c r="N10">
        <f t="shared" si="18"/>
        <v>1.3278989979350291</v>
      </c>
      <c r="P10">
        <v>14.726520000000001</v>
      </c>
      <c r="Q10">
        <v>0.53953544921599605</v>
      </c>
      <c r="R10">
        <f t="shared" si="2"/>
        <v>7.9454795835883507</v>
      </c>
      <c r="S10">
        <f t="shared" si="10"/>
        <v>-8.4831837729001371</v>
      </c>
      <c r="T10">
        <f t="shared" si="11"/>
        <v>3.0189558752171983</v>
      </c>
      <c r="U10">
        <f t="shared" si="19"/>
        <v>4.2786996314653116</v>
      </c>
      <c r="W10">
        <v>32.741990000000001</v>
      </c>
      <c r="X10">
        <v>1.4208567611578852E-2</v>
      </c>
      <c r="Y10">
        <f t="shared" si="3"/>
        <v>0.46521677865263866</v>
      </c>
      <c r="Z10">
        <f t="shared" si="12"/>
        <v>9.5748573783427382E-2</v>
      </c>
      <c r="AA10">
        <f t="shared" si="13"/>
        <v>5.5599764714663662</v>
      </c>
      <c r="AB10">
        <f t="shared" si="20"/>
        <v>5.1122161958904071</v>
      </c>
      <c r="AD10">
        <v>16.446999999999999</v>
      </c>
      <c r="AE10">
        <v>0.27724010356179629</v>
      </c>
      <c r="AF10">
        <f t="shared" si="4"/>
        <v>4.5597679832808637</v>
      </c>
      <c r="AG10">
        <f t="shared" si="14"/>
        <v>-3.8199508544334626</v>
      </c>
      <c r="AH10">
        <f t="shared" si="15"/>
        <v>1.6442770432494762</v>
      </c>
      <c r="AI10">
        <f t="shared" si="21"/>
        <v>9.5058406412469214</v>
      </c>
      <c r="AL10">
        <f t="shared" si="5"/>
        <v>15.564765950072658</v>
      </c>
      <c r="AM10">
        <f t="shared" si="16"/>
        <v>-5.4642278976829388</v>
      </c>
    </row>
    <row r="11" spans="1:39" x14ac:dyDescent="0.35">
      <c r="A11" s="2">
        <v>36770</v>
      </c>
      <c r="B11">
        <v>26.103210000000001</v>
      </c>
      <c r="C11">
        <v>6.7223330052316413E-2</v>
      </c>
      <c r="D11">
        <f t="shared" si="0"/>
        <v>1.7547447012549264</v>
      </c>
      <c r="E11">
        <f t="shared" si="6"/>
        <v>-0.64005061024628995</v>
      </c>
      <c r="F11">
        <f t="shared" si="7"/>
        <v>1.4146913655973647</v>
      </c>
      <c r="G11">
        <f t="shared" si="17"/>
        <v>5.3965683017901398</v>
      </c>
      <c r="I11">
        <v>7.7396649999999996</v>
      </c>
      <c r="J11">
        <v>0.10179254955831242</v>
      </c>
      <c r="K11">
        <f t="shared" si="1"/>
        <v>0.78784023307723605</v>
      </c>
      <c r="L11">
        <f t="shared" si="8"/>
        <v>-4.8793125549133958</v>
      </c>
      <c r="M11">
        <f t="shared" si="9"/>
        <v>2.8245705790697411</v>
      </c>
      <c r="N11">
        <f t="shared" si="18"/>
        <v>1.9247811065566278</v>
      </c>
      <c r="P11">
        <v>15.21945</v>
      </c>
      <c r="Q11">
        <v>0.53953544921599605</v>
      </c>
      <c r="R11">
        <f t="shared" si="2"/>
        <v>8.2114327925703918</v>
      </c>
      <c r="S11">
        <f t="shared" si="10"/>
        <v>3.3472266360280667</v>
      </c>
      <c r="T11">
        <f t="shared" si="11"/>
        <v>5.4019686118717214</v>
      </c>
      <c r="U11">
        <f t="shared" si="19"/>
        <v>2.3830127366545231</v>
      </c>
      <c r="W11">
        <v>32.134830000000001</v>
      </c>
      <c r="X11">
        <v>1.4208567611578852E-2</v>
      </c>
      <c r="Y11">
        <f t="shared" si="3"/>
        <v>0.45658990474159244</v>
      </c>
      <c r="Z11">
        <f t="shared" si="12"/>
        <v>-1.8543772079827825</v>
      </c>
      <c r="AA11">
        <f t="shared" si="13"/>
        <v>0.20036476786087221</v>
      </c>
      <c r="AB11">
        <f t="shared" si="20"/>
        <v>5.359611703605494</v>
      </c>
      <c r="AD11">
        <v>14.5518</v>
      </c>
      <c r="AE11">
        <v>0.27724010356179629</v>
      </c>
      <c r="AF11">
        <f t="shared" si="4"/>
        <v>4.034342539010547</v>
      </c>
      <c r="AG11">
        <f t="shared" si="14"/>
        <v>-11.52307411686021</v>
      </c>
      <c r="AH11">
        <f t="shared" si="15"/>
        <v>9.4683321410165551</v>
      </c>
      <c r="AI11">
        <f t="shared" si="21"/>
        <v>7.8240550977670793</v>
      </c>
      <c r="AL11">
        <f t="shared" si="5"/>
        <v>15.244950170654695</v>
      </c>
      <c r="AM11">
        <f t="shared" si="16"/>
        <v>-2.0547419758436547</v>
      </c>
    </row>
    <row r="12" spans="1:39" x14ac:dyDescent="0.35">
      <c r="A12" s="2">
        <v>36800</v>
      </c>
      <c r="B12">
        <v>24.997140000000002</v>
      </c>
      <c r="C12">
        <v>6.7223330052316413E-2</v>
      </c>
      <c r="D12">
        <f t="shared" si="0"/>
        <v>1.6803909925839609</v>
      </c>
      <c r="E12">
        <f t="shared" si="6"/>
        <v>-4.2372949533792887</v>
      </c>
      <c r="F12">
        <f t="shared" si="7"/>
        <v>1.2041328738870312</v>
      </c>
      <c r="G12">
        <f t="shared" si="17"/>
        <v>0.21055849171033358</v>
      </c>
      <c r="I12">
        <v>7.439584</v>
      </c>
      <c r="J12">
        <v>0.10179254955831242</v>
      </c>
      <c r="K12">
        <f t="shared" si="1"/>
        <v>0.75729422301322813</v>
      </c>
      <c r="L12">
        <f t="shared" si="8"/>
        <v>-3.877183314781707</v>
      </c>
      <c r="M12">
        <f t="shared" si="9"/>
        <v>0.84402123528944939</v>
      </c>
      <c r="N12">
        <f t="shared" si="18"/>
        <v>1.9805493437802917</v>
      </c>
      <c r="P12">
        <v>13.80869</v>
      </c>
      <c r="Q12">
        <v>0.53953544921599605</v>
      </c>
      <c r="R12">
        <f t="shared" si="2"/>
        <v>7.4502777622344327</v>
      </c>
      <c r="S12">
        <f t="shared" si="10"/>
        <v>-9.2694545466491913</v>
      </c>
      <c r="T12">
        <f t="shared" si="11"/>
        <v>6.2362924671569342</v>
      </c>
      <c r="U12">
        <f t="shared" si="19"/>
        <v>0.8343238552852128</v>
      </c>
      <c r="W12">
        <v>31.23104</v>
      </c>
      <c r="X12">
        <v>1.4208567611578852E-2</v>
      </c>
      <c r="Y12">
        <f t="shared" si="3"/>
        <v>0.44374834341992359</v>
      </c>
      <c r="Z12">
        <f t="shared" si="12"/>
        <v>-2.8124934844839689</v>
      </c>
      <c r="AA12">
        <f t="shared" si="13"/>
        <v>0.22066859500828873</v>
      </c>
      <c r="AB12">
        <f t="shared" si="20"/>
        <v>2.030382714741652E-2</v>
      </c>
      <c r="AD12">
        <v>16.054079999999999</v>
      </c>
      <c r="AE12">
        <v>0.27724010356179629</v>
      </c>
      <c r="AF12">
        <f t="shared" si="4"/>
        <v>4.4508348017893624</v>
      </c>
      <c r="AG12">
        <f t="shared" si="14"/>
        <v>10.323671298396064</v>
      </c>
      <c r="AH12">
        <f t="shared" si="15"/>
        <v>13.356833377888321</v>
      </c>
      <c r="AI12">
        <f t="shared" si="21"/>
        <v>3.8885012368717664</v>
      </c>
      <c r="AL12">
        <f t="shared" si="5"/>
        <v>14.782546123040907</v>
      </c>
      <c r="AM12">
        <f t="shared" si="16"/>
        <v>-3.0331620794922576</v>
      </c>
    </row>
    <row r="13" spans="1:39" x14ac:dyDescent="0.35">
      <c r="A13" s="2">
        <v>36831</v>
      </c>
      <c r="B13">
        <v>25.751169999999998</v>
      </c>
      <c r="C13">
        <v>6.7223330052316413E-2</v>
      </c>
      <c r="D13">
        <f t="shared" si="0"/>
        <v>1.7310794001433087</v>
      </c>
      <c r="E13">
        <f t="shared" si="6"/>
        <v>3.0164650836055573</v>
      </c>
      <c r="F13">
        <f t="shared" si="7"/>
        <v>2.9765046688988051</v>
      </c>
      <c r="G13">
        <f t="shared" si="17"/>
        <v>1.7723717950117739</v>
      </c>
      <c r="I13">
        <v>7.2657619999999996</v>
      </c>
      <c r="J13">
        <v>0.10179254955831242</v>
      </c>
      <c r="K13">
        <f t="shared" si="1"/>
        <v>0.73960043846390311</v>
      </c>
      <c r="L13">
        <f t="shared" si="8"/>
        <v>-2.336447844395606</v>
      </c>
      <c r="M13">
        <f t="shared" si="9"/>
        <v>2.3764082591023583</v>
      </c>
      <c r="N13">
        <f t="shared" si="18"/>
        <v>1.5323870238129089</v>
      </c>
      <c r="P13">
        <v>14.002520000000001</v>
      </c>
      <c r="Q13">
        <v>0.53953544921599605</v>
      </c>
      <c r="R13">
        <f t="shared" si="2"/>
        <v>7.5548559183559689</v>
      </c>
      <c r="S13">
        <f t="shared" si="10"/>
        <v>1.4036813050332775</v>
      </c>
      <c r="T13">
        <f t="shared" si="11"/>
        <v>1.3637208903265252</v>
      </c>
      <c r="U13">
        <f t="shared" si="19"/>
        <v>4.872571576830409</v>
      </c>
      <c r="W13">
        <v>33.452590000000001</v>
      </c>
      <c r="X13">
        <v>1.4208567611578852E-2</v>
      </c>
      <c r="Y13">
        <f t="shared" si="3"/>
        <v>0.47531338679742657</v>
      </c>
      <c r="Z13">
        <f t="shared" si="12"/>
        <v>7.113275766673155</v>
      </c>
      <c r="AA13">
        <f t="shared" si="13"/>
        <v>7.0733153519664027</v>
      </c>
      <c r="AB13">
        <f t="shared" si="20"/>
        <v>6.852646756958114</v>
      </c>
      <c r="AD13">
        <v>15.465310000000001</v>
      </c>
      <c r="AE13">
        <v>0.27724010356179629</v>
      </c>
      <c r="AF13">
        <f t="shared" si="4"/>
        <v>4.2876041460152843</v>
      </c>
      <c r="AG13">
        <f t="shared" si="14"/>
        <v>-3.6674166317845591</v>
      </c>
      <c r="AH13">
        <f t="shared" si="15"/>
        <v>3.7073770464913114</v>
      </c>
      <c r="AI13">
        <f t="shared" si="21"/>
        <v>9.6494563313970101</v>
      </c>
      <c r="AL13">
        <f t="shared" si="5"/>
        <v>14.788453289775891</v>
      </c>
      <c r="AM13">
        <f t="shared" si="16"/>
        <v>3.9960414706752267E-2</v>
      </c>
    </row>
    <row r="14" spans="1:39" x14ac:dyDescent="0.35">
      <c r="A14" s="2">
        <v>36861</v>
      </c>
      <c r="B14">
        <v>25.82508</v>
      </c>
      <c r="C14">
        <v>6.7223330052316413E-2</v>
      </c>
      <c r="D14">
        <f t="shared" si="0"/>
        <v>1.7360478764674756</v>
      </c>
      <c r="E14">
        <f t="shared" si="6"/>
        <v>0.28701608509438259</v>
      </c>
      <c r="F14">
        <f t="shared" si="7"/>
        <v>11.960463818861689</v>
      </c>
      <c r="G14">
        <f t="shared" si="17"/>
        <v>8.9839591499628835</v>
      </c>
      <c r="I14">
        <v>7.2842279999999997</v>
      </c>
      <c r="J14">
        <v>0.10179254955831242</v>
      </c>
      <c r="K14">
        <f t="shared" si="1"/>
        <v>0.74148013968404691</v>
      </c>
      <c r="L14">
        <f t="shared" si="8"/>
        <v>0.2541509066771086</v>
      </c>
      <c r="M14">
        <f t="shared" si="9"/>
        <v>11.927598640444415</v>
      </c>
      <c r="N14">
        <f t="shared" si="18"/>
        <v>9.5511903813420567</v>
      </c>
      <c r="P14">
        <v>12.77989</v>
      </c>
      <c r="Q14">
        <v>0.53953544921599605</v>
      </c>
      <c r="R14">
        <f t="shared" si="2"/>
        <v>6.895203692081016</v>
      </c>
      <c r="S14">
        <f t="shared" si="10"/>
        <v>-8.7314997586148806</v>
      </c>
      <c r="T14">
        <f t="shared" si="11"/>
        <v>2.9419479751524253</v>
      </c>
      <c r="U14">
        <f t="shared" si="19"/>
        <v>1.5782270848259001</v>
      </c>
      <c r="W14">
        <v>35.702910000000003</v>
      </c>
      <c r="X14">
        <v>1.4208567611578852E-2</v>
      </c>
      <c r="Y14">
        <f t="shared" si="3"/>
        <v>0.50728721066511473</v>
      </c>
      <c r="Z14">
        <f t="shared" si="12"/>
        <v>6.7268931942190413</v>
      </c>
      <c r="AA14">
        <f t="shared" si="13"/>
        <v>18.400340927986349</v>
      </c>
      <c r="AB14">
        <f t="shared" si="20"/>
        <v>11.327025576019945</v>
      </c>
      <c r="AD14">
        <v>11.477819999999999</v>
      </c>
      <c r="AE14">
        <v>0.27724010356179629</v>
      </c>
      <c r="AF14">
        <f t="shared" si="4"/>
        <v>3.1821120054636567</v>
      </c>
      <c r="AG14">
        <f t="shared" si="14"/>
        <v>-25.783446953213364</v>
      </c>
      <c r="AH14">
        <f t="shared" si="15"/>
        <v>14.109999219446058</v>
      </c>
      <c r="AI14">
        <f t="shared" si="21"/>
        <v>10.402622172954747</v>
      </c>
      <c r="AL14">
        <f t="shared" si="5"/>
        <v>13.062130924361311</v>
      </c>
      <c r="AM14">
        <f t="shared" si="16"/>
        <v>-11.673447733767306</v>
      </c>
    </row>
    <row r="15" spans="1:39" x14ac:dyDescent="0.35">
      <c r="A15" s="2">
        <v>36892</v>
      </c>
      <c r="B15">
        <v>26.607749999999999</v>
      </c>
      <c r="C15">
        <v>7.0331704476063212E-2</v>
      </c>
      <c r="D15">
        <f t="shared" si="0"/>
        <v>1.8713684097729708</v>
      </c>
      <c r="E15">
        <f t="shared" si="6"/>
        <v>3.0306585691118881</v>
      </c>
      <c r="F15">
        <f t="shared" si="7"/>
        <v>6.0163221006229284</v>
      </c>
      <c r="G15">
        <f t="shared" si="17"/>
        <v>5.9441417182387601</v>
      </c>
      <c r="I15">
        <v>7.3783089999999998</v>
      </c>
      <c r="J15">
        <v>0.10497537935546349</v>
      </c>
      <c r="K15">
        <f t="shared" si="1"/>
        <v>0.77454078627683043</v>
      </c>
      <c r="L15">
        <f t="shared" si="8"/>
        <v>1.2915713236872906</v>
      </c>
      <c r="M15">
        <f t="shared" si="9"/>
        <v>7.755409346047526</v>
      </c>
      <c r="N15">
        <f t="shared" si="18"/>
        <v>4.1721892943968895</v>
      </c>
      <c r="P15">
        <v>13.891819999999999</v>
      </c>
      <c r="Q15">
        <v>0.54475655062073747</v>
      </c>
      <c r="R15">
        <f t="shared" si="2"/>
        <v>7.5676599450441726</v>
      </c>
      <c r="S15">
        <f t="shared" si="10"/>
        <v>8.7006226188175226</v>
      </c>
      <c r="T15">
        <f t="shared" si="11"/>
        <v>0.34635805091729388</v>
      </c>
      <c r="U15">
        <f t="shared" si="19"/>
        <v>2.5955899242351315</v>
      </c>
      <c r="W15">
        <v>36.626640000000002</v>
      </c>
      <c r="X15">
        <v>1.4914149576673703E-2</v>
      </c>
      <c r="Y15">
        <f t="shared" si="3"/>
        <v>0.54625518745098012</v>
      </c>
      <c r="Z15">
        <f t="shared" si="12"/>
        <v>2.5872680966341433</v>
      </c>
      <c r="AA15">
        <f t="shared" si="13"/>
        <v>6.4597125731006733</v>
      </c>
      <c r="AB15">
        <f t="shared" si="20"/>
        <v>11.940628354885675</v>
      </c>
      <c r="AD15">
        <v>13.1462</v>
      </c>
      <c r="AE15">
        <v>0.26502221597106218</v>
      </c>
      <c r="AF15">
        <f t="shared" si="4"/>
        <v>3.4840350555987776</v>
      </c>
      <c r="AG15">
        <f t="shared" si="14"/>
        <v>14.53568709040567</v>
      </c>
      <c r="AH15">
        <f t="shared" si="15"/>
        <v>5.4887064206708533</v>
      </c>
      <c r="AI15">
        <f t="shared" si="21"/>
        <v>8.6212927987752046</v>
      </c>
      <c r="AL15">
        <f t="shared" si="5"/>
        <v>14.243859384143732</v>
      </c>
      <c r="AM15">
        <f t="shared" si="16"/>
        <v>9.0469806697348165</v>
      </c>
    </row>
    <row r="16" spans="1:39" x14ac:dyDescent="0.35">
      <c r="A16" s="2">
        <v>36923</v>
      </c>
      <c r="B16">
        <v>26.38766</v>
      </c>
      <c r="C16">
        <v>7.0331704476063212E-2</v>
      </c>
      <c r="D16">
        <f t="shared" si="0"/>
        <v>1.8558891049348343</v>
      </c>
      <c r="E16">
        <f t="shared" si="6"/>
        <v>-0.82716501771100681</v>
      </c>
      <c r="F16">
        <f t="shared" si="7"/>
        <v>0.21543165432286182</v>
      </c>
      <c r="G16">
        <f t="shared" si="17"/>
        <v>5.8008904463000661</v>
      </c>
      <c r="I16">
        <v>8.4258059999999997</v>
      </c>
      <c r="J16">
        <v>0.10497537935546349</v>
      </c>
      <c r="K16">
        <f t="shared" si="1"/>
        <v>0.88450218122554036</v>
      </c>
      <c r="L16">
        <f t="shared" si="8"/>
        <v>14.196979280753897</v>
      </c>
      <c r="M16">
        <f t="shared" si="9"/>
        <v>14.808712644142043</v>
      </c>
      <c r="N16">
        <f t="shared" si="18"/>
        <v>7.0533032980945167</v>
      </c>
      <c r="P16">
        <v>14.327629999999999</v>
      </c>
      <c r="Q16">
        <v>0.54475655062073747</v>
      </c>
      <c r="R16">
        <f t="shared" si="2"/>
        <v>7.8050702973701966</v>
      </c>
      <c r="S16">
        <f t="shared" si="10"/>
        <v>3.137169931657624</v>
      </c>
      <c r="T16">
        <f t="shared" si="11"/>
        <v>3.748903295045769</v>
      </c>
      <c r="U16">
        <f t="shared" si="19"/>
        <v>3.4025452441284751</v>
      </c>
      <c r="W16">
        <v>37.494680000000002</v>
      </c>
      <c r="X16">
        <v>1.4914149576673703E-2</v>
      </c>
      <c r="Y16">
        <f t="shared" si="3"/>
        <v>0.55920126584951602</v>
      </c>
      <c r="Z16">
        <f t="shared" si="12"/>
        <v>2.3699689624819609</v>
      </c>
      <c r="AA16">
        <f t="shared" si="13"/>
        <v>2.9817023258701059</v>
      </c>
      <c r="AB16">
        <f t="shared" si="20"/>
        <v>3.4780102472305674</v>
      </c>
      <c r="AD16">
        <v>11.516249999999999</v>
      </c>
      <c r="AE16">
        <v>0.26502221597106218</v>
      </c>
      <c r="AF16">
        <f t="shared" si="4"/>
        <v>3.0520620946767445</v>
      </c>
      <c r="AG16">
        <f t="shared" si="14"/>
        <v>-12.398639911153042</v>
      </c>
      <c r="AH16">
        <f t="shared" si="15"/>
        <v>11.786906547764897</v>
      </c>
      <c r="AI16">
        <f t="shared" si="21"/>
        <v>6.2982001270940433</v>
      </c>
      <c r="AL16">
        <f t="shared" si="5"/>
        <v>14.156724944056831</v>
      </c>
      <c r="AM16">
        <f t="shared" si="16"/>
        <v>-0.61173336338814499</v>
      </c>
    </row>
    <row r="17" spans="1:39" x14ac:dyDescent="0.35">
      <c r="A17" s="2">
        <v>36951</v>
      </c>
      <c r="B17">
        <v>26.238510000000002</v>
      </c>
      <c r="C17">
        <v>7.0331704476063212E-2</v>
      </c>
      <c r="D17">
        <f t="shared" si="0"/>
        <v>1.8453991312122295</v>
      </c>
      <c r="E17">
        <f t="shared" si="6"/>
        <v>-0.56522632169733189</v>
      </c>
      <c r="F17">
        <f t="shared" si="7"/>
        <v>4.2553830613565884</v>
      </c>
      <c r="G17">
        <f t="shared" si="17"/>
        <v>4.0399514070337261</v>
      </c>
      <c r="I17">
        <v>8.4139529999999993</v>
      </c>
      <c r="J17">
        <v>0.10497537935546349</v>
      </c>
      <c r="K17">
        <f t="shared" si="1"/>
        <v>0.88325790805404003</v>
      </c>
      <c r="L17">
        <f t="shared" si="8"/>
        <v>-0.14067496925517231</v>
      </c>
      <c r="M17">
        <f t="shared" si="9"/>
        <v>4.6799344137987475</v>
      </c>
      <c r="N17">
        <f t="shared" si="18"/>
        <v>10.128778230343295</v>
      </c>
      <c r="P17">
        <v>13.484920000000001</v>
      </c>
      <c r="Q17">
        <v>0.54475655062073747</v>
      </c>
      <c r="R17">
        <f t="shared" si="2"/>
        <v>7.3459985045965954</v>
      </c>
      <c r="S17">
        <f t="shared" si="10"/>
        <v>-5.8817124674492511</v>
      </c>
      <c r="T17">
        <f t="shared" si="11"/>
        <v>1.0611030843953309</v>
      </c>
      <c r="U17">
        <f t="shared" si="19"/>
        <v>2.6878002106504382</v>
      </c>
      <c r="W17">
        <v>36.78436</v>
      </c>
      <c r="X17">
        <v>1.4914149576673703E-2</v>
      </c>
      <c r="Y17">
        <f t="shared" si="3"/>
        <v>0.5486074471222131</v>
      </c>
      <c r="Z17">
        <f t="shared" si="12"/>
        <v>-1.8944554267432134</v>
      </c>
      <c r="AA17">
        <f t="shared" si="13"/>
        <v>2.9261539563107068</v>
      </c>
      <c r="AB17">
        <f t="shared" si="20"/>
        <v>5.5548369559399013E-2</v>
      </c>
      <c r="AD17">
        <v>10.757669999999999</v>
      </c>
      <c r="AE17">
        <v>0.26502221597106218</v>
      </c>
      <c r="AF17">
        <f t="shared" si="4"/>
        <v>2.8510215420854164</v>
      </c>
      <c r="AG17">
        <f t="shared" si="14"/>
        <v>-6.5870400521002903</v>
      </c>
      <c r="AH17">
        <f t="shared" si="15"/>
        <v>1.76643066904637</v>
      </c>
      <c r="AI17">
        <f t="shared" si="21"/>
        <v>10.020475878718527</v>
      </c>
      <c r="AL17">
        <f t="shared" si="5"/>
        <v>13.474284533070493</v>
      </c>
      <c r="AM17">
        <f t="shared" si="16"/>
        <v>-4.8206093830539203</v>
      </c>
    </row>
    <row r="18" spans="1:39" x14ac:dyDescent="0.35">
      <c r="A18" s="2">
        <v>36982</v>
      </c>
      <c r="B18">
        <v>26.22212</v>
      </c>
      <c r="C18">
        <v>7.0331704476063212E-2</v>
      </c>
      <c r="D18">
        <f t="shared" si="0"/>
        <v>1.8442463945758667</v>
      </c>
      <c r="E18">
        <f t="shared" si="6"/>
        <v>-6.2465437252345879E-2</v>
      </c>
      <c r="F18">
        <f t="shared" si="7"/>
        <v>1.4831850244365397</v>
      </c>
      <c r="G18">
        <f t="shared" si="17"/>
        <v>2.7721980369200487</v>
      </c>
      <c r="I18">
        <v>8.4259579999999996</v>
      </c>
      <c r="J18">
        <v>0.10497537935546349</v>
      </c>
      <c r="K18">
        <f t="shared" si="1"/>
        <v>0.8845181374832024</v>
      </c>
      <c r="L18">
        <f t="shared" si="8"/>
        <v>0.14267966555079337</v>
      </c>
      <c r="M18">
        <f t="shared" si="9"/>
        <v>1.2780399216334004</v>
      </c>
      <c r="N18">
        <f t="shared" si="18"/>
        <v>3.4018944921653471</v>
      </c>
      <c r="P18">
        <v>13.431839999999999</v>
      </c>
      <c r="Q18">
        <v>0.54475655062073747</v>
      </c>
      <c r="R18">
        <f t="shared" si="2"/>
        <v>7.3170828268896457</v>
      </c>
      <c r="S18">
        <f t="shared" si="10"/>
        <v>-0.39362487875346241</v>
      </c>
      <c r="T18">
        <f t="shared" si="11"/>
        <v>1.8143444659376562</v>
      </c>
      <c r="U18">
        <f t="shared" si="19"/>
        <v>0.75324138154232534</v>
      </c>
      <c r="W18">
        <v>37.234729999999999</v>
      </c>
      <c r="X18">
        <v>1.4914149576673703E-2</v>
      </c>
      <c r="Y18">
        <f t="shared" si="3"/>
        <v>0.55532433266705961</v>
      </c>
      <c r="Z18">
        <f t="shared" si="12"/>
        <v>1.2243518712844237</v>
      </c>
      <c r="AA18">
        <f t="shared" si="13"/>
        <v>0.19636771589977009</v>
      </c>
      <c r="AB18">
        <f t="shared" si="20"/>
        <v>2.7297862404109368</v>
      </c>
      <c r="AD18">
        <v>11.56335</v>
      </c>
      <c r="AE18">
        <v>0.26502221597106218</v>
      </c>
      <c r="AF18">
        <f t="shared" si="4"/>
        <v>3.0645446410489816</v>
      </c>
      <c r="AG18">
        <f t="shared" si="14"/>
        <v>7.4893541073485226</v>
      </c>
      <c r="AH18">
        <f t="shared" si="15"/>
        <v>6.0686345201643288</v>
      </c>
      <c r="AI18">
        <f t="shared" si="21"/>
        <v>4.3022038511179588</v>
      </c>
      <c r="AL18">
        <f t="shared" si="5"/>
        <v>13.665716332664756</v>
      </c>
      <c r="AM18">
        <f t="shared" si="16"/>
        <v>1.4207195871841938</v>
      </c>
    </row>
    <row r="19" spans="1:39" x14ac:dyDescent="0.35">
      <c r="A19" s="2">
        <v>37012</v>
      </c>
      <c r="B19">
        <v>27.748740000000002</v>
      </c>
      <c r="C19">
        <v>7.0331704476063212E-2</v>
      </c>
      <c r="D19">
        <f t="shared" si="0"/>
        <v>1.9516161812631143</v>
      </c>
      <c r="E19">
        <f t="shared" si="6"/>
        <v>5.8218786276624579</v>
      </c>
      <c r="F19">
        <f t="shared" si="7"/>
        <v>5.8904240900571336</v>
      </c>
      <c r="G19">
        <f t="shared" si="17"/>
        <v>4.407239065620594</v>
      </c>
      <c r="I19">
        <v>8.7282600000000006</v>
      </c>
      <c r="J19">
        <v>0.10497537935546349</v>
      </c>
      <c r="K19">
        <f t="shared" si="1"/>
        <v>0.91625240461311774</v>
      </c>
      <c r="L19">
        <f t="shared" si="8"/>
        <v>3.5877463429084377</v>
      </c>
      <c r="M19">
        <f t="shared" si="9"/>
        <v>8.1245563748111529</v>
      </c>
      <c r="N19">
        <f t="shared" si="18"/>
        <v>6.8465164531777525</v>
      </c>
      <c r="P19">
        <v>14.432980000000001</v>
      </c>
      <c r="Q19">
        <v>0.54475655062073747</v>
      </c>
      <c r="R19">
        <f t="shared" si="2"/>
        <v>7.862460399978092</v>
      </c>
      <c r="S19">
        <f t="shared" si="10"/>
        <v>7.4534836626999779</v>
      </c>
      <c r="T19">
        <f t="shared" si="11"/>
        <v>4.2588190550196137</v>
      </c>
      <c r="U19">
        <f t="shared" si="19"/>
        <v>2.4444745890819575</v>
      </c>
      <c r="W19">
        <v>39.629710000000003</v>
      </c>
      <c r="X19">
        <v>1.4914149576673703E-2</v>
      </c>
      <c r="Y19">
        <f t="shared" si="3"/>
        <v>0.59104342262020171</v>
      </c>
      <c r="Z19">
        <f t="shared" si="12"/>
        <v>6.4321132448120544</v>
      </c>
      <c r="AA19">
        <f t="shared" si="13"/>
        <v>5.2801894729075372</v>
      </c>
      <c r="AB19">
        <f t="shared" si="20"/>
        <v>5.0838217570077671</v>
      </c>
      <c r="AD19">
        <v>14.88522</v>
      </c>
      <c r="AE19">
        <v>0.26502221597106218</v>
      </c>
      <c r="AF19">
        <f t="shared" si="4"/>
        <v>3.9449139896167744</v>
      </c>
      <c r="AG19">
        <f t="shared" si="14"/>
        <v>28.72757462154134</v>
      </c>
      <c r="AH19">
        <f t="shared" si="15"/>
        <v>17.015271903821748</v>
      </c>
      <c r="AI19">
        <f t="shared" si="21"/>
        <v>10.94663738365742</v>
      </c>
      <c r="AL19">
        <f t="shared" si="5"/>
        <v>15.266286398091301</v>
      </c>
      <c r="AM19">
        <f t="shared" si="16"/>
        <v>11.712302717719592</v>
      </c>
    </row>
    <row r="20" spans="1:39" x14ac:dyDescent="0.35">
      <c r="A20" s="2">
        <v>37043</v>
      </c>
      <c r="B20">
        <v>28.799250000000001</v>
      </c>
      <c r="C20">
        <v>7.0331704476063212E-2</v>
      </c>
      <c r="D20">
        <f t="shared" si="0"/>
        <v>2.0255003401322633</v>
      </c>
      <c r="E20">
        <f t="shared" si="6"/>
        <v>3.7857935171110357</v>
      </c>
      <c r="F20">
        <f t="shared" si="7"/>
        <v>1.9395360226013514</v>
      </c>
      <c r="G20">
        <f t="shared" si="17"/>
        <v>3.9508880674557822</v>
      </c>
      <c r="I20">
        <v>8.9456410000000002</v>
      </c>
      <c r="J20">
        <v>0.10497537935546349</v>
      </c>
      <c r="K20">
        <f t="shared" si="1"/>
        <v>0.93907205755278778</v>
      </c>
      <c r="L20">
        <f t="shared" si="8"/>
        <v>2.4905422157451618</v>
      </c>
      <c r="M20">
        <f t="shared" si="9"/>
        <v>0.64428472123547742</v>
      </c>
      <c r="N20">
        <f t="shared" si="18"/>
        <v>7.4802716535756755</v>
      </c>
      <c r="P20">
        <v>15.131690000000001</v>
      </c>
      <c r="Q20">
        <v>0.54475655062073747</v>
      </c>
      <c r="R20">
        <f t="shared" si="2"/>
        <v>8.2430872494623078</v>
      </c>
      <c r="S20">
        <f t="shared" si="10"/>
        <v>4.8410653932867698</v>
      </c>
      <c r="T20">
        <f t="shared" si="11"/>
        <v>2.9948078987770854</v>
      </c>
      <c r="U20">
        <f t="shared" si="19"/>
        <v>1.2640111562425282</v>
      </c>
      <c r="W20">
        <v>40.861829999999998</v>
      </c>
      <c r="X20">
        <v>1.4914149576673703E-2</v>
      </c>
      <c r="Y20">
        <f t="shared" si="3"/>
        <v>0.60941944459661279</v>
      </c>
      <c r="Z20">
        <f t="shared" si="12"/>
        <v>3.109081545133674</v>
      </c>
      <c r="AA20">
        <f t="shared" si="13"/>
        <v>1.2628240506239896</v>
      </c>
      <c r="AB20">
        <f t="shared" si="20"/>
        <v>4.0173654222835475</v>
      </c>
      <c r="AD20">
        <v>14.0783</v>
      </c>
      <c r="AE20">
        <v>0.26502221597106218</v>
      </c>
      <c r="AF20">
        <f t="shared" si="4"/>
        <v>3.7310622631054047</v>
      </c>
      <c r="AG20">
        <f t="shared" si="14"/>
        <v>-5.4209477589179045</v>
      </c>
      <c r="AH20">
        <f t="shared" si="15"/>
        <v>7.2672052534275888</v>
      </c>
      <c r="AI20">
        <f t="shared" si="21"/>
        <v>9.7480666503941595</v>
      </c>
      <c r="AL20">
        <f t="shared" si="5"/>
        <v>15.548141354849376</v>
      </c>
      <c r="AM20">
        <f t="shared" si="16"/>
        <v>1.8462574945096843</v>
      </c>
    </row>
    <row r="21" spans="1:39" x14ac:dyDescent="0.35">
      <c r="A21" s="2">
        <v>37073</v>
      </c>
      <c r="B21">
        <v>28.69828</v>
      </c>
      <c r="C21">
        <v>7.0331704476063212E-2</v>
      </c>
      <c r="D21">
        <f t="shared" si="0"/>
        <v>2.0183989479313156</v>
      </c>
      <c r="E21">
        <f t="shared" si="6"/>
        <v>-0.35059940797069755</v>
      </c>
      <c r="F21">
        <f t="shared" si="7"/>
        <v>3.5260460852769127</v>
      </c>
      <c r="G21">
        <f t="shared" si="17"/>
        <v>1.5865100626755613</v>
      </c>
      <c r="I21">
        <v>9.0306990000000003</v>
      </c>
      <c r="J21">
        <v>0.10497537935546349</v>
      </c>
      <c r="K21">
        <f t="shared" si="1"/>
        <v>0.94800105337000473</v>
      </c>
      <c r="L21">
        <f t="shared" si="8"/>
        <v>0.95083180735735517</v>
      </c>
      <c r="M21">
        <f t="shared" si="9"/>
        <v>4.8274773006049649</v>
      </c>
      <c r="N21">
        <f t="shared" si="18"/>
        <v>4.1831925793694875</v>
      </c>
      <c r="P21">
        <v>14.928750000000001</v>
      </c>
      <c r="Q21">
        <v>0.54475655062073747</v>
      </c>
      <c r="R21">
        <f t="shared" si="2"/>
        <v>8.1325343550793345</v>
      </c>
      <c r="S21">
        <f t="shared" si="10"/>
        <v>-1.3411588527124207</v>
      </c>
      <c r="T21">
        <f t="shared" si="11"/>
        <v>2.5354866405351895</v>
      </c>
      <c r="U21">
        <f t="shared" si="19"/>
        <v>0.45932125824189596</v>
      </c>
      <c r="W21">
        <v>40.930349999999997</v>
      </c>
      <c r="X21">
        <v>1.4914149576673703E-2</v>
      </c>
      <c r="Y21">
        <f t="shared" si="3"/>
        <v>0.61044136212560651</v>
      </c>
      <c r="Z21">
        <f t="shared" si="12"/>
        <v>0.16768705660026306</v>
      </c>
      <c r="AA21">
        <f t="shared" si="13"/>
        <v>4.0443325498478728</v>
      </c>
      <c r="AB21">
        <f t="shared" si="20"/>
        <v>2.7815084992238832</v>
      </c>
      <c r="AD21">
        <v>12.210369999999999</v>
      </c>
      <c r="AE21">
        <v>0.26502221597106218</v>
      </c>
      <c r="AF21">
        <f t="shared" si="4"/>
        <v>3.2360193152265784</v>
      </c>
      <c r="AG21">
        <f t="shared" si="14"/>
        <v>-13.268150273825686</v>
      </c>
      <c r="AH21">
        <f t="shared" si="15"/>
        <v>9.3915047805780763</v>
      </c>
      <c r="AI21">
        <f t="shared" si="21"/>
        <v>2.1242995271504874</v>
      </c>
      <c r="AL21">
        <f t="shared" si="5"/>
        <v>14.94539503373284</v>
      </c>
      <c r="AM21">
        <f t="shared" si="16"/>
        <v>-3.8766454932476102</v>
      </c>
    </row>
    <row r="22" spans="1:39" x14ac:dyDescent="0.35">
      <c r="A22" s="2">
        <v>37104</v>
      </c>
      <c r="B22">
        <v>29.77591</v>
      </c>
      <c r="C22">
        <v>7.0331704476063212E-2</v>
      </c>
      <c r="D22">
        <f t="shared" si="0"/>
        <v>2.0941905026258554</v>
      </c>
      <c r="E22">
        <f t="shared" si="6"/>
        <v>3.7550334026986931</v>
      </c>
      <c r="F22">
        <f t="shared" si="7"/>
        <v>4.2600219550031238</v>
      </c>
      <c r="G22">
        <f t="shared" si="17"/>
        <v>0.73397586972621109</v>
      </c>
      <c r="I22">
        <v>8.9037609999999994</v>
      </c>
      <c r="J22">
        <v>0.10497537935546349</v>
      </c>
      <c r="K22">
        <f t="shared" si="1"/>
        <v>0.93467568866538087</v>
      </c>
      <c r="L22">
        <f t="shared" si="8"/>
        <v>-1.4056276263886169</v>
      </c>
      <c r="M22">
        <f t="shared" si="9"/>
        <v>0.90063907408418631</v>
      </c>
      <c r="N22">
        <f t="shared" si="18"/>
        <v>3.9268382265207786</v>
      </c>
      <c r="P22">
        <v>14.746930000000001</v>
      </c>
      <c r="Q22">
        <v>0.54475655062073747</v>
      </c>
      <c r="R22">
        <f t="shared" si="2"/>
        <v>8.033486719045472</v>
      </c>
      <c r="S22">
        <f t="shared" si="10"/>
        <v>-1.2179184459516046</v>
      </c>
      <c r="T22">
        <f t="shared" si="11"/>
        <v>0.71292989364717396</v>
      </c>
      <c r="U22">
        <f t="shared" si="19"/>
        <v>1.8225567468880155</v>
      </c>
      <c r="W22">
        <v>40.76764</v>
      </c>
      <c r="X22">
        <v>1.4914149576673703E-2</v>
      </c>
      <c r="Y22">
        <f t="shared" si="3"/>
        <v>0.60801468084798593</v>
      </c>
      <c r="Z22">
        <f t="shared" si="12"/>
        <v>-0.39752897299925039</v>
      </c>
      <c r="AA22">
        <f t="shared" si="13"/>
        <v>0.10745957930518024</v>
      </c>
      <c r="AB22">
        <f t="shared" si="20"/>
        <v>3.9368729705426926</v>
      </c>
      <c r="AD22">
        <v>12.07278</v>
      </c>
      <c r="AE22">
        <v>0.26502221597106218</v>
      </c>
      <c r="AF22">
        <f t="shared" si="4"/>
        <v>3.1995549085311201</v>
      </c>
      <c r="AG22">
        <f t="shared" si="14"/>
        <v>-1.1268290805274472</v>
      </c>
      <c r="AH22">
        <f t="shared" si="15"/>
        <v>0.62184052822301661</v>
      </c>
      <c r="AI22">
        <f t="shared" si="21"/>
        <v>8.7696642523550601</v>
      </c>
      <c r="AL22">
        <f t="shared" si="5"/>
        <v>14.869922499715814</v>
      </c>
      <c r="AM22">
        <f t="shared" si="16"/>
        <v>-0.50498855230443063</v>
      </c>
    </row>
    <row r="23" spans="1:39" x14ac:dyDescent="0.35">
      <c r="A23" s="2">
        <v>37135</v>
      </c>
      <c r="B23">
        <v>28.588979999999999</v>
      </c>
      <c r="C23">
        <v>7.0331704476063212E-2</v>
      </c>
      <c r="D23">
        <f t="shared" si="0"/>
        <v>2.0107116926320816</v>
      </c>
      <c r="E23">
        <f t="shared" si="6"/>
        <v>-3.9862089857203409</v>
      </c>
      <c r="F23">
        <f t="shared" si="7"/>
        <v>7.3797482851766905</v>
      </c>
      <c r="G23">
        <f t="shared" si="17"/>
        <v>3.1197263301735667</v>
      </c>
      <c r="I23">
        <v>8.6858540000000009</v>
      </c>
      <c r="J23">
        <v>0.10497537935546349</v>
      </c>
      <c r="K23">
        <f t="shared" si="1"/>
        <v>0.91180081867617002</v>
      </c>
      <c r="L23">
        <f t="shared" si="8"/>
        <v>-2.4473590429931691</v>
      </c>
      <c r="M23">
        <f t="shared" si="9"/>
        <v>8.9185982279038623</v>
      </c>
      <c r="N23">
        <f t="shared" si="18"/>
        <v>8.0179591538196764</v>
      </c>
      <c r="P23">
        <v>12.63236</v>
      </c>
      <c r="Q23">
        <v>0.54475655062073747</v>
      </c>
      <c r="R23">
        <f t="shared" si="2"/>
        <v>6.8815608597993796</v>
      </c>
      <c r="S23">
        <f t="shared" si="10"/>
        <v>-14.33905226375931</v>
      </c>
      <c r="T23">
        <f t="shared" si="11"/>
        <v>2.9730949928622792</v>
      </c>
      <c r="U23">
        <f t="shared" si="19"/>
        <v>2.2601650992151052</v>
      </c>
      <c r="W23">
        <v>40.446739999999998</v>
      </c>
      <c r="X23">
        <v>1.4914149576673703E-2</v>
      </c>
      <c r="Y23">
        <f t="shared" si="3"/>
        <v>0.60322873024883128</v>
      </c>
      <c r="Z23">
        <f t="shared" si="12"/>
        <v>-0.78714392101186803</v>
      </c>
      <c r="AA23">
        <f t="shared" si="13"/>
        <v>10.578813349885163</v>
      </c>
      <c r="AB23">
        <f t="shared" si="20"/>
        <v>10.471353770579983</v>
      </c>
      <c r="AD23">
        <v>10.46143</v>
      </c>
      <c r="AE23">
        <v>0.26502221597106218</v>
      </c>
      <c r="AF23">
        <f t="shared" si="4"/>
        <v>2.7725113608261491</v>
      </c>
      <c r="AG23">
        <f t="shared" si="14"/>
        <v>-13.346967309931923</v>
      </c>
      <c r="AH23">
        <f t="shared" si="15"/>
        <v>1.9810100390348921</v>
      </c>
      <c r="AI23">
        <f t="shared" si="21"/>
        <v>1.3591695108118755</v>
      </c>
      <c r="AL23">
        <f t="shared" si="5"/>
        <v>13.179813462182612</v>
      </c>
      <c r="AM23">
        <f t="shared" si="16"/>
        <v>-11.365957270897031</v>
      </c>
    </row>
    <row r="24" spans="1:39" x14ac:dyDescent="0.35">
      <c r="A24" s="2">
        <v>37165</v>
      </c>
      <c r="B24">
        <v>26.979109999999999</v>
      </c>
      <c r="C24">
        <v>7.0331704476063212E-2</v>
      </c>
      <c r="D24">
        <f t="shared" si="0"/>
        <v>1.8974867915472016</v>
      </c>
      <c r="E24">
        <f t="shared" si="6"/>
        <v>-5.6310858239783323</v>
      </c>
      <c r="F24">
        <f t="shared" si="7"/>
        <v>4.8744214522601244</v>
      </c>
      <c r="G24">
        <f t="shared" si="17"/>
        <v>2.5053268329165661</v>
      </c>
      <c r="I24">
        <v>7.6195930000000001</v>
      </c>
      <c r="J24">
        <v>0.10497537935546349</v>
      </c>
      <c r="K24">
        <f t="shared" si="1"/>
        <v>0.79986966570923412</v>
      </c>
      <c r="L24">
        <f t="shared" si="8"/>
        <v>-12.275833786752589</v>
      </c>
      <c r="M24">
        <f t="shared" si="9"/>
        <v>11.519169415034382</v>
      </c>
      <c r="N24">
        <f t="shared" si="18"/>
        <v>2.6005711871305195</v>
      </c>
      <c r="P24">
        <v>12.68266</v>
      </c>
      <c r="Q24">
        <v>0.54475655062073747</v>
      </c>
      <c r="R24">
        <f t="shared" si="2"/>
        <v>6.9089621142956021</v>
      </c>
      <c r="S24">
        <f t="shared" si="10"/>
        <v>0.3981837123071319</v>
      </c>
      <c r="T24">
        <f t="shared" si="11"/>
        <v>1.1548480840253394</v>
      </c>
      <c r="U24">
        <f t="shared" si="19"/>
        <v>1.8182469088369397</v>
      </c>
      <c r="W24">
        <v>41.204720000000002</v>
      </c>
      <c r="X24">
        <v>1.4914149576673703E-2</v>
      </c>
      <c r="Y24">
        <f t="shared" si="3"/>
        <v>0.61453335734495851</v>
      </c>
      <c r="Z24">
        <f t="shared" si="12"/>
        <v>1.8740200075457292</v>
      </c>
      <c r="AA24">
        <f t="shared" si="13"/>
        <v>2.6306843792639367</v>
      </c>
      <c r="AB24">
        <f t="shared" si="20"/>
        <v>7.9481289706212266</v>
      </c>
      <c r="AD24">
        <v>10.78866</v>
      </c>
      <c r="AE24">
        <v>0.26502221597106218</v>
      </c>
      <c r="AF24">
        <f t="shared" si="4"/>
        <v>2.8592345805583599</v>
      </c>
      <c r="AG24">
        <f t="shared" si="14"/>
        <v>3.1279662531795482</v>
      </c>
      <c r="AH24">
        <f t="shared" si="15"/>
        <v>3.8846306248977558</v>
      </c>
      <c r="AI24">
        <f t="shared" si="21"/>
        <v>1.9036205858628636</v>
      </c>
      <c r="AL24">
        <f t="shared" si="5"/>
        <v>13.080086509455356</v>
      </c>
      <c r="AM24">
        <f t="shared" si="16"/>
        <v>-0.75666437171820755</v>
      </c>
    </row>
    <row r="25" spans="1:39" x14ac:dyDescent="0.35">
      <c r="A25" s="2">
        <v>37196</v>
      </c>
      <c r="B25">
        <v>28.600809999999999</v>
      </c>
      <c r="C25">
        <v>7.0331704476063212E-2</v>
      </c>
      <c r="D25">
        <f t="shared" si="0"/>
        <v>2.0115437166960333</v>
      </c>
      <c r="E25">
        <f t="shared" si="6"/>
        <v>6.0109469882438704</v>
      </c>
      <c r="F25">
        <f t="shared" si="7"/>
        <v>1.9480073426757283</v>
      </c>
      <c r="G25">
        <f t="shared" si="17"/>
        <v>2.9264141095843961</v>
      </c>
      <c r="I25">
        <v>7.7232019999999997</v>
      </c>
      <c r="J25">
        <v>0.10497537935546349</v>
      </c>
      <c r="K25">
        <f t="shared" si="1"/>
        <v>0.81074605978887426</v>
      </c>
      <c r="L25">
        <f t="shared" si="8"/>
        <v>1.3597707909070778</v>
      </c>
      <c r="M25">
        <f t="shared" si="9"/>
        <v>6.5991835400125209</v>
      </c>
      <c r="N25">
        <f t="shared" si="18"/>
        <v>4.9199858750218608</v>
      </c>
      <c r="P25">
        <v>13.001379999999999</v>
      </c>
      <c r="Q25">
        <v>0.54475655062073747</v>
      </c>
      <c r="R25">
        <f t="shared" si="2"/>
        <v>7.0825869221094431</v>
      </c>
      <c r="S25">
        <f t="shared" si="10"/>
        <v>2.5130374858270965</v>
      </c>
      <c r="T25">
        <f t="shared" si="11"/>
        <v>5.4459168450925022</v>
      </c>
      <c r="U25">
        <f t="shared" si="19"/>
        <v>4.2910687610671623</v>
      </c>
      <c r="W25">
        <v>40.615229999999997</v>
      </c>
      <c r="X25">
        <v>1.4914149576673703E-2</v>
      </c>
      <c r="Y25">
        <f t="shared" si="3"/>
        <v>0.60574161531100501</v>
      </c>
      <c r="Z25">
        <f t="shared" si="12"/>
        <v>-1.4306370726460571</v>
      </c>
      <c r="AA25">
        <f t="shared" si="13"/>
        <v>9.3895914035656567</v>
      </c>
      <c r="AB25">
        <f t="shared" si="20"/>
        <v>6.7589070243017204</v>
      </c>
      <c r="AD25">
        <v>13.62341</v>
      </c>
      <c r="AE25">
        <v>0.26502221597106218</v>
      </c>
      <c r="AF25">
        <f t="shared" si="4"/>
        <v>3.610506307282328</v>
      </c>
      <c r="AG25">
        <f t="shared" si="14"/>
        <v>26.27527422311946</v>
      </c>
      <c r="AH25">
        <f t="shared" si="15"/>
        <v>18.316319892199861</v>
      </c>
      <c r="AI25">
        <f t="shared" si="21"/>
        <v>14.431689267302104</v>
      </c>
      <c r="AL25">
        <f t="shared" si="5"/>
        <v>14.121124621187684</v>
      </c>
      <c r="AM25">
        <f t="shared" si="16"/>
        <v>7.9589543309195987</v>
      </c>
    </row>
    <row r="26" spans="1:39" x14ac:dyDescent="0.35">
      <c r="A26" s="2">
        <v>37226</v>
      </c>
      <c r="B26">
        <v>28.773569999999999</v>
      </c>
      <c r="C26">
        <v>7.0331704476063212E-2</v>
      </c>
      <c r="D26">
        <f t="shared" si="0"/>
        <v>2.0236942219613181</v>
      </c>
      <c r="E26">
        <f t="shared" si="6"/>
        <v>0.60403883666231284</v>
      </c>
      <c r="F26">
        <f t="shared" si="7"/>
        <v>8.6992815523553766</v>
      </c>
      <c r="G26">
        <f t="shared" si="17"/>
        <v>6.7512742096796483</v>
      </c>
      <c r="I26">
        <v>8.6744500000000002</v>
      </c>
      <c r="J26">
        <v>0.10497537935546349</v>
      </c>
      <c r="K26">
        <f t="shared" si="1"/>
        <v>0.9106036794500002</v>
      </c>
      <c r="L26">
        <f t="shared" si="8"/>
        <v>12.316756702725119</v>
      </c>
      <c r="M26">
        <f t="shared" si="9"/>
        <v>3.0134363137074303</v>
      </c>
      <c r="N26">
        <f t="shared" si="18"/>
        <v>3.5857472263050907</v>
      </c>
      <c r="P26">
        <v>14.168049999999999</v>
      </c>
      <c r="Q26">
        <v>0.54475655062073747</v>
      </c>
      <c r="R26">
        <f t="shared" si="2"/>
        <v>7.7181380470221388</v>
      </c>
      <c r="S26">
        <f t="shared" si="10"/>
        <v>8.9734320510592056</v>
      </c>
      <c r="T26">
        <f t="shared" si="11"/>
        <v>0.32988833795848294</v>
      </c>
      <c r="U26">
        <f t="shared" si="19"/>
        <v>5.1160285071340192</v>
      </c>
      <c r="W26">
        <v>40.715049999999998</v>
      </c>
      <c r="X26">
        <v>1.4914149576673703E-2</v>
      </c>
      <c r="Y26">
        <f t="shared" si="3"/>
        <v>0.60723034572174861</v>
      </c>
      <c r="Z26">
        <f t="shared" si="12"/>
        <v>0.2457698749951609</v>
      </c>
      <c r="AA26">
        <f t="shared" si="13"/>
        <v>9.0575505140225268</v>
      </c>
      <c r="AB26">
        <f t="shared" si="20"/>
        <v>0.33204088954312994</v>
      </c>
      <c r="AD26">
        <v>15.75412</v>
      </c>
      <c r="AE26">
        <v>0.26502221597106218</v>
      </c>
      <c r="AF26">
        <f t="shared" si="4"/>
        <v>4.1751917930740303</v>
      </c>
      <c r="AG26">
        <f t="shared" si="14"/>
        <v>15.64006368449602</v>
      </c>
      <c r="AH26">
        <f t="shared" si="15"/>
        <v>6.3367432954783318</v>
      </c>
      <c r="AI26">
        <f t="shared" si="21"/>
        <v>11.979576596721529</v>
      </c>
      <c r="AL26">
        <f t="shared" si="5"/>
        <v>15.434858087229236</v>
      </c>
      <c r="AM26">
        <f t="shared" si="16"/>
        <v>9.3033203890176885</v>
      </c>
    </row>
    <row r="27" spans="1:39" x14ac:dyDescent="0.35">
      <c r="A27" s="2">
        <v>37257</v>
      </c>
      <c r="B27">
        <v>28.224730000000001</v>
      </c>
      <c r="C27">
        <v>7.107815499701102E-2</v>
      </c>
      <c r="D27">
        <f t="shared" si="0"/>
        <v>2.0061617336887867</v>
      </c>
      <c r="E27">
        <f t="shared" si="6"/>
        <v>-1.9074449225452317</v>
      </c>
      <c r="F27">
        <f t="shared" si="7"/>
        <v>7.5440478604197896</v>
      </c>
      <c r="G27">
        <f t="shared" si="17"/>
        <v>1.155233691935587</v>
      </c>
      <c r="I27">
        <v>10.008100000000001</v>
      </c>
      <c r="J27">
        <v>0.10537114759566467</v>
      </c>
      <c r="K27">
        <f t="shared" si="1"/>
        <v>1.0545649822521717</v>
      </c>
      <c r="L27">
        <f t="shared" si="8"/>
        <v>15.374461781438598</v>
      </c>
      <c r="M27">
        <f t="shared" si="9"/>
        <v>9.737858843564041</v>
      </c>
      <c r="N27">
        <f t="shared" si="18"/>
        <v>6.7244225298566107</v>
      </c>
      <c r="P27">
        <v>15.08638</v>
      </c>
      <c r="Q27">
        <v>0.53219070134680169</v>
      </c>
      <c r="R27">
        <f t="shared" si="2"/>
        <v>8.0288311529843615</v>
      </c>
      <c r="S27">
        <f t="shared" si="10"/>
        <v>6.4816964931659671</v>
      </c>
      <c r="T27">
        <f t="shared" si="11"/>
        <v>0.84509355529140961</v>
      </c>
      <c r="U27">
        <f t="shared" si="19"/>
        <v>0.51520521733292668</v>
      </c>
      <c r="W27">
        <v>41.140770000000003</v>
      </c>
      <c r="X27">
        <v>1.5103703012613009E-2</v>
      </c>
      <c r="Y27">
        <f t="shared" si="3"/>
        <v>0.62137797179021892</v>
      </c>
      <c r="Z27">
        <f t="shared" si="12"/>
        <v>1.0456084420871425</v>
      </c>
      <c r="AA27">
        <f t="shared" si="13"/>
        <v>4.5909944957874149</v>
      </c>
      <c r="AB27">
        <f t="shared" si="20"/>
        <v>4.4665560182351118</v>
      </c>
      <c r="AD27">
        <v>16.62921</v>
      </c>
      <c r="AE27">
        <v>0.27625629304790966</v>
      </c>
      <c r="AF27">
        <f t="shared" si="4"/>
        <v>4.5939239109152297</v>
      </c>
      <c r="AG27">
        <f t="shared" si="14"/>
        <v>5.5546739519567012</v>
      </c>
      <c r="AH27">
        <f t="shared" si="15"/>
        <v>8.1928985917856245E-2</v>
      </c>
      <c r="AI27">
        <f t="shared" si="21"/>
        <v>6.2548143095604756</v>
      </c>
      <c r="AL27">
        <f t="shared" si="5"/>
        <v>16.304859751630769</v>
      </c>
      <c r="AM27">
        <f t="shared" si="16"/>
        <v>5.6366029378745575</v>
      </c>
    </row>
    <row r="28" spans="1:39" x14ac:dyDescent="0.35">
      <c r="A28" s="2">
        <v>37288</v>
      </c>
      <c r="B28">
        <v>27.931999999999999</v>
      </c>
      <c r="C28">
        <v>7.107815499701102E-2</v>
      </c>
      <c r="D28">
        <f t="shared" si="0"/>
        <v>1.9853550253765118</v>
      </c>
      <c r="E28">
        <f t="shared" si="6"/>
        <v>-1.0371401249896883</v>
      </c>
      <c r="F28">
        <f t="shared" si="7"/>
        <v>2.2291342037324413</v>
      </c>
      <c r="G28">
        <f t="shared" si="17"/>
        <v>5.3149136566873487</v>
      </c>
      <c r="I28">
        <v>9.9884500000000003</v>
      </c>
      <c r="J28">
        <v>0.10537114759566467</v>
      </c>
      <c r="K28">
        <f t="shared" si="1"/>
        <v>1.0524944392019169</v>
      </c>
      <c r="L28">
        <f t="shared" si="8"/>
        <v>-0.1963409638193081</v>
      </c>
      <c r="M28">
        <f t="shared" si="9"/>
        <v>3.0699333649028215</v>
      </c>
      <c r="N28">
        <f t="shared" si="18"/>
        <v>6.6679254786612194</v>
      </c>
      <c r="P28">
        <v>15.250769999999999</v>
      </c>
      <c r="Q28">
        <v>0.53219070134680169</v>
      </c>
      <c r="R28">
        <f t="shared" si="2"/>
        <v>8.1163179823787619</v>
      </c>
      <c r="S28">
        <f t="shared" si="10"/>
        <v>1.0896583540915605</v>
      </c>
      <c r="T28">
        <f t="shared" si="11"/>
        <v>4.3559326828136902</v>
      </c>
      <c r="U28">
        <f t="shared" si="19"/>
        <v>3.5108391275222806</v>
      </c>
      <c r="W28">
        <v>41.436239999999998</v>
      </c>
      <c r="X28">
        <v>1.5103703012613009E-2</v>
      </c>
      <c r="Y28">
        <f t="shared" si="3"/>
        <v>0.62584066291935569</v>
      </c>
      <c r="Z28">
        <f t="shared" si="12"/>
        <v>0.71819268331632102</v>
      </c>
      <c r="AA28">
        <f t="shared" si="13"/>
        <v>3.9844670120384507</v>
      </c>
      <c r="AB28">
        <f t="shared" si="20"/>
        <v>0.60652748374896426</v>
      </c>
      <c r="AD28">
        <v>14.4514</v>
      </c>
      <c r="AE28">
        <v>0.27625629304790966</v>
      </c>
      <c r="AF28">
        <f t="shared" si="4"/>
        <v>3.9922901933525616</v>
      </c>
      <c r="AG28">
        <f t="shared" si="14"/>
        <v>-13.096292608007243</v>
      </c>
      <c r="AH28">
        <f t="shared" si="15"/>
        <v>9.8300182792851132</v>
      </c>
      <c r="AI28">
        <f t="shared" si="21"/>
        <v>9.7480892933672578</v>
      </c>
      <c r="AL28">
        <f t="shared" si="5"/>
        <v>15.772298303229107</v>
      </c>
      <c r="AM28">
        <f t="shared" si="16"/>
        <v>-3.2662743287221296</v>
      </c>
    </row>
    <row r="29" spans="1:39" x14ac:dyDescent="0.35">
      <c r="A29" s="2">
        <v>37316</v>
      </c>
      <c r="B29">
        <v>28.666550000000001</v>
      </c>
      <c r="C29">
        <v>7.107815499701102E-2</v>
      </c>
      <c r="D29">
        <f t="shared" si="0"/>
        <v>2.0375654841295665</v>
      </c>
      <c r="E29">
        <f t="shared" si="6"/>
        <v>2.6297794644135841</v>
      </c>
      <c r="F29">
        <f t="shared" si="7"/>
        <v>1.2400067358704359</v>
      </c>
      <c r="G29">
        <f t="shared" si="17"/>
        <v>0.98912746786200545</v>
      </c>
      <c r="I29">
        <v>9.9061749999999993</v>
      </c>
      <c r="J29">
        <v>0.10537114759566467</v>
      </c>
      <c r="K29">
        <f t="shared" si="1"/>
        <v>1.0438250280334833</v>
      </c>
      <c r="L29">
        <f t="shared" si="8"/>
        <v>-0.82370137508823715</v>
      </c>
      <c r="M29">
        <f t="shared" si="9"/>
        <v>4.6934875753722576</v>
      </c>
      <c r="N29">
        <f t="shared" si="18"/>
        <v>1.623554210469436</v>
      </c>
      <c r="P29">
        <v>16.5229</v>
      </c>
      <c r="Q29">
        <v>0.53219070134680169</v>
      </c>
      <c r="R29">
        <f t="shared" si="2"/>
        <v>8.7933337392830691</v>
      </c>
      <c r="S29">
        <f t="shared" si="10"/>
        <v>8.3414148924939582</v>
      </c>
      <c r="T29">
        <f t="shared" si="11"/>
        <v>4.4716286922099382</v>
      </c>
      <c r="U29">
        <f t="shared" si="19"/>
        <v>0.11569600939624802</v>
      </c>
      <c r="W29">
        <v>41.870930000000001</v>
      </c>
      <c r="X29">
        <v>1.5103703012613009E-2</v>
      </c>
      <c r="Y29">
        <f t="shared" si="3"/>
        <v>0.63240609158190841</v>
      </c>
      <c r="Z29">
        <f t="shared" si="12"/>
        <v>1.0490575399698443</v>
      </c>
      <c r="AA29">
        <f t="shared" si="13"/>
        <v>2.8207286603141757</v>
      </c>
      <c r="AB29">
        <f t="shared" si="20"/>
        <v>1.163738351724275</v>
      </c>
      <c r="AD29">
        <v>14.02872</v>
      </c>
      <c r="AE29">
        <v>0.27625629304790966</v>
      </c>
      <c r="AF29">
        <f t="shared" si="4"/>
        <v>3.875522183407071</v>
      </c>
      <c r="AG29">
        <f t="shared" si="14"/>
        <v>-2.9248377319844421</v>
      </c>
      <c r="AH29">
        <f t="shared" si="15"/>
        <v>6.7946239322684621</v>
      </c>
      <c r="AI29">
        <f t="shared" si="21"/>
        <v>3.0353943470166511</v>
      </c>
      <c r="AL29">
        <f t="shared" si="5"/>
        <v>16.382652526435098</v>
      </c>
      <c r="AM29">
        <f t="shared" si="16"/>
        <v>3.86978620028402</v>
      </c>
    </row>
    <row r="30" spans="1:39" x14ac:dyDescent="0.35">
      <c r="A30" s="2">
        <v>37347</v>
      </c>
      <c r="B30">
        <v>27.885999999999999</v>
      </c>
      <c r="C30">
        <v>7.107815499701102E-2</v>
      </c>
      <c r="D30">
        <f t="shared" si="0"/>
        <v>1.9820854302466493</v>
      </c>
      <c r="E30">
        <f t="shared" si="6"/>
        <v>-2.7228599186159497</v>
      </c>
      <c r="F30">
        <f t="shared" si="7"/>
        <v>4.9841949404279777</v>
      </c>
      <c r="G30">
        <f t="shared" si="17"/>
        <v>3.7441882045575419</v>
      </c>
      <c r="I30">
        <v>10.188929999999999</v>
      </c>
      <c r="J30">
        <v>0.10537114759566467</v>
      </c>
      <c r="K30">
        <f t="shared" si="1"/>
        <v>1.0736192468718955</v>
      </c>
      <c r="L30">
        <f t="shared" si="8"/>
        <v>2.8543307583401178</v>
      </c>
      <c r="M30">
        <f t="shared" si="9"/>
        <v>0.59299573652809023</v>
      </c>
      <c r="N30">
        <f t="shared" si="18"/>
        <v>4.1004918388441673</v>
      </c>
      <c r="P30">
        <v>16.893350000000002</v>
      </c>
      <c r="Q30">
        <v>0.53219070134680169</v>
      </c>
      <c r="R30">
        <f t="shared" si="2"/>
        <v>8.9904837845969929</v>
      </c>
      <c r="S30">
        <f t="shared" si="10"/>
        <v>2.2420398356220783</v>
      </c>
      <c r="T30">
        <f t="shared" si="11"/>
        <v>1.9295186189949298E-2</v>
      </c>
      <c r="U30">
        <f t="shared" si="19"/>
        <v>4.4523335060199889</v>
      </c>
      <c r="W30">
        <v>42.078609999999998</v>
      </c>
      <c r="X30">
        <v>1.5103703012613009E-2</v>
      </c>
      <c r="Y30">
        <f t="shared" si="3"/>
        <v>0.63554282862356781</v>
      </c>
      <c r="Z30">
        <f t="shared" si="12"/>
        <v>0.49600044708821844</v>
      </c>
      <c r="AA30">
        <f t="shared" si="13"/>
        <v>1.7653345747238092</v>
      </c>
      <c r="AB30">
        <f t="shared" si="20"/>
        <v>1.0553940855903665</v>
      </c>
      <c r="AD30">
        <v>14.737719999999999</v>
      </c>
      <c r="AE30">
        <v>0.27625629304790966</v>
      </c>
      <c r="AF30">
        <f t="shared" si="4"/>
        <v>4.0713878951780389</v>
      </c>
      <c r="AG30">
        <f t="shared" si="14"/>
        <v>5.0539179625796127</v>
      </c>
      <c r="AH30">
        <f t="shared" si="15"/>
        <v>2.7925829407675851</v>
      </c>
      <c r="AI30">
        <f t="shared" si="21"/>
        <v>4.002040991500877</v>
      </c>
      <c r="AL30">
        <f t="shared" si="5"/>
        <v>16.753119185517146</v>
      </c>
      <c r="AM30">
        <f t="shared" si="16"/>
        <v>2.2613350218120276</v>
      </c>
    </row>
    <row r="31" spans="1:39" x14ac:dyDescent="0.35">
      <c r="A31" s="2">
        <v>37377</v>
      </c>
      <c r="B31">
        <v>27.669360000000001</v>
      </c>
      <c r="C31">
        <v>7.107815499701102E-2</v>
      </c>
      <c r="D31">
        <f t="shared" si="0"/>
        <v>1.9666870587480969</v>
      </c>
      <c r="E31">
        <f t="shared" si="6"/>
        <v>-0.77687728609336926</v>
      </c>
      <c r="F31">
        <f t="shared" si="7"/>
        <v>1.0333220203301852</v>
      </c>
      <c r="G31">
        <f t="shared" si="17"/>
        <v>3.9508729200977926</v>
      </c>
      <c r="I31">
        <v>10.36636</v>
      </c>
      <c r="J31">
        <v>0.10537114759566467</v>
      </c>
      <c r="K31">
        <f t="shared" si="1"/>
        <v>1.0923152495897943</v>
      </c>
      <c r="L31">
        <f t="shared" si="8"/>
        <v>1.741399734810245</v>
      </c>
      <c r="M31">
        <f t="shared" si="9"/>
        <v>3.5515990412337994</v>
      </c>
      <c r="N31">
        <f t="shared" si="18"/>
        <v>2.9586033047057092</v>
      </c>
      <c r="P31">
        <v>16.804089999999999</v>
      </c>
      <c r="Q31">
        <v>0.53219070134680169</v>
      </c>
      <c r="R31">
        <f t="shared" si="2"/>
        <v>8.9429804425947754</v>
      </c>
      <c r="S31">
        <f t="shared" si="10"/>
        <v>-0.52837359079166424</v>
      </c>
      <c r="T31">
        <f t="shared" si="11"/>
        <v>1.2818257156318902</v>
      </c>
      <c r="U31">
        <f t="shared" si="19"/>
        <v>1.2625305294419409</v>
      </c>
      <c r="W31">
        <v>40.79645</v>
      </c>
      <c r="X31">
        <v>1.5103703012613009E-2</v>
      </c>
      <c r="Y31">
        <f t="shared" si="3"/>
        <v>0.61617746476891599</v>
      </c>
      <c r="Z31">
        <f t="shared" si="12"/>
        <v>-3.0470588263252885</v>
      </c>
      <c r="AA31">
        <f t="shared" si="13"/>
        <v>1.236859519901734</v>
      </c>
      <c r="AB31">
        <f t="shared" si="20"/>
        <v>0.52847505482207513</v>
      </c>
      <c r="AD31">
        <v>13.87007</v>
      </c>
      <c r="AE31">
        <v>0.27625629304790966</v>
      </c>
      <c r="AF31">
        <f t="shared" si="4"/>
        <v>3.8316941225150205</v>
      </c>
      <c r="AG31">
        <f t="shared" si="14"/>
        <v>-5.8872742866603485</v>
      </c>
      <c r="AH31">
        <f t="shared" si="15"/>
        <v>4.0770749802367945</v>
      </c>
      <c r="AI31">
        <f t="shared" si="21"/>
        <v>1.2844920394692094</v>
      </c>
      <c r="AL31">
        <f t="shared" si="5"/>
        <v>16.449854338216603</v>
      </c>
      <c r="AM31">
        <f t="shared" si="16"/>
        <v>-1.8101993064235544</v>
      </c>
    </row>
    <row r="32" spans="1:39" x14ac:dyDescent="0.35">
      <c r="A32" s="2">
        <v>37408</v>
      </c>
      <c r="B32">
        <v>26.8887</v>
      </c>
      <c r="C32">
        <v>7.107815499701102E-2</v>
      </c>
      <c r="D32">
        <f t="shared" si="0"/>
        <v>1.9111991862681301</v>
      </c>
      <c r="E32">
        <f t="shared" si="6"/>
        <v>-2.8213879901812011</v>
      </c>
      <c r="F32">
        <f t="shared" si="7"/>
        <v>5.3563211920919294</v>
      </c>
      <c r="G32">
        <f t="shared" si="17"/>
        <v>4.3229991717617438</v>
      </c>
      <c r="I32">
        <v>11.19351</v>
      </c>
      <c r="J32">
        <v>0.10537114759566467</v>
      </c>
      <c r="K32">
        <f t="shared" si="1"/>
        <v>1.1794729943235485</v>
      </c>
      <c r="L32">
        <f t="shared" si="8"/>
        <v>7.979174946654366</v>
      </c>
      <c r="M32">
        <f t="shared" si="9"/>
        <v>16.156884128927494</v>
      </c>
      <c r="N32">
        <f t="shared" si="18"/>
        <v>12.605285087693694</v>
      </c>
      <c r="P32">
        <v>15.22569</v>
      </c>
      <c r="Q32">
        <v>0.53219070134680169</v>
      </c>
      <c r="R32">
        <f t="shared" si="2"/>
        <v>8.1029706395889853</v>
      </c>
      <c r="S32">
        <f t="shared" si="10"/>
        <v>-9.3929513588655986</v>
      </c>
      <c r="T32">
        <f t="shared" si="11"/>
        <v>1.2152421765924686</v>
      </c>
      <c r="U32">
        <f t="shared" si="19"/>
        <v>6.6583539039421602E-2</v>
      </c>
      <c r="W32">
        <v>41.365699999999997</v>
      </c>
      <c r="X32">
        <v>1.5103703012613009E-2</v>
      </c>
      <c r="Y32">
        <f t="shared" si="3"/>
        <v>0.62477524770884596</v>
      </c>
      <c r="Z32">
        <f t="shared" si="12"/>
        <v>1.3953419966688196</v>
      </c>
      <c r="AA32">
        <f t="shared" si="13"/>
        <v>9.5730511789419488</v>
      </c>
      <c r="AB32">
        <f t="shared" si="20"/>
        <v>8.3361916590402139</v>
      </c>
      <c r="AD32">
        <v>11.895530000000001</v>
      </c>
      <c r="AE32">
        <v>0.27625629304790966</v>
      </c>
      <c r="AF32">
        <f t="shared" si="4"/>
        <v>3.2862150216402011</v>
      </c>
      <c r="AG32">
        <f t="shared" si="14"/>
        <v>-14.235977179639313</v>
      </c>
      <c r="AH32">
        <f t="shared" si="15"/>
        <v>6.0582679973661833</v>
      </c>
      <c r="AI32">
        <f t="shared" si="21"/>
        <v>1.9811930171293888</v>
      </c>
      <c r="AL32">
        <f t="shared" si="5"/>
        <v>15.10463308952971</v>
      </c>
      <c r="AM32">
        <f t="shared" si="16"/>
        <v>-8.17770918227313</v>
      </c>
    </row>
    <row r="33" spans="1:39" x14ac:dyDescent="0.35">
      <c r="A33" s="2">
        <v>37438</v>
      </c>
      <c r="B33">
        <v>25.680230000000002</v>
      </c>
      <c r="C33">
        <v>7.107815499701102E-2</v>
      </c>
      <c r="D33">
        <f t="shared" si="0"/>
        <v>1.8253033682988924</v>
      </c>
      <c r="E33">
        <f t="shared" si="6"/>
        <v>-4.4943414891757456</v>
      </c>
      <c r="F33">
        <f t="shared" si="7"/>
        <v>0.40505315925417573</v>
      </c>
      <c r="G33">
        <f t="shared" si="17"/>
        <v>4.9512680328377536</v>
      </c>
      <c r="I33">
        <v>10.88653</v>
      </c>
      <c r="J33">
        <v>0.10537114759566467</v>
      </c>
      <c r="K33">
        <f t="shared" si="1"/>
        <v>1.1471261594346314</v>
      </c>
      <c r="L33">
        <f t="shared" si="8"/>
        <v>-2.7424820275320227</v>
      </c>
      <c r="M33">
        <f t="shared" si="9"/>
        <v>1.3468063023895471</v>
      </c>
      <c r="N33">
        <f t="shared" si="18"/>
        <v>14.810077826537947</v>
      </c>
      <c r="P33">
        <v>14.24011</v>
      </c>
      <c r="Q33">
        <v>0.53219070134680169</v>
      </c>
      <c r="R33">
        <f t="shared" si="2"/>
        <v>7.5784541281556042</v>
      </c>
      <c r="S33">
        <f t="shared" si="10"/>
        <v>-6.4731384915888928</v>
      </c>
      <c r="T33">
        <f t="shared" si="11"/>
        <v>2.3838501616673229</v>
      </c>
      <c r="U33">
        <f t="shared" si="19"/>
        <v>1.1686079850748543</v>
      </c>
      <c r="W33">
        <v>41.666420000000002</v>
      </c>
      <c r="X33">
        <v>1.5103703012613009E-2</v>
      </c>
      <c r="Y33">
        <f t="shared" si="3"/>
        <v>0.62931723327879896</v>
      </c>
      <c r="Z33">
        <f t="shared" si="12"/>
        <v>0.72697911554744366</v>
      </c>
      <c r="AA33">
        <f t="shared" si="13"/>
        <v>4.8162674454690135</v>
      </c>
      <c r="AB33">
        <f t="shared" si="20"/>
        <v>4.7567837334729353</v>
      </c>
      <c r="AD33">
        <v>11.969900000000001</v>
      </c>
      <c r="AE33">
        <v>0.27625629304790966</v>
      </c>
      <c r="AF33">
        <f t="shared" si="4"/>
        <v>3.306760202154174</v>
      </c>
      <c r="AG33">
        <f t="shared" si="14"/>
        <v>0.62519282453157299</v>
      </c>
      <c r="AH33">
        <f t="shared" si="15"/>
        <v>4.7144811544531429</v>
      </c>
      <c r="AI33">
        <f t="shared" si="21"/>
        <v>1.3437868429130404</v>
      </c>
      <c r="AL33">
        <f t="shared" si="5"/>
        <v>14.486961091322099</v>
      </c>
      <c r="AM33">
        <f t="shared" si="16"/>
        <v>-4.0892883299215699</v>
      </c>
    </row>
    <row r="34" spans="1:39" x14ac:dyDescent="0.35">
      <c r="A34" s="2">
        <v>37469</v>
      </c>
      <c r="B34">
        <v>26.499300000000002</v>
      </c>
      <c r="C34">
        <v>7.107815499701102E-2</v>
      </c>
      <c r="D34">
        <f t="shared" si="0"/>
        <v>1.8835213527122943</v>
      </c>
      <c r="E34">
        <f t="shared" si="6"/>
        <v>3.1894963557569378</v>
      </c>
      <c r="F34">
        <f t="shared" si="7"/>
        <v>4.0805931402219109</v>
      </c>
      <c r="G34">
        <f t="shared" si="17"/>
        <v>3.6755399809677352</v>
      </c>
      <c r="I34">
        <v>10.677110000000001</v>
      </c>
      <c r="J34">
        <v>0.10537114759566467</v>
      </c>
      <c r="K34">
        <f t="shared" si="1"/>
        <v>1.1250593337051473</v>
      </c>
      <c r="L34">
        <f t="shared" si="8"/>
        <v>-1.9236616258807904</v>
      </c>
      <c r="M34">
        <f t="shared" si="9"/>
        <v>1.0325648414158173</v>
      </c>
      <c r="N34">
        <f t="shared" si="18"/>
        <v>0.31424146097372985</v>
      </c>
      <c r="P34">
        <v>13.73105</v>
      </c>
      <c r="Q34">
        <v>0.53219070134680169</v>
      </c>
      <c r="R34">
        <f t="shared" si="2"/>
        <v>7.3075371297280007</v>
      </c>
      <c r="S34">
        <f t="shared" si="10"/>
        <v>-3.5748319359892533</v>
      </c>
      <c r="T34">
        <f t="shared" si="11"/>
        <v>2.6837351515242802</v>
      </c>
      <c r="U34">
        <f t="shared" si="19"/>
        <v>0.29988498985695733</v>
      </c>
      <c r="W34">
        <v>41.634740000000001</v>
      </c>
      <c r="X34">
        <v>1.5103703012613009E-2</v>
      </c>
      <c r="Y34">
        <f t="shared" si="3"/>
        <v>0.62883874796735939</v>
      </c>
      <c r="Z34">
        <f t="shared" si="12"/>
        <v>-7.6032450112106797E-2</v>
      </c>
      <c r="AA34">
        <f t="shared" si="13"/>
        <v>0.81506433435286629</v>
      </c>
      <c r="AB34">
        <f t="shared" si="20"/>
        <v>4.0012031111161477</v>
      </c>
      <c r="AD34">
        <v>12.354150000000001</v>
      </c>
      <c r="AE34">
        <v>0.27625629304790966</v>
      </c>
      <c r="AF34">
        <f t="shared" si="4"/>
        <v>3.4129116827578332</v>
      </c>
      <c r="AG34">
        <f t="shared" si="14"/>
        <v>3.2101354230194001</v>
      </c>
      <c r="AH34">
        <f t="shared" si="15"/>
        <v>4.1012322074843732</v>
      </c>
      <c r="AI34">
        <f t="shared" si="21"/>
        <v>0.61324894696876964</v>
      </c>
      <c r="AL34">
        <f t="shared" si="5"/>
        <v>14.357868246870636</v>
      </c>
      <c r="AM34">
        <f t="shared" si="16"/>
        <v>-0.89109678446497309</v>
      </c>
    </row>
    <row r="35" spans="1:39" x14ac:dyDescent="0.35">
      <c r="A35" s="2">
        <v>37500</v>
      </c>
      <c r="B35">
        <v>25.628070000000001</v>
      </c>
      <c r="C35">
        <v>7.107815499701102E-2</v>
      </c>
      <c r="D35">
        <f t="shared" si="0"/>
        <v>1.8215959317342483</v>
      </c>
      <c r="E35">
        <f t="shared" si="6"/>
        <v>-3.2877472235115612</v>
      </c>
      <c r="F35">
        <f t="shared" si="7"/>
        <v>1.0826356648046986</v>
      </c>
      <c r="G35">
        <f t="shared" si="17"/>
        <v>2.9979574754172122</v>
      </c>
      <c r="I35">
        <v>10.79837</v>
      </c>
      <c r="J35">
        <v>0.10537114759566467</v>
      </c>
      <c r="K35">
        <f t="shared" si="1"/>
        <v>1.1378366390625976</v>
      </c>
      <c r="L35">
        <f t="shared" si="8"/>
        <v>1.1357005781526874</v>
      </c>
      <c r="M35">
        <f t="shared" si="9"/>
        <v>3.34081213685955</v>
      </c>
      <c r="N35">
        <f t="shared" si="18"/>
        <v>2.3082472954437327</v>
      </c>
      <c r="P35">
        <v>13.670999999999999</v>
      </c>
      <c r="Q35">
        <v>0.53219070134680169</v>
      </c>
      <c r="R35">
        <f t="shared" si="2"/>
        <v>7.2755790781121252</v>
      </c>
      <c r="S35">
        <f t="shared" si="10"/>
        <v>-0.43732999297213526</v>
      </c>
      <c r="T35">
        <f t="shared" si="11"/>
        <v>1.7677815657347273</v>
      </c>
      <c r="U35">
        <f t="shared" si="19"/>
        <v>0.91595358578955288</v>
      </c>
      <c r="W35">
        <v>42.887239999999998</v>
      </c>
      <c r="X35">
        <v>1.5103703012613009E-2</v>
      </c>
      <c r="Y35">
        <f t="shared" si="3"/>
        <v>0.64775613599065718</v>
      </c>
      <c r="Z35">
        <f t="shared" si="12"/>
        <v>3.0083050836873237</v>
      </c>
      <c r="AA35">
        <f t="shared" si="13"/>
        <v>5.2134166423941863</v>
      </c>
      <c r="AB35">
        <f t="shared" si="20"/>
        <v>4.3983523080413196</v>
      </c>
      <c r="AD35">
        <v>11.433199999999999</v>
      </c>
      <c r="AE35">
        <v>0.27625629304790966</v>
      </c>
      <c r="AF35">
        <f t="shared" si="4"/>
        <v>3.1584934496753605</v>
      </c>
      <c r="AG35">
        <f t="shared" si="14"/>
        <v>-7.4545800399056343</v>
      </c>
      <c r="AH35">
        <f t="shared" si="15"/>
        <v>5.2494684811987717</v>
      </c>
      <c r="AI35">
        <f t="shared" si="21"/>
        <v>1.1482362737143985</v>
      </c>
      <c r="AL35">
        <f t="shared" si="5"/>
        <v>14.041261234574989</v>
      </c>
      <c r="AM35">
        <f t="shared" si="16"/>
        <v>-2.2051115587068626</v>
      </c>
    </row>
    <row r="36" spans="1:39" x14ac:dyDescent="0.35">
      <c r="A36" s="2">
        <v>37530</v>
      </c>
      <c r="B36">
        <v>24.767880000000002</v>
      </c>
      <c r="C36">
        <v>7.107815499701102E-2</v>
      </c>
      <c r="D36">
        <f t="shared" si="0"/>
        <v>1.7604552135873694</v>
      </c>
      <c r="E36">
        <f t="shared" si="6"/>
        <v>-3.356436906875937</v>
      </c>
      <c r="F36">
        <f t="shared" si="7"/>
        <v>3.6777700364714394</v>
      </c>
      <c r="G36">
        <f t="shared" si="17"/>
        <v>2.5951343716667408</v>
      </c>
      <c r="I36">
        <v>11.678610000000001</v>
      </c>
      <c r="J36">
        <v>0.10537114759566467</v>
      </c>
      <c r="K36">
        <f t="shared" si="1"/>
        <v>1.2305885380222055</v>
      </c>
      <c r="L36">
        <f t="shared" si="8"/>
        <v>8.1516006582474922</v>
      </c>
      <c r="M36">
        <f t="shared" si="9"/>
        <v>7.8302675286519898</v>
      </c>
      <c r="N36">
        <f t="shared" si="18"/>
        <v>4.4894553917924398</v>
      </c>
      <c r="P36">
        <v>13.461790000000001</v>
      </c>
      <c r="Q36">
        <v>0.53219070134680169</v>
      </c>
      <c r="R36">
        <f t="shared" si="2"/>
        <v>7.164239461483362</v>
      </c>
      <c r="S36">
        <f t="shared" si="10"/>
        <v>-1.530319654743606</v>
      </c>
      <c r="T36">
        <f t="shared" si="11"/>
        <v>1.8516527843391084</v>
      </c>
      <c r="U36">
        <f t="shared" si="19"/>
        <v>8.387121860438107E-2</v>
      </c>
      <c r="W36">
        <v>42.787500000000001</v>
      </c>
      <c r="X36">
        <v>1.5103703012613009E-2</v>
      </c>
      <c r="Y36">
        <f t="shared" si="3"/>
        <v>0.64624969265217913</v>
      </c>
      <c r="Z36">
        <f t="shared" si="12"/>
        <v>-0.23256334518144683</v>
      </c>
      <c r="AA36">
        <f t="shared" si="13"/>
        <v>0.55389647477694925</v>
      </c>
      <c r="AB36">
        <f t="shared" si="20"/>
        <v>4.6595201676172371</v>
      </c>
      <c r="AD36">
        <v>11.89058</v>
      </c>
      <c r="AE36">
        <v>0.27625629304790966</v>
      </c>
      <c r="AF36">
        <f t="shared" si="4"/>
        <v>3.2848475529896137</v>
      </c>
      <c r="AG36">
        <f t="shared" si="14"/>
        <v>4.0004548157996034</v>
      </c>
      <c r="AH36">
        <f t="shared" si="15"/>
        <v>3.679121686204101</v>
      </c>
      <c r="AI36">
        <f t="shared" si="21"/>
        <v>1.5703467949946708</v>
      </c>
      <c r="AL36">
        <f t="shared" si="5"/>
        <v>14.08638045873473</v>
      </c>
      <c r="AM36">
        <f t="shared" si="16"/>
        <v>0.32133312959550242</v>
      </c>
    </row>
    <row r="37" spans="1:39" x14ac:dyDescent="0.35">
      <c r="A37" s="2">
        <v>37561</v>
      </c>
      <c r="B37">
        <v>25.45335</v>
      </c>
      <c r="C37">
        <v>7.107815499701102E-2</v>
      </c>
      <c r="D37">
        <f t="shared" si="0"/>
        <v>1.8091771564931705</v>
      </c>
      <c r="E37">
        <f t="shared" si="6"/>
        <v>2.7675763932964781</v>
      </c>
      <c r="F37">
        <f t="shared" si="7"/>
        <v>6.1931880001143469</v>
      </c>
      <c r="G37">
        <f t="shared" si="17"/>
        <v>2.5154179636429075</v>
      </c>
      <c r="I37">
        <v>12.822100000000001</v>
      </c>
      <c r="J37">
        <v>0.10537114759566467</v>
      </c>
      <c r="K37">
        <f t="shared" si="1"/>
        <v>1.3510793915863719</v>
      </c>
      <c r="L37">
        <f t="shared" si="8"/>
        <v>9.7913193436547594</v>
      </c>
      <c r="M37">
        <f t="shared" si="9"/>
        <v>0.83055495024393444</v>
      </c>
      <c r="N37">
        <f t="shared" si="18"/>
        <v>6.9997125784080554</v>
      </c>
      <c r="P37">
        <v>13.496510000000001</v>
      </c>
      <c r="Q37">
        <v>0.53219070134680169</v>
      </c>
      <c r="R37">
        <f t="shared" si="2"/>
        <v>7.1827171226341227</v>
      </c>
      <c r="S37">
        <f t="shared" si="10"/>
        <v>0.25791518067062036</v>
      </c>
      <c r="T37">
        <f t="shared" si="11"/>
        <v>8.7028492127402046</v>
      </c>
      <c r="U37">
        <f t="shared" si="19"/>
        <v>6.8511964284010958</v>
      </c>
      <c r="W37">
        <v>41.316569999999999</v>
      </c>
      <c r="X37">
        <v>1.5103703012613009E-2</v>
      </c>
      <c r="Y37">
        <f t="shared" si="3"/>
        <v>0.6240332027798362</v>
      </c>
      <c r="Z37">
        <f t="shared" si="12"/>
        <v>-3.437756354075383</v>
      </c>
      <c r="AA37">
        <f t="shared" si="13"/>
        <v>12.398520747486208</v>
      </c>
      <c r="AB37">
        <f t="shared" si="20"/>
        <v>11.844624272709257</v>
      </c>
      <c r="AD37">
        <v>15.860709999999999</v>
      </c>
      <c r="AE37">
        <v>0.27625629304790966</v>
      </c>
      <c r="AF37">
        <f t="shared" si="4"/>
        <v>4.3816209497079113</v>
      </c>
      <c r="AG37">
        <f t="shared" si="14"/>
        <v>33.388867490063554</v>
      </c>
      <c r="AH37">
        <f t="shared" si="15"/>
        <v>24.428103096652727</v>
      </c>
      <c r="AI37">
        <f t="shared" si="21"/>
        <v>20.748981410448625</v>
      </c>
      <c r="AL37">
        <f t="shared" si="5"/>
        <v>15.348627823201413</v>
      </c>
      <c r="AM37">
        <f t="shared" si="16"/>
        <v>8.960764393410825</v>
      </c>
    </row>
    <row r="38" spans="1:39" x14ac:dyDescent="0.35">
      <c r="A38" s="2">
        <v>37591</v>
      </c>
      <c r="B38">
        <v>26.132400000000001</v>
      </c>
      <c r="C38">
        <v>7.107815499701102E-2</v>
      </c>
      <c r="D38">
        <f t="shared" si="0"/>
        <v>1.8574427776438909</v>
      </c>
      <c r="E38">
        <f t="shared" si="6"/>
        <v>2.6678217209129551</v>
      </c>
      <c r="F38">
        <f t="shared" si="7"/>
        <v>2.2547682702443561</v>
      </c>
      <c r="G38">
        <f t="shared" si="17"/>
        <v>3.9384197298699908</v>
      </c>
      <c r="I38">
        <v>13.22411</v>
      </c>
      <c r="J38">
        <v>0.10537114759566467</v>
      </c>
      <c r="K38">
        <f t="shared" si="1"/>
        <v>1.393439646631305</v>
      </c>
      <c r="L38">
        <f t="shared" si="8"/>
        <v>3.1352898511164184</v>
      </c>
      <c r="M38">
        <f t="shared" si="9"/>
        <v>2.7222364004478194</v>
      </c>
      <c r="N38">
        <f t="shared" si="18"/>
        <v>1.891681450203885</v>
      </c>
      <c r="P38">
        <v>13.99432</v>
      </c>
      <c r="Q38">
        <v>0.53219070134680169</v>
      </c>
      <c r="R38">
        <f t="shared" si="2"/>
        <v>7.4476469756715735</v>
      </c>
      <c r="S38">
        <f t="shared" si="10"/>
        <v>3.6884350102359686</v>
      </c>
      <c r="T38">
        <f t="shared" si="11"/>
        <v>3.2753815595673696</v>
      </c>
      <c r="U38">
        <f t="shared" si="19"/>
        <v>5.427467653172835</v>
      </c>
      <c r="W38">
        <v>41.561109999999999</v>
      </c>
      <c r="X38">
        <v>1.5103703012613009E-2</v>
      </c>
      <c r="Y38">
        <f t="shared" si="3"/>
        <v>0.62772666231454066</v>
      </c>
      <c r="Z38">
        <f t="shared" si="12"/>
        <v>0.59186907335240235</v>
      </c>
      <c r="AA38">
        <f t="shared" si="13"/>
        <v>0.17881562268380335</v>
      </c>
      <c r="AB38">
        <f t="shared" si="20"/>
        <v>12.219705124802404</v>
      </c>
      <c r="AD38">
        <v>14.78978</v>
      </c>
      <c r="AE38">
        <v>0.27625629304790966</v>
      </c>
      <c r="AF38">
        <f t="shared" si="4"/>
        <v>4.0857697977941134</v>
      </c>
      <c r="AG38">
        <f t="shared" si="14"/>
        <v>-6.7520936956794397</v>
      </c>
      <c r="AH38">
        <f t="shared" si="15"/>
        <v>7.1651471463480387</v>
      </c>
      <c r="AI38">
        <f t="shared" si="21"/>
        <v>17.262955950304686</v>
      </c>
      <c r="AL38">
        <f t="shared" si="5"/>
        <v>15.412025860055426</v>
      </c>
      <c r="AM38">
        <f t="shared" si="16"/>
        <v>0.413053450668599</v>
      </c>
    </row>
    <row r="39" spans="1:39" x14ac:dyDescent="0.35">
      <c r="A39" s="2">
        <v>37622</v>
      </c>
      <c r="B39">
        <v>26.604040000000001</v>
      </c>
      <c r="C39">
        <v>7.2241481078705067E-2</v>
      </c>
      <c r="D39">
        <f t="shared" si="0"/>
        <v>1.9219152522771128</v>
      </c>
      <c r="E39">
        <f t="shared" si="6"/>
        <v>1.8048093554361655</v>
      </c>
      <c r="F39">
        <f t="shared" si="7"/>
        <v>3.8937079710494871</v>
      </c>
      <c r="G39">
        <f t="shared" si="17"/>
        <v>1.638939700805131</v>
      </c>
      <c r="I39">
        <v>14.02237</v>
      </c>
      <c r="J39">
        <v>0.10627253225106494</v>
      </c>
      <c r="K39">
        <f t="shared" si="1"/>
        <v>1.4901927680613654</v>
      </c>
      <c r="L39">
        <f t="shared" si="8"/>
        <v>6.0363986687951066</v>
      </c>
      <c r="M39">
        <f t="shared" si="9"/>
        <v>8.125297284408429</v>
      </c>
      <c r="N39">
        <f t="shared" si="18"/>
        <v>5.4030608839606096</v>
      </c>
      <c r="P39">
        <v>14.0479</v>
      </c>
      <c r="Q39">
        <v>0.52262858507195686</v>
      </c>
      <c r="R39">
        <f t="shared" si="2"/>
        <v>7.3418341002323428</v>
      </c>
      <c r="S39">
        <f t="shared" si="10"/>
        <v>0.38286962138924796</v>
      </c>
      <c r="T39">
        <f t="shared" si="11"/>
        <v>2.4717682370025695</v>
      </c>
      <c r="U39">
        <f t="shared" si="19"/>
        <v>0.80361332256480011</v>
      </c>
      <c r="W39">
        <v>41.782119999999999</v>
      </c>
      <c r="X39">
        <v>1.5291379901344748E-2</v>
      </c>
      <c r="Y39">
        <f t="shared" si="3"/>
        <v>0.63890627000357436</v>
      </c>
      <c r="Z39">
        <f t="shared" si="12"/>
        <v>0.53177116780567246</v>
      </c>
      <c r="AA39">
        <f t="shared" si="13"/>
        <v>2.620669783418994</v>
      </c>
      <c r="AB39">
        <f t="shared" si="20"/>
        <v>2.4418541607351907</v>
      </c>
      <c r="AD39">
        <v>13.038360000000001</v>
      </c>
      <c r="AE39">
        <v>0.28356602169692835</v>
      </c>
      <c r="AF39">
        <f t="shared" si="4"/>
        <v>3.697235874652363</v>
      </c>
      <c r="AG39">
        <f t="shared" si="14"/>
        <v>-11.842096366545007</v>
      </c>
      <c r="AH39">
        <f t="shared" si="15"/>
        <v>9.7531977509316867</v>
      </c>
      <c r="AI39">
        <f t="shared" si="21"/>
        <v>2.588050604583648</v>
      </c>
      <c r="AL39">
        <f t="shared" si="5"/>
        <v>15.090084265226761</v>
      </c>
      <c r="AM39">
        <f t="shared" si="16"/>
        <v>-2.0888986156133216</v>
      </c>
    </row>
    <row r="40" spans="1:39" x14ac:dyDescent="0.35">
      <c r="A40" s="2">
        <v>37653</v>
      </c>
      <c r="B40">
        <v>26.647169999999999</v>
      </c>
      <c r="C40">
        <v>7.2241481078705067E-2</v>
      </c>
      <c r="D40">
        <f t="shared" si="0"/>
        <v>1.9250310273560371</v>
      </c>
      <c r="E40">
        <f t="shared" si="6"/>
        <v>0.16211823467411346</v>
      </c>
      <c r="F40">
        <f t="shared" si="7"/>
        <v>1.2574497287798581</v>
      </c>
      <c r="G40">
        <f t="shared" si="17"/>
        <v>2.636258242269629</v>
      </c>
      <c r="I40">
        <v>13.390829999999999</v>
      </c>
      <c r="J40">
        <v>0.10627253225106494</v>
      </c>
      <c r="K40">
        <f t="shared" si="1"/>
        <v>1.4230774130435278</v>
      </c>
      <c r="L40">
        <f t="shared" si="8"/>
        <v>-4.5038035653031656</v>
      </c>
      <c r="M40">
        <f t="shared" si="9"/>
        <v>3.408472071197421</v>
      </c>
      <c r="N40">
        <f t="shared" si="18"/>
        <v>4.716825213211008</v>
      </c>
      <c r="P40">
        <v>13.391170000000001</v>
      </c>
      <c r="Q40">
        <v>0.52262858507195686</v>
      </c>
      <c r="R40">
        <f t="shared" si="2"/>
        <v>6.9986082295580365</v>
      </c>
      <c r="S40">
        <f t="shared" si="10"/>
        <v>-4.6749336199716662</v>
      </c>
      <c r="T40">
        <f t="shared" si="11"/>
        <v>3.5796021258659216</v>
      </c>
      <c r="U40">
        <f t="shared" si="19"/>
        <v>1.1078338888633521</v>
      </c>
      <c r="W40">
        <v>41.284239999999997</v>
      </c>
      <c r="X40">
        <v>1.5291379901344748E-2</v>
      </c>
      <c r="Y40">
        <f t="shared" si="3"/>
        <v>0.63129299777829284</v>
      </c>
      <c r="Z40">
        <f t="shared" si="12"/>
        <v>-1.191610191153547</v>
      </c>
      <c r="AA40">
        <f t="shared" si="13"/>
        <v>9.6278697047802453E-2</v>
      </c>
      <c r="AB40">
        <f t="shared" si="20"/>
        <v>2.5243910863711916</v>
      </c>
      <c r="AD40">
        <v>13.91841</v>
      </c>
      <c r="AE40">
        <v>0.28356602169692835</v>
      </c>
      <c r="AF40">
        <f t="shared" si="4"/>
        <v>3.9467881520467443</v>
      </c>
      <c r="AG40">
        <f t="shared" si="14"/>
        <v>6.7496985817234512</v>
      </c>
      <c r="AH40">
        <f t="shared" si="15"/>
        <v>7.8450300758291958</v>
      </c>
      <c r="AI40">
        <f t="shared" si="21"/>
        <v>1.908167675102491</v>
      </c>
      <c r="AL40">
        <f t="shared" si="5"/>
        <v>14.924797819782636</v>
      </c>
      <c r="AM40">
        <f t="shared" si="16"/>
        <v>-1.0953314941057446</v>
      </c>
    </row>
    <row r="41" spans="1:39" x14ac:dyDescent="0.35">
      <c r="A41" s="2">
        <v>37681</v>
      </c>
      <c r="B41">
        <v>26.858460000000001</v>
      </c>
      <c r="C41">
        <v>7.2241481078705067E-2</v>
      </c>
      <c r="D41">
        <f t="shared" si="0"/>
        <v>1.9402949298931569</v>
      </c>
      <c r="E41">
        <f t="shared" si="6"/>
        <v>0.79291722160366174</v>
      </c>
      <c r="F41">
        <f t="shared" si="7"/>
        <v>2.7041813968340156</v>
      </c>
      <c r="G41">
        <f t="shared" si="17"/>
        <v>1.4467316680541575</v>
      </c>
      <c r="I41">
        <v>13.538169999999999</v>
      </c>
      <c r="J41">
        <v>0.10627253225106494</v>
      </c>
      <c r="K41">
        <f t="shared" si="1"/>
        <v>1.4387356079453997</v>
      </c>
      <c r="L41">
        <f t="shared" si="8"/>
        <v>1.1003052088630838</v>
      </c>
      <c r="M41">
        <f t="shared" si="9"/>
        <v>3.0115693840934377</v>
      </c>
      <c r="N41">
        <f t="shared" si="18"/>
        <v>0.39690268710398335</v>
      </c>
      <c r="P41">
        <v>13.537129999999999</v>
      </c>
      <c r="Q41">
        <v>0.52262858507195686</v>
      </c>
      <c r="R41">
        <f t="shared" si="2"/>
        <v>7.0748910978351391</v>
      </c>
      <c r="S41">
        <f t="shared" si="10"/>
        <v>1.0899719740694813</v>
      </c>
      <c r="T41">
        <f t="shared" si="11"/>
        <v>3.0012361492998352</v>
      </c>
      <c r="U41">
        <f t="shared" si="19"/>
        <v>0.57836597656608646</v>
      </c>
      <c r="W41">
        <v>41.638680000000001</v>
      </c>
      <c r="X41">
        <v>1.5291379901344748E-2</v>
      </c>
      <c r="Y41">
        <f t="shared" si="3"/>
        <v>0.63671287447052549</v>
      </c>
      <c r="Z41">
        <f t="shared" si="12"/>
        <v>0.85853584806212524</v>
      </c>
      <c r="AA41">
        <f t="shared" si="13"/>
        <v>2.7698000232924791</v>
      </c>
      <c r="AB41">
        <f t="shared" si="20"/>
        <v>2.6735213262446766</v>
      </c>
      <c r="AD41">
        <v>12.51529</v>
      </c>
      <c r="AE41">
        <v>0.28356602169692835</v>
      </c>
      <c r="AF41">
        <f t="shared" si="4"/>
        <v>3.5489109956833507</v>
      </c>
      <c r="AG41">
        <f t="shared" si="14"/>
        <v>-10.081036555181234</v>
      </c>
      <c r="AH41">
        <f t="shared" si="15"/>
        <v>8.1697723799508797</v>
      </c>
      <c r="AI41">
        <f t="shared" si="21"/>
        <v>0.32474230412168392</v>
      </c>
      <c r="AL41">
        <f t="shared" si="5"/>
        <v>14.63954550582757</v>
      </c>
      <c r="AM41">
        <f t="shared" si="16"/>
        <v>-1.9112641752303539</v>
      </c>
    </row>
    <row r="42" spans="1:39" x14ac:dyDescent="0.35">
      <c r="A42" s="2">
        <v>37712</v>
      </c>
      <c r="B42">
        <v>28.053290000000001</v>
      </c>
      <c r="C42">
        <v>7.2241481078705067E-2</v>
      </c>
      <c r="D42">
        <f t="shared" si="0"/>
        <v>2.0266112187304262</v>
      </c>
      <c r="E42">
        <f t="shared" si="6"/>
        <v>4.4486169348503246</v>
      </c>
      <c r="F42">
        <f t="shared" si="7"/>
        <v>1.007726985691515</v>
      </c>
      <c r="G42">
        <f t="shared" si="17"/>
        <v>1.6964544111425006</v>
      </c>
      <c r="I42">
        <v>13.94533</v>
      </c>
      <c r="J42">
        <v>0.10627253225106494</v>
      </c>
      <c r="K42">
        <f t="shared" si="1"/>
        <v>1.4820055321767434</v>
      </c>
      <c r="L42">
        <f t="shared" si="8"/>
        <v>3.0074965818866373</v>
      </c>
      <c r="M42">
        <f t="shared" si="9"/>
        <v>2.4488473386552023</v>
      </c>
      <c r="N42">
        <f t="shared" si="18"/>
        <v>0.56272204543823534</v>
      </c>
      <c r="P42">
        <v>14.277699999999999</v>
      </c>
      <c r="Q42">
        <v>0.52262858507195686</v>
      </c>
      <c r="R42">
        <f t="shared" si="2"/>
        <v>7.4619341490818778</v>
      </c>
      <c r="S42">
        <f t="shared" si="10"/>
        <v>5.4706573697674399</v>
      </c>
      <c r="T42">
        <f t="shared" si="11"/>
        <v>1.4313449225600294E-2</v>
      </c>
      <c r="U42">
        <f t="shared" si="19"/>
        <v>2.9869227000742349</v>
      </c>
      <c r="W42">
        <v>40.759740000000001</v>
      </c>
      <c r="X42">
        <v>1.5291379901344748E-2</v>
      </c>
      <c r="Y42">
        <f t="shared" si="3"/>
        <v>0.62327266902003764</v>
      </c>
      <c r="Z42">
        <f t="shared" si="12"/>
        <v>-2.1108738317353049</v>
      </c>
      <c r="AA42">
        <f t="shared" si="13"/>
        <v>7.5672177522771449</v>
      </c>
      <c r="AB42">
        <f t="shared" si="20"/>
        <v>4.7974177289846658</v>
      </c>
      <c r="AD42">
        <v>13.55771</v>
      </c>
      <c r="AE42">
        <v>0.28356602169692835</v>
      </c>
      <c r="AF42">
        <f t="shared" si="4"/>
        <v>3.8445058880206626</v>
      </c>
      <c r="AG42">
        <f t="shared" si="14"/>
        <v>8.3291717571067014</v>
      </c>
      <c r="AH42">
        <f t="shared" si="15"/>
        <v>2.8728278365648618</v>
      </c>
      <c r="AI42">
        <f t="shared" si="21"/>
        <v>5.2969445433860178</v>
      </c>
      <c r="AL42">
        <f t="shared" si="5"/>
        <v>15.438329457029749</v>
      </c>
      <c r="AM42">
        <f t="shared" si="16"/>
        <v>5.4563439205418396</v>
      </c>
    </row>
    <row r="43" spans="1:39" x14ac:dyDescent="0.35">
      <c r="A43" s="2">
        <v>37742</v>
      </c>
      <c r="B43">
        <v>30.74164</v>
      </c>
      <c r="C43">
        <v>7.2241481078705067E-2</v>
      </c>
      <c r="D43">
        <f t="shared" si="0"/>
        <v>2.2208216043883628</v>
      </c>
      <c r="E43">
        <f t="shared" si="6"/>
        <v>9.5830114756593652</v>
      </c>
      <c r="F43">
        <f t="shared" si="7"/>
        <v>5.6645051087207197</v>
      </c>
      <c r="G43">
        <f t="shared" si="17"/>
        <v>4.6567781230292047</v>
      </c>
      <c r="I43">
        <v>15.193720000000001</v>
      </c>
      <c r="J43">
        <v>0.10627253225106494</v>
      </c>
      <c r="K43">
        <f t="shared" si="1"/>
        <v>1.6146750987136504</v>
      </c>
      <c r="L43">
        <f t="shared" si="8"/>
        <v>8.952029102215576</v>
      </c>
      <c r="M43">
        <f t="shared" si="9"/>
        <v>5.0335227352769305</v>
      </c>
      <c r="N43">
        <f t="shared" si="18"/>
        <v>2.5846753966217282</v>
      </c>
      <c r="P43">
        <v>14.911350000000001</v>
      </c>
      <c r="Q43">
        <v>0.52262858507195686</v>
      </c>
      <c r="R43">
        <f t="shared" si="2"/>
        <v>7.7930977520127245</v>
      </c>
      <c r="S43">
        <f t="shared" si="10"/>
        <v>4.4380397402943084</v>
      </c>
      <c r="T43">
        <f t="shared" si="11"/>
        <v>0.51953337335566285</v>
      </c>
      <c r="U43">
        <f t="shared" si="19"/>
        <v>0.50521992413006256</v>
      </c>
      <c r="W43">
        <v>39.379339999999999</v>
      </c>
      <c r="X43">
        <v>1.5291379901344748E-2</v>
      </c>
      <c r="Y43">
        <f t="shared" si="3"/>
        <v>0.60216444820422133</v>
      </c>
      <c r="Z43">
        <f t="shared" si="12"/>
        <v>-3.3866751848760646</v>
      </c>
      <c r="AA43">
        <f t="shared" si="13"/>
        <v>7.3051815518147105</v>
      </c>
      <c r="AB43">
        <f t="shared" si="20"/>
        <v>0.26203620046243437</v>
      </c>
      <c r="AD43">
        <v>13.44492</v>
      </c>
      <c r="AE43">
        <v>0.28356602169692835</v>
      </c>
      <c r="AF43">
        <f t="shared" si="4"/>
        <v>3.812522476433466</v>
      </c>
      <c r="AG43">
        <f t="shared" si="14"/>
        <v>-0.83192515550192248</v>
      </c>
      <c r="AH43">
        <f t="shared" si="15"/>
        <v>4.750431522440568</v>
      </c>
      <c r="AI43">
        <f t="shared" si="21"/>
        <v>1.8776036858757061</v>
      </c>
      <c r="AL43">
        <f t="shared" si="5"/>
        <v>16.043281379752425</v>
      </c>
      <c r="AM43">
        <f t="shared" si="16"/>
        <v>3.9185063669386455</v>
      </c>
    </row>
    <row r="44" spans="1:39" x14ac:dyDescent="0.35">
      <c r="A44" s="2">
        <v>37773</v>
      </c>
      <c r="B44">
        <v>32.071779999999997</v>
      </c>
      <c r="C44">
        <v>7.2241481078705067E-2</v>
      </c>
      <c r="D44">
        <f t="shared" si="0"/>
        <v>2.3169128880303913</v>
      </c>
      <c r="E44">
        <f t="shared" si="6"/>
        <v>4.326834872830454</v>
      </c>
      <c r="F44">
        <f t="shared" si="7"/>
        <v>0.80483070621499841</v>
      </c>
      <c r="G44">
        <f t="shared" si="17"/>
        <v>4.8596744025057212</v>
      </c>
      <c r="I44">
        <v>16.469190000000001</v>
      </c>
      <c r="J44">
        <v>0.10627253225106494</v>
      </c>
      <c r="K44">
        <f t="shared" si="1"/>
        <v>1.7502225254239163</v>
      </c>
      <c r="L44">
        <f t="shared" si="8"/>
        <v>8.394718344157992</v>
      </c>
      <c r="M44">
        <f t="shared" si="9"/>
        <v>3.2630527651125396</v>
      </c>
      <c r="N44">
        <f t="shared" si="18"/>
        <v>1.7704699701643909</v>
      </c>
      <c r="P44">
        <v>15.920170000000001</v>
      </c>
      <c r="Q44">
        <v>0.52262858507195686</v>
      </c>
      <c r="R44">
        <f t="shared" si="2"/>
        <v>8.3203359212050163</v>
      </c>
      <c r="S44">
        <f t="shared" si="10"/>
        <v>6.7654504789975478</v>
      </c>
      <c r="T44">
        <f t="shared" si="11"/>
        <v>1.6337848999520954</v>
      </c>
      <c r="U44">
        <f t="shared" si="19"/>
        <v>1.1142515265964326</v>
      </c>
      <c r="W44">
        <v>41.79871</v>
      </c>
      <c r="X44">
        <v>1.5291379901344748E-2</v>
      </c>
      <c r="Y44">
        <f t="shared" si="3"/>
        <v>0.63915995399613768</v>
      </c>
      <c r="Z44">
        <f t="shared" si="12"/>
        <v>6.1437545677504923</v>
      </c>
      <c r="AA44">
        <f t="shared" si="13"/>
        <v>1.0120889887050399</v>
      </c>
      <c r="AB44">
        <f t="shared" si="20"/>
        <v>6.2930925631096706</v>
      </c>
      <c r="AD44">
        <v>13.541600000000001</v>
      </c>
      <c r="AE44">
        <v>0.28356602169692835</v>
      </c>
      <c r="AF44">
        <f t="shared" si="4"/>
        <v>3.8399376394111253</v>
      </c>
      <c r="AG44">
        <f t="shared" si="14"/>
        <v>0.71908200271924017</v>
      </c>
      <c r="AH44">
        <f t="shared" si="15"/>
        <v>4.4125835763262122</v>
      </c>
      <c r="AI44">
        <f t="shared" si="21"/>
        <v>0.33784794611435576</v>
      </c>
      <c r="AL44">
        <f t="shared" si="5"/>
        <v>16.866568928066588</v>
      </c>
      <c r="AM44">
        <f t="shared" si="16"/>
        <v>5.1316655790454524</v>
      </c>
    </row>
    <row r="45" spans="1:39" x14ac:dyDescent="0.35">
      <c r="A45" s="2">
        <v>37803</v>
      </c>
      <c r="B45">
        <v>32.351610000000001</v>
      </c>
      <c r="C45">
        <v>7.2241481078705067E-2</v>
      </c>
      <c r="D45">
        <f t="shared" si="0"/>
        <v>2.3371282216806457</v>
      </c>
      <c r="E45">
        <f t="shared" si="6"/>
        <v>0.87251159742305351</v>
      </c>
      <c r="F45">
        <f t="shared" si="7"/>
        <v>0.69637932581705364</v>
      </c>
      <c r="G45">
        <f t="shared" si="17"/>
        <v>0.10845138039794477</v>
      </c>
      <c r="I45">
        <v>17.511900000000001</v>
      </c>
      <c r="J45">
        <v>0.10627253225106494</v>
      </c>
      <c r="K45">
        <f t="shared" si="1"/>
        <v>1.8610339575274242</v>
      </c>
      <c r="L45">
        <f t="shared" si="8"/>
        <v>6.331276765888294</v>
      </c>
      <c r="M45">
        <f t="shared" si="9"/>
        <v>4.7623858426481869</v>
      </c>
      <c r="N45">
        <f t="shared" si="18"/>
        <v>1.4993330775356473</v>
      </c>
      <c r="P45">
        <v>16.342669999999998</v>
      </c>
      <c r="Q45">
        <v>0.52262858507195686</v>
      </c>
      <c r="R45">
        <f t="shared" si="2"/>
        <v>8.5411464983979162</v>
      </c>
      <c r="S45">
        <f t="shared" si="10"/>
        <v>2.6538661333390223</v>
      </c>
      <c r="T45">
        <f t="shared" si="11"/>
        <v>1.0849752100989152</v>
      </c>
      <c r="U45">
        <f t="shared" si="19"/>
        <v>0.54880968985318024</v>
      </c>
      <c r="W45">
        <v>43.634210000000003</v>
      </c>
      <c r="X45">
        <v>1.5291379901344748E-2</v>
      </c>
      <c r="Y45">
        <f t="shared" si="3"/>
        <v>0.66722728180505608</v>
      </c>
      <c r="Z45">
        <f t="shared" si="12"/>
        <v>4.3912838458411763</v>
      </c>
      <c r="AA45">
        <f t="shared" si="13"/>
        <v>2.8223929226010691</v>
      </c>
      <c r="AB45">
        <f t="shared" si="20"/>
        <v>1.8103039338960292</v>
      </c>
      <c r="AD45">
        <v>13.13504</v>
      </c>
      <c r="AE45">
        <v>0.28356602169692835</v>
      </c>
      <c r="AF45">
        <f t="shared" si="4"/>
        <v>3.7246510376300219</v>
      </c>
      <c r="AG45">
        <f t="shared" si="14"/>
        <v>-3.0023040113428268</v>
      </c>
      <c r="AH45">
        <f t="shared" si="15"/>
        <v>4.5711949345829339</v>
      </c>
      <c r="AI45">
        <f t="shared" si="21"/>
        <v>0.15861135825672168</v>
      </c>
      <c r="AL45">
        <f t="shared" si="5"/>
        <v>17.131186997041063</v>
      </c>
      <c r="AM45">
        <f t="shared" si="16"/>
        <v>1.5688909232401071</v>
      </c>
    </row>
    <row r="46" spans="1:39" x14ac:dyDescent="0.35">
      <c r="A46" s="2">
        <v>37834</v>
      </c>
      <c r="B46">
        <v>34.981059999999999</v>
      </c>
      <c r="C46">
        <v>7.2241481078705067E-2</v>
      </c>
      <c r="D46">
        <f t="shared" si="0"/>
        <v>2.5270835841030466</v>
      </c>
      <c r="E46">
        <f t="shared" si="6"/>
        <v>8.1277253280439545</v>
      </c>
      <c r="F46">
        <f t="shared" si="7"/>
        <v>3.8502374001934783</v>
      </c>
      <c r="G46">
        <f t="shared" si="17"/>
        <v>3.1538580743764246</v>
      </c>
      <c r="I46">
        <v>17.039020000000001</v>
      </c>
      <c r="J46">
        <v>0.10627253225106494</v>
      </c>
      <c r="K46">
        <f t="shared" si="1"/>
        <v>1.8107798024765405</v>
      </c>
      <c r="L46">
        <f t="shared" si="8"/>
        <v>-2.7003352006349957</v>
      </c>
      <c r="M46">
        <f t="shared" si="9"/>
        <v>6.9778231284854719</v>
      </c>
      <c r="N46">
        <f t="shared" si="18"/>
        <v>2.2154372858372851</v>
      </c>
      <c r="P46">
        <v>16.889209999999999</v>
      </c>
      <c r="Q46">
        <v>0.52262858507195686</v>
      </c>
      <c r="R46">
        <f t="shared" si="2"/>
        <v>8.8267839252831433</v>
      </c>
      <c r="S46">
        <f t="shared" si="10"/>
        <v>3.3442515819018581</v>
      </c>
      <c r="T46">
        <f t="shared" si="11"/>
        <v>0.93323634594861815</v>
      </c>
      <c r="U46">
        <f t="shared" si="19"/>
        <v>0.15173886415029703</v>
      </c>
      <c r="W46">
        <v>40.363619999999997</v>
      </c>
      <c r="X46">
        <v>1.5291379901344748E-2</v>
      </c>
      <c r="Y46">
        <f t="shared" si="3"/>
        <v>0.61721544761351688</v>
      </c>
      <c r="Z46">
        <f t="shared" si="12"/>
        <v>-7.4954720161084731</v>
      </c>
      <c r="AA46">
        <f t="shared" si="13"/>
        <v>11.772959943958949</v>
      </c>
      <c r="AB46">
        <f t="shared" si="20"/>
        <v>8.9505670213578803</v>
      </c>
      <c r="AD46">
        <v>14.395619999999999</v>
      </c>
      <c r="AE46">
        <v>0.28356602169692835</v>
      </c>
      <c r="AF46">
        <f t="shared" si="4"/>
        <v>4.0821086932607358</v>
      </c>
      <c r="AG46">
        <f t="shared" si="14"/>
        <v>9.5970777401515264</v>
      </c>
      <c r="AH46">
        <f t="shared" si="15"/>
        <v>5.3195898123010501</v>
      </c>
      <c r="AI46">
        <f t="shared" si="21"/>
        <v>0.74839487771811619</v>
      </c>
      <c r="AL46">
        <f t="shared" si="5"/>
        <v>17.863971452736983</v>
      </c>
      <c r="AM46">
        <f t="shared" si="16"/>
        <v>4.2774879278504763</v>
      </c>
    </row>
    <row r="47" spans="1:39" x14ac:dyDescent="0.35">
      <c r="A47" s="2">
        <v>37865</v>
      </c>
      <c r="B47">
        <v>36.052430000000001</v>
      </c>
      <c r="C47">
        <v>7.2241481078705067E-2</v>
      </c>
      <c r="D47">
        <f t="shared" si="0"/>
        <v>2.6044809396863391</v>
      </c>
      <c r="E47">
        <f t="shared" si="6"/>
        <v>3.0627145089371366</v>
      </c>
      <c r="F47">
        <f t="shared" si="7"/>
        <v>1.901818493104579</v>
      </c>
      <c r="G47">
        <f t="shared" si="17"/>
        <v>1.9484189070888993</v>
      </c>
      <c r="I47">
        <v>17.166650000000001</v>
      </c>
      <c r="J47">
        <v>0.10627253225106494</v>
      </c>
      <c r="K47">
        <f t="shared" si="1"/>
        <v>1.8243433657677439</v>
      </c>
      <c r="L47">
        <f t="shared" si="8"/>
        <v>0.74904542632145965</v>
      </c>
      <c r="M47">
        <f t="shared" si="9"/>
        <v>4.2154875757202559</v>
      </c>
      <c r="N47">
        <f t="shared" si="18"/>
        <v>2.762335552765216</v>
      </c>
      <c r="P47">
        <v>17.69454</v>
      </c>
      <c r="Q47">
        <v>0.52262858507195686</v>
      </c>
      <c r="R47">
        <f t="shared" si="2"/>
        <v>9.2476724036991431</v>
      </c>
      <c r="S47">
        <f t="shared" si="10"/>
        <v>4.768310655146113</v>
      </c>
      <c r="T47">
        <f t="shared" si="11"/>
        <v>0.19622234689560258</v>
      </c>
      <c r="U47">
        <f t="shared" si="19"/>
        <v>0.73701399905301557</v>
      </c>
      <c r="W47">
        <v>38.592660000000002</v>
      </c>
      <c r="X47">
        <v>1.5291379901344748E-2</v>
      </c>
      <c r="Y47">
        <f t="shared" si="3"/>
        <v>0.59013502546343144</v>
      </c>
      <c r="Z47">
        <f t="shared" si="12"/>
        <v>-4.3875152922359213</v>
      </c>
      <c r="AA47">
        <f t="shared" si="13"/>
        <v>9.3520482942776368</v>
      </c>
      <c r="AB47">
        <f t="shared" si="20"/>
        <v>2.4209116496813117</v>
      </c>
      <c r="AD47">
        <v>15.813610000000001</v>
      </c>
      <c r="AE47">
        <v>0.28356602169692835</v>
      </c>
      <c r="AF47">
        <f t="shared" si="4"/>
        <v>4.4842024763667636</v>
      </c>
      <c r="AG47">
        <f t="shared" si="14"/>
        <v>9.8501488647241509</v>
      </c>
      <c r="AH47">
        <f t="shared" si="15"/>
        <v>4.8856158626824353</v>
      </c>
      <c r="AI47">
        <f t="shared" si="21"/>
        <v>0.4339739496186148</v>
      </c>
      <c r="AL47">
        <f t="shared" si="5"/>
        <v>18.75083421098342</v>
      </c>
      <c r="AM47">
        <f t="shared" si="16"/>
        <v>4.9645330020417155</v>
      </c>
    </row>
    <row r="48" spans="1:39" x14ac:dyDescent="0.35">
      <c r="A48" s="2">
        <v>37895</v>
      </c>
      <c r="B48">
        <v>39.37876</v>
      </c>
      <c r="C48">
        <v>7.2241481078705067E-2</v>
      </c>
      <c r="D48">
        <f t="shared" si="0"/>
        <v>2.8447799454428679</v>
      </c>
      <c r="E48">
        <f t="shared" si="6"/>
        <v>9.2263683751691694</v>
      </c>
      <c r="F48">
        <f t="shared" si="7"/>
        <v>2.5482822431815544</v>
      </c>
      <c r="G48">
        <f t="shared" si="17"/>
        <v>0.64646375007697543</v>
      </c>
      <c r="I48">
        <v>17.55742</v>
      </c>
      <c r="J48">
        <v>0.10627253225106494</v>
      </c>
      <c r="K48">
        <f t="shared" si="1"/>
        <v>1.8658714831954926</v>
      </c>
      <c r="L48">
        <f t="shared" si="8"/>
        <v>2.2763323071187447</v>
      </c>
      <c r="M48">
        <f t="shared" si="9"/>
        <v>4.4017538248688703</v>
      </c>
      <c r="N48">
        <f t="shared" si="18"/>
        <v>0.18626624914861445</v>
      </c>
      <c r="P48">
        <v>17.984690000000001</v>
      </c>
      <c r="Q48">
        <v>0.52262858507195686</v>
      </c>
      <c r="R48">
        <f t="shared" si="2"/>
        <v>9.399313087657772</v>
      </c>
      <c r="S48">
        <f t="shared" si="10"/>
        <v>1.63977136450002</v>
      </c>
      <c r="T48">
        <f t="shared" si="11"/>
        <v>5.038314767487595</v>
      </c>
      <c r="U48">
        <f t="shared" si="19"/>
        <v>4.8420924205919924</v>
      </c>
      <c r="W48">
        <v>39.934159999999999</v>
      </c>
      <c r="X48">
        <v>1.5291379901344748E-2</v>
      </c>
      <c r="Y48">
        <f t="shared" si="3"/>
        <v>0.61064841160108541</v>
      </c>
      <c r="Z48">
        <f t="shared" si="12"/>
        <v>3.4760495907770972</v>
      </c>
      <c r="AA48">
        <f t="shared" si="13"/>
        <v>3.2020365412105178</v>
      </c>
      <c r="AB48">
        <f t="shared" si="20"/>
        <v>6.150011753067119</v>
      </c>
      <c r="AD48">
        <v>18.628530000000001</v>
      </c>
      <c r="AE48">
        <v>0.28356602169692835</v>
      </c>
      <c r="AF48">
        <f t="shared" si="4"/>
        <v>5.2824181421618812</v>
      </c>
      <c r="AG48">
        <f t="shared" si="14"/>
        <v>17.800616051616291</v>
      </c>
      <c r="AH48">
        <f t="shared" si="15"/>
        <v>11.122529919628676</v>
      </c>
      <c r="AI48">
        <f t="shared" si="21"/>
        <v>6.2369140569462402</v>
      </c>
      <c r="AL48">
        <f t="shared" si="5"/>
        <v>20.003031070059095</v>
      </c>
      <c r="AM48">
        <f t="shared" si="16"/>
        <v>6.678086131987615</v>
      </c>
    </row>
    <row r="49" spans="1:39" x14ac:dyDescent="0.35">
      <c r="A49" s="2">
        <v>37926</v>
      </c>
      <c r="B49">
        <v>38.039279999999998</v>
      </c>
      <c r="C49">
        <v>7.2241481078705067E-2</v>
      </c>
      <c r="D49">
        <f t="shared" si="0"/>
        <v>2.7480139263675638</v>
      </c>
      <c r="E49">
        <f t="shared" si="6"/>
        <v>-3.4015291492164867</v>
      </c>
      <c r="F49">
        <f t="shared" si="7"/>
        <v>7.0397360003882863</v>
      </c>
      <c r="G49">
        <f t="shared" si="17"/>
        <v>4.4914537572067319</v>
      </c>
      <c r="I49">
        <v>18.435939999999999</v>
      </c>
      <c r="J49">
        <v>0.10627253225106494</v>
      </c>
      <c r="K49">
        <f t="shared" si="1"/>
        <v>1.959234028228698</v>
      </c>
      <c r="L49">
        <f t="shared" si="8"/>
        <v>5.0036964428714414</v>
      </c>
      <c r="M49">
        <f t="shared" si="9"/>
        <v>1.3654895916996423</v>
      </c>
      <c r="N49">
        <f t="shared" si="18"/>
        <v>3.036264233169228</v>
      </c>
      <c r="P49">
        <v>19.131219999999999</v>
      </c>
      <c r="Q49">
        <v>0.52262858507195686</v>
      </c>
      <c r="R49">
        <f t="shared" si="2"/>
        <v>9.9985224393003218</v>
      </c>
      <c r="S49">
        <f t="shared" si="10"/>
        <v>6.375033431212862</v>
      </c>
      <c r="T49">
        <f t="shared" si="11"/>
        <v>2.7368265800410629</v>
      </c>
      <c r="U49">
        <f t="shared" si="19"/>
        <v>2.3014881874465321</v>
      </c>
      <c r="W49">
        <v>39.483699999999999</v>
      </c>
      <c r="X49">
        <v>1.5291379901344748E-2</v>
      </c>
      <c r="Y49">
        <f t="shared" si="3"/>
        <v>0.60376025661072563</v>
      </c>
      <c r="Z49">
        <f t="shared" si="12"/>
        <v>-1.1280066990265958</v>
      </c>
      <c r="AA49">
        <f t="shared" si="13"/>
        <v>4.7662135501983949</v>
      </c>
      <c r="AB49">
        <f t="shared" si="20"/>
        <v>1.564177008987877</v>
      </c>
      <c r="AD49">
        <v>19.118130000000001</v>
      </c>
      <c r="AE49">
        <v>0.28356602169692835</v>
      </c>
      <c r="AF49">
        <f t="shared" si="4"/>
        <v>5.4212520663846968</v>
      </c>
      <c r="AG49">
        <f t="shared" si="14"/>
        <v>2.6282267038784113</v>
      </c>
      <c r="AH49">
        <f t="shared" si="15"/>
        <v>1.0099801472933878</v>
      </c>
      <c r="AI49">
        <f t="shared" si="21"/>
        <v>10.112549772335289</v>
      </c>
      <c r="AL49">
        <f t="shared" si="5"/>
        <v>20.730782716892008</v>
      </c>
      <c r="AM49">
        <f t="shared" si="16"/>
        <v>3.6382068511717991</v>
      </c>
    </row>
    <row r="50" spans="1:39" x14ac:dyDescent="0.35">
      <c r="A50" s="2">
        <v>37956</v>
      </c>
      <c r="B50">
        <v>38.528219999999997</v>
      </c>
      <c r="C50">
        <v>7.2241481078705067E-2</v>
      </c>
      <c r="D50">
        <f t="shared" si="0"/>
        <v>2.7833356761261858</v>
      </c>
      <c r="E50">
        <f t="shared" si="6"/>
        <v>1.2853555587802878</v>
      </c>
      <c r="F50">
        <f t="shared" si="7"/>
        <v>3.1092420365125273</v>
      </c>
      <c r="G50">
        <f t="shared" si="17"/>
        <v>3.930493963875759</v>
      </c>
      <c r="I50">
        <v>18.92623</v>
      </c>
      <c r="J50">
        <v>0.10627253225106494</v>
      </c>
      <c r="K50">
        <f t="shared" si="1"/>
        <v>2.0113383880660729</v>
      </c>
      <c r="L50">
        <f t="shared" si="8"/>
        <v>2.6594250144012177</v>
      </c>
      <c r="M50">
        <f t="shared" si="9"/>
        <v>1.7351725808915974</v>
      </c>
      <c r="N50">
        <f t="shared" si="18"/>
        <v>0.36968298919195508</v>
      </c>
      <c r="P50">
        <v>19.468599999999999</v>
      </c>
      <c r="Q50">
        <v>0.52262858507195686</v>
      </c>
      <c r="R50">
        <f t="shared" si="2"/>
        <v>10.174846871331898</v>
      </c>
      <c r="S50">
        <f t="shared" si="10"/>
        <v>1.7635048888675176</v>
      </c>
      <c r="T50">
        <f t="shared" si="11"/>
        <v>2.6310927064252976</v>
      </c>
      <c r="U50">
        <f t="shared" si="19"/>
        <v>0.10573387361576536</v>
      </c>
      <c r="W50">
        <v>38.07206</v>
      </c>
      <c r="X50">
        <v>1.5291379901344748E-2</v>
      </c>
      <c r="Y50">
        <f t="shared" si="3"/>
        <v>0.58217433308679134</v>
      </c>
      <c r="Z50">
        <f t="shared" si="12"/>
        <v>-3.5752475071991641</v>
      </c>
      <c r="AA50">
        <f t="shared" si="13"/>
        <v>7.9698451024919787</v>
      </c>
      <c r="AB50">
        <f t="shared" si="20"/>
        <v>3.2036315522935839</v>
      </c>
      <c r="AD50">
        <v>21.47691</v>
      </c>
      <c r="AE50">
        <v>0.28356602169692835</v>
      </c>
      <c r="AF50">
        <f t="shared" si="4"/>
        <v>6.0901219270429774</v>
      </c>
      <c r="AG50">
        <f t="shared" si="14"/>
        <v>12.337922171258375</v>
      </c>
      <c r="AH50">
        <f t="shared" si="15"/>
        <v>7.9433245759655602</v>
      </c>
      <c r="AI50">
        <f t="shared" si="21"/>
        <v>6.9333444286721724</v>
      </c>
      <c r="AL50">
        <f t="shared" si="5"/>
        <v>21.641817195653925</v>
      </c>
      <c r="AM50">
        <f t="shared" si="16"/>
        <v>4.3945975952928151</v>
      </c>
    </row>
    <row r="51" spans="1:39" x14ac:dyDescent="0.35">
      <c r="A51" s="2">
        <v>37987</v>
      </c>
      <c r="B51">
        <v>38.250349999999997</v>
      </c>
      <c r="C51">
        <v>7.2867519780049905E-2</v>
      </c>
      <c r="D51">
        <f t="shared" si="0"/>
        <v>2.7872081352188318</v>
      </c>
      <c r="E51">
        <f t="shared" si="6"/>
        <v>-0.72121162098846003</v>
      </c>
      <c r="F51">
        <f t="shared" si="7"/>
        <v>7.8904686196852536</v>
      </c>
      <c r="G51">
        <f t="shared" si="17"/>
        <v>4.7812265831727263</v>
      </c>
      <c r="I51">
        <v>21.22777</v>
      </c>
      <c r="J51">
        <v>0.1058457208048507</v>
      </c>
      <c r="K51">
        <f t="shared" si="1"/>
        <v>2.2468686167295857</v>
      </c>
      <c r="L51">
        <f t="shared" si="8"/>
        <v>12.160583486515808</v>
      </c>
      <c r="M51">
        <f t="shared" si="9"/>
        <v>4.9913264878190144</v>
      </c>
      <c r="N51">
        <f t="shared" si="18"/>
        <v>3.256153906927417</v>
      </c>
      <c r="P51">
        <v>21.06466</v>
      </c>
      <c r="Q51">
        <v>0.51179465961661463</v>
      </c>
      <c r="R51">
        <f t="shared" si="2"/>
        <v>10.780780494639718</v>
      </c>
      <c r="S51">
        <f t="shared" si="10"/>
        <v>8.1981241589020435</v>
      </c>
      <c r="T51">
        <f t="shared" si="11"/>
        <v>1.0288671602052499</v>
      </c>
      <c r="U51">
        <f t="shared" si="19"/>
        <v>1.6022255462200476</v>
      </c>
      <c r="W51">
        <v>36.578789999999998</v>
      </c>
      <c r="X51">
        <v>1.5098619063335967E-2</v>
      </c>
      <c r="Y51">
        <f t="shared" si="3"/>
        <v>0.55228921600776304</v>
      </c>
      <c r="Z51">
        <f t="shared" si="12"/>
        <v>-3.92222012678064</v>
      </c>
      <c r="AA51">
        <f t="shared" si="13"/>
        <v>11.091477125477434</v>
      </c>
      <c r="AB51">
        <f t="shared" si="20"/>
        <v>3.1216320229854553</v>
      </c>
      <c r="AD51">
        <v>23.187429999999999</v>
      </c>
      <c r="AE51">
        <v>0.29439348073514882</v>
      </c>
      <c r="AF51">
        <f t="shared" si="4"/>
        <v>6.8262282270026118</v>
      </c>
      <c r="AG51">
        <f t="shared" si="14"/>
        <v>7.9644604368132921</v>
      </c>
      <c r="AH51">
        <f t="shared" si="15"/>
        <v>0.79520343811649852</v>
      </c>
      <c r="AI51">
        <f t="shared" si="21"/>
        <v>7.1481211378490617</v>
      </c>
      <c r="AL51">
        <f t="shared" si="5"/>
        <v>23.19337468959851</v>
      </c>
      <c r="AM51">
        <f t="shared" si="16"/>
        <v>7.1692569986967936</v>
      </c>
    </row>
    <row r="52" spans="1:39" x14ac:dyDescent="0.35">
      <c r="A52" s="2">
        <v>38018</v>
      </c>
      <c r="B52">
        <v>38.771279999999997</v>
      </c>
      <c r="C52">
        <v>7.2867519780049905E-2</v>
      </c>
      <c r="D52">
        <f t="shared" si="0"/>
        <v>2.8251670122978529</v>
      </c>
      <c r="E52">
        <f t="shared" si="6"/>
        <v>1.361896034938237</v>
      </c>
      <c r="F52">
        <f t="shared" si="7"/>
        <v>2.8958235600142546</v>
      </c>
      <c r="G52">
        <f t="shared" si="17"/>
        <v>4.994645059670999</v>
      </c>
      <c r="I52">
        <v>24.889500000000002</v>
      </c>
      <c r="J52">
        <v>0.1058457208048507</v>
      </c>
      <c r="K52">
        <f t="shared" si="1"/>
        <v>2.634447067972332</v>
      </c>
      <c r="L52">
        <f t="shared" si="8"/>
        <v>17.249715820361743</v>
      </c>
      <c r="M52">
        <f t="shared" si="9"/>
        <v>12.991996225409252</v>
      </c>
      <c r="N52">
        <f t="shared" si="18"/>
        <v>8.000669737590238</v>
      </c>
      <c r="P52">
        <v>22.523530000000001</v>
      </c>
      <c r="Q52">
        <v>0.51179465961661463</v>
      </c>
      <c r="R52">
        <f t="shared" si="2"/>
        <v>11.527422369714609</v>
      </c>
      <c r="S52">
        <f t="shared" si="10"/>
        <v>6.9256755152943494</v>
      </c>
      <c r="T52">
        <f t="shared" si="11"/>
        <v>2.6679559203418579</v>
      </c>
      <c r="U52">
        <f t="shared" si="19"/>
        <v>1.639088760136608</v>
      </c>
      <c r="W52">
        <v>35.513399999999997</v>
      </c>
      <c r="X52">
        <v>1.5098619063335967E-2</v>
      </c>
      <c r="Y52">
        <f t="shared" si="3"/>
        <v>0.53620329824387547</v>
      </c>
      <c r="Z52">
        <f t="shared" si="12"/>
        <v>-2.9125895088383258</v>
      </c>
      <c r="AA52">
        <f t="shared" si="13"/>
        <v>7.1703091037908173</v>
      </c>
      <c r="AB52">
        <f t="shared" si="20"/>
        <v>3.9211680216866167</v>
      </c>
      <c r="AD52">
        <v>22.61478</v>
      </c>
      <c r="AE52">
        <v>0.29439348073514882</v>
      </c>
      <c r="AF52">
        <f t="shared" si="4"/>
        <v>6.6576438002596285</v>
      </c>
      <c r="AG52">
        <f t="shared" si="14"/>
        <v>-2.4696570512557914</v>
      </c>
      <c r="AH52">
        <f t="shared" si="15"/>
        <v>6.7273766462082829</v>
      </c>
      <c r="AI52">
        <f t="shared" si="21"/>
        <v>5.9321732080917844</v>
      </c>
      <c r="AL52">
        <f t="shared" si="5"/>
        <v>24.180883548488296</v>
      </c>
      <c r="AM52">
        <f t="shared" si="16"/>
        <v>4.2577195949524915</v>
      </c>
    </row>
    <row r="53" spans="1:39" x14ac:dyDescent="0.35">
      <c r="A53" s="2">
        <v>38047</v>
      </c>
      <c r="B53">
        <v>40.123019999999997</v>
      </c>
      <c r="C53">
        <v>7.2867519780049905E-2</v>
      </c>
      <c r="D53">
        <f t="shared" si="0"/>
        <v>2.9236649534853378</v>
      </c>
      <c r="E53">
        <f t="shared" si="6"/>
        <v>3.4864466687713147</v>
      </c>
      <c r="F53">
        <f t="shared" si="7"/>
        <v>0.71400004876829293</v>
      </c>
      <c r="G53">
        <f t="shared" si="17"/>
        <v>2.1818235112459616</v>
      </c>
      <c r="I53">
        <v>26.162240000000001</v>
      </c>
      <c r="J53">
        <v>0.1058457208048507</v>
      </c>
      <c r="K53">
        <f t="shared" si="1"/>
        <v>2.7691611506694973</v>
      </c>
      <c r="L53">
        <f t="shared" si="8"/>
        <v>5.1135619437915558</v>
      </c>
      <c r="M53">
        <f t="shared" si="9"/>
        <v>0.91311522625194819</v>
      </c>
      <c r="N53">
        <f t="shared" si="18"/>
        <v>12.078880999157304</v>
      </c>
      <c r="P53">
        <v>23.020099999999999</v>
      </c>
      <c r="Q53">
        <v>0.51179465961661463</v>
      </c>
      <c r="R53">
        <f t="shared" si="2"/>
        <v>11.78156424384043</v>
      </c>
      <c r="S53">
        <f t="shared" si="10"/>
        <v>2.2046721806040059</v>
      </c>
      <c r="T53">
        <f t="shared" si="11"/>
        <v>1.9957745369356017</v>
      </c>
      <c r="U53">
        <f t="shared" si="19"/>
        <v>0.67218138340625622</v>
      </c>
      <c r="W53">
        <v>34.47242</v>
      </c>
      <c r="X53">
        <v>1.5098619063335967E-2</v>
      </c>
      <c r="Y53">
        <f t="shared" si="3"/>
        <v>0.52048593777132401</v>
      </c>
      <c r="Z53">
        <f t="shared" si="12"/>
        <v>-2.9312315914556075</v>
      </c>
      <c r="AA53">
        <f t="shared" si="13"/>
        <v>7.1316783089952152</v>
      </c>
      <c r="AB53">
        <f t="shared" si="20"/>
        <v>3.8630794795602164E-2</v>
      </c>
      <c r="AD53">
        <v>24.462879999999998</v>
      </c>
      <c r="AE53">
        <v>0.29439348073514882</v>
      </c>
      <c r="AF53">
        <f t="shared" si="4"/>
        <v>7.2017123920062565</v>
      </c>
      <c r="AG53">
        <f t="shared" si="14"/>
        <v>8.1720892266031306</v>
      </c>
      <c r="AH53">
        <f t="shared" si="15"/>
        <v>3.971642509063523</v>
      </c>
      <c r="AI53">
        <f t="shared" si="21"/>
        <v>2.7557341371447599</v>
      </c>
      <c r="AL53">
        <f t="shared" si="5"/>
        <v>25.196588677772848</v>
      </c>
      <c r="AM53">
        <f t="shared" si="16"/>
        <v>4.2004467175396076</v>
      </c>
    </row>
    <row r="54" spans="1:39" x14ac:dyDescent="0.35">
      <c r="A54" s="2">
        <v>38078</v>
      </c>
      <c r="B54">
        <v>39.570990000000002</v>
      </c>
      <c r="C54">
        <v>7.2867519780049905E-2</v>
      </c>
      <c r="D54">
        <f t="shared" si="0"/>
        <v>2.883439896541157</v>
      </c>
      <c r="E54">
        <f t="shared" si="6"/>
        <v>-1.3758435930296242</v>
      </c>
      <c r="F54">
        <f t="shared" si="7"/>
        <v>3.8051971836643217</v>
      </c>
      <c r="G54">
        <f t="shared" si="17"/>
        <v>3.0911971348960288</v>
      </c>
      <c r="I54">
        <v>28.665199999999999</v>
      </c>
      <c r="J54">
        <v>0.1058457208048507</v>
      </c>
      <c r="K54">
        <f t="shared" si="1"/>
        <v>3.0340887560152061</v>
      </c>
      <c r="L54">
        <f t="shared" si="8"/>
        <v>9.5670707095416816</v>
      </c>
      <c r="M54">
        <f t="shared" si="9"/>
        <v>7.1377171189069841</v>
      </c>
      <c r="N54">
        <f t="shared" si="18"/>
        <v>6.2246018926550359</v>
      </c>
      <c r="P54">
        <v>24.13804</v>
      </c>
      <c r="Q54">
        <v>0.51179465961661463</v>
      </c>
      <c r="R54">
        <f t="shared" si="2"/>
        <v>12.353719965612228</v>
      </c>
      <c r="S54">
        <f t="shared" si="10"/>
        <v>4.8563646552360895</v>
      </c>
      <c r="T54">
        <f t="shared" si="11"/>
        <v>2.427011064601392</v>
      </c>
      <c r="U54">
        <f t="shared" si="19"/>
        <v>0.43123652766579035</v>
      </c>
      <c r="W54">
        <v>33.692279999999997</v>
      </c>
      <c r="X54">
        <v>1.5098619063335967E-2</v>
      </c>
      <c r="Y54">
        <f t="shared" si="3"/>
        <v>0.50870690109525307</v>
      </c>
      <c r="Z54">
        <f t="shared" si="12"/>
        <v>-2.2630845180001913</v>
      </c>
      <c r="AA54">
        <f t="shared" si="13"/>
        <v>4.6924381086348887</v>
      </c>
      <c r="AB54">
        <f t="shared" si="20"/>
        <v>2.4392402003603264</v>
      </c>
      <c r="AD54">
        <v>23.875350000000001</v>
      </c>
      <c r="AE54">
        <v>0.29439348073514882</v>
      </c>
      <c r="AF54">
        <f t="shared" si="4"/>
        <v>7.0287473902699356</v>
      </c>
      <c r="AG54">
        <f t="shared" si="14"/>
        <v>-2.401720484260228</v>
      </c>
      <c r="AH54">
        <f t="shared" si="15"/>
        <v>4.831074074894925</v>
      </c>
      <c r="AI54">
        <f t="shared" si="21"/>
        <v>0.85943156583140201</v>
      </c>
      <c r="AL54">
        <f t="shared" si="5"/>
        <v>25.808702909533778</v>
      </c>
      <c r="AM54">
        <f t="shared" si="16"/>
        <v>2.4293535906346975</v>
      </c>
    </row>
    <row r="55" spans="1:39" x14ac:dyDescent="0.35">
      <c r="A55" s="2">
        <v>38108</v>
      </c>
      <c r="B55">
        <v>38.24971</v>
      </c>
      <c r="C55">
        <v>7.2867519780049905E-2</v>
      </c>
      <c r="D55">
        <f t="shared" si="0"/>
        <v>2.7871615000061727</v>
      </c>
      <c r="E55">
        <f t="shared" si="6"/>
        <v>-3.3390117356174365</v>
      </c>
      <c r="F55">
        <f t="shared" si="7"/>
        <v>4.862110880254189</v>
      </c>
      <c r="G55">
        <f t="shared" si="17"/>
        <v>1.0569136965898673</v>
      </c>
      <c r="I55">
        <v>25.722429999999999</v>
      </c>
      <c r="J55">
        <v>0.1058457208048507</v>
      </c>
      <c r="K55">
        <f t="shared" si="1"/>
        <v>2.7226091442023157</v>
      </c>
      <c r="L55">
        <f t="shared" si="8"/>
        <v>-10.26600198149673</v>
      </c>
      <c r="M55">
        <f t="shared" si="9"/>
        <v>2.0648793656251048</v>
      </c>
      <c r="N55">
        <f t="shared" si="18"/>
        <v>5.0728377532818794</v>
      </c>
      <c r="P55">
        <v>22.514009999999999</v>
      </c>
      <c r="Q55">
        <v>0.51179465961661463</v>
      </c>
      <c r="R55">
        <f t="shared" si="2"/>
        <v>11.522550084555057</v>
      </c>
      <c r="S55">
        <f t="shared" si="10"/>
        <v>-6.7280939131760586</v>
      </c>
      <c r="T55">
        <f t="shared" si="11"/>
        <v>1.4730287026955668</v>
      </c>
      <c r="U55">
        <f t="shared" si="19"/>
        <v>0.95398236190582519</v>
      </c>
      <c r="W55">
        <v>30.278939999999999</v>
      </c>
      <c r="X55">
        <v>1.5098619063335967E-2</v>
      </c>
      <c r="Y55">
        <f t="shared" si="3"/>
        <v>0.45717018070160592</v>
      </c>
      <c r="Z55">
        <f t="shared" si="12"/>
        <v>-10.130926135007778</v>
      </c>
      <c r="AA55">
        <f t="shared" si="13"/>
        <v>1.9298035191361524</v>
      </c>
      <c r="AB55">
        <f t="shared" si="20"/>
        <v>2.7626345894987363</v>
      </c>
      <c r="AD55">
        <v>21.069109999999998</v>
      </c>
      <c r="AE55">
        <v>0.29439348073514882</v>
      </c>
      <c r="AF55">
        <f t="shared" si="4"/>
        <v>6.2026086288917304</v>
      </c>
      <c r="AG55">
        <f t="shared" si="14"/>
        <v>-11.753712511020787</v>
      </c>
      <c r="AH55">
        <f t="shared" si="15"/>
        <v>3.5525898951491612</v>
      </c>
      <c r="AI55">
        <f t="shared" si="21"/>
        <v>1.2784841797457638</v>
      </c>
      <c r="AL55">
        <f t="shared" si="5"/>
        <v>23.692099538356885</v>
      </c>
      <c r="AM55">
        <f t="shared" si="16"/>
        <v>-8.2011226158716255</v>
      </c>
    </row>
    <row r="56" spans="1:39" x14ac:dyDescent="0.35">
      <c r="A56" s="2">
        <v>38139</v>
      </c>
      <c r="B56">
        <v>38.884929999999997</v>
      </c>
      <c r="C56">
        <v>7.2867519780049905E-2</v>
      </c>
      <c r="D56">
        <f t="shared" si="0"/>
        <v>2.8334484059208558</v>
      </c>
      <c r="E56">
        <f t="shared" si="6"/>
        <v>1.6607184734211078</v>
      </c>
      <c r="F56">
        <f t="shared" si="7"/>
        <v>0.58089353173900182</v>
      </c>
      <c r="G56">
        <f t="shared" si="17"/>
        <v>4.2812173485151872</v>
      </c>
      <c r="I56">
        <v>26.053709999999999</v>
      </c>
      <c r="J56">
        <v>0.1058457208048507</v>
      </c>
      <c r="K56">
        <f t="shared" si="1"/>
        <v>2.7576737145905468</v>
      </c>
      <c r="L56">
        <f t="shared" si="8"/>
        <v>1.287903203546481</v>
      </c>
      <c r="M56">
        <f t="shared" si="9"/>
        <v>0.95370880161362859</v>
      </c>
      <c r="N56">
        <f t="shared" si="18"/>
        <v>1.1111705640114762</v>
      </c>
      <c r="P56">
        <v>23.150120000000001</v>
      </c>
      <c r="Q56">
        <v>0.51179465961661463</v>
      </c>
      <c r="R56">
        <f t="shared" si="2"/>
        <v>11.848107785483784</v>
      </c>
      <c r="S56">
        <f t="shared" si="10"/>
        <v>2.8253962754747119</v>
      </c>
      <c r="T56">
        <f t="shared" si="11"/>
        <v>0.58378427031460234</v>
      </c>
      <c r="U56">
        <f t="shared" si="19"/>
        <v>0.88924443238096451</v>
      </c>
      <c r="W56">
        <v>31.470310000000001</v>
      </c>
      <c r="X56">
        <v>1.5098619063335967E-2</v>
      </c>
      <c r="Y56">
        <f t="shared" si="3"/>
        <v>0.47515822249509254</v>
      </c>
      <c r="Z56">
        <f t="shared" si="12"/>
        <v>3.9346489672359874</v>
      </c>
      <c r="AA56">
        <f t="shared" si="13"/>
        <v>1.6930369620758778</v>
      </c>
      <c r="AB56">
        <f t="shared" si="20"/>
        <v>0.23676655706027461</v>
      </c>
      <c r="AD56">
        <v>21.42981</v>
      </c>
      <c r="AE56">
        <v>0.29439348073514882</v>
      </c>
      <c r="AF56">
        <f t="shared" si="4"/>
        <v>6.3087963573928993</v>
      </c>
      <c r="AG56">
        <f t="shared" si="14"/>
        <v>1.711984986551407</v>
      </c>
      <c r="AH56">
        <f t="shared" si="15"/>
        <v>0.52962701860870265</v>
      </c>
      <c r="AI56">
        <f t="shared" si="21"/>
        <v>3.0229628765404586</v>
      </c>
      <c r="AL56">
        <f t="shared" si="5"/>
        <v>24.223184485883174</v>
      </c>
      <c r="AM56">
        <f t="shared" si="16"/>
        <v>2.2416120051601096</v>
      </c>
    </row>
    <row r="57" spans="1:39" x14ac:dyDescent="0.35">
      <c r="A57" s="2">
        <v>38169</v>
      </c>
      <c r="B57">
        <v>40.832999999999998</v>
      </c>
      <c r="C57">
        <v>7.2867519780049905E-2</v>
      </c>
      <c r="D57">
        <f t="shared" si="0"/>
        <v>2.9753994351787778</v>
      </c>
      <c r="E57">
        <f t="shared" si="6"/>
        <v>5.0098328581278162</v>
      </c>
      <c r="F57">
        <f t="shared" si="7"/>
        <v>3.2674307368506073</v>
      </c>
      <c r="G57">
        <f t="shared" si="17"/>
        <v>2.6865372051116054</v>
      </c>
      <c r="I57">
        <v>25.454190000000001</v>
      </c>
      <c r="J57">
        <v>0.1058457208048507</v>
      </c>
      <c r="K57">
        <f t="shared" si="1"/>
        <v>2.6942170880536227</v>
      </c>
      <c r="L57">
        <f t="shared" si="8"/>
        <v>-2.3010926274991128</v>
      </c>
      <c r="M57">
        <f t="shared" si="9"/>
        <v>4.0434947487763218</v>
      </c>
      <c r="N57">
        <f t="shared" si="18"/>
        <v>3.0897859471626932</v>
      </c>
      <c r="P57">
        <v>22.865410000000001</v>
      </c>
      <c r="Q57">
        <v>0.51179465961661463</v>
      </c>
      <c r="R57">
        <f t="shared" si="2"/>
        <v>11.702394727944336</v>
      </c>
      <c r="S57">
        <f t="shared" si="10"/>
        <v>-1.2298424371018357</v>
      </c>
      <c r="T57">
        <f t="shared" si="11"/>
        <v>2.9722445583790447</v>
      </c>
      <c r="U57">
        <f t="shared" si="19"/>
        <v>2.3884602880644423</v>
      </c>
      <c r="W57">
        <v>30.33117</v>
      </c>
      <c r="X57">
        <v>1.5098619063335967E-2</v>
      </c>
      <c r="Y57">
        <f t="shared" si="3"/>
        <v>0.45795878157528397</v>
      </c>
      <c r="Z57">
        <f t="shared" si="12"/>
        <v>-3.6197291987273172</v>
      </c>
      <c r="AA57">
        <f t="shared" si="13"/>
        <v>5.3621313200045257</v>
      </c>
      <c r="AB57">
        <f t="shared" si="20"/>
        <v>3.6690943579286479</v>
      </c>
      <c r="AD57">
        <v>23.15024</v>
      </c>
      <c r="AE57">
        <v>0.29439348073514882</v>
      </c>
      <c r="AF57">
        <f t="shared" si="4"/>
        <v>6.815279733454072</v>
      </c>
      <c r="AG57">
        <f t="shared" si="14"/>
        <v>8.0282093028356307</v>
      </c>
      <c r="AH57">
        <f t="shared" si="15"/>
        <v>6.2858071815584218</v>
      </c>
      <c r="AI57">
        <f t="shared" si="21"/>
        <v>5.7561801629497191</v>
      </c>
      <c r="AL57">
        <f t="shared" si="5"/>
        <v>24.645249766206092</v>
      </c>
      <c r="AM57">
        <f t="shared" si="16"/>
        <v>1.7424021212772089</v>
      </c>
    </row>
    <row r="58" spans="1:39" x14ac:dyDescent="0.35">
      <c r="A58" s="2">
        <v>38200</v>
      </c>
      <c r="B58">
        <v>42.598959999999998</v>
      </c>
      <c r="C58">
        <v>7.2867519780049905E-2</v>
      </c>
      <c r="D58">
        <f t="shared" si="0"/>
        <v>3.1040805604095545</v>
      </c>
      <c r="E58">
        <f t="shared" si="6"/>
        <v>4.3248353047780075</v>
      </c>
      <c r="F58">
        <f t="shared" si="7"/>
        <v>3.1471494012061285</v>
      </c>
      <c r="G58">
        <f t="shared" si="17"/>
        <v>0.12028133564447874</v>
      </c>
      <c r="I58">
        <v>24.4648</v>
      </c>
      <c r="J58">
        <v>0.1058457208048507</v>
      </c>
      <c r="K58">
        <f t="shared" si="1"/>
        <v>2.5894943903465117</v>
      </c>
      <c r="L58">
        <f t="shared" si="8"/>
        <v>-3.8869435641047723</v>
      </c>
      <c r="M58">
        <f t="shared" si="9"/>
        <v>5.0646294676766512</v>
      </c>
      <c r="N58">
        <f t="shared" si="18"/>
        <v>1.0211347189003295</v>
      </c>
      <c r="P58">
        <v>22.916699999999999</v>
      </c>
      <c r="Q58">
        <v>0.51179465961661463</v>
      </c>
      <c r="R58">
        <f t="shared" si="2"/>
        <v>11.728644676036073</v>
      </c>
      <c r="S58">
        <f t="shared" si="10"/>
        <v>0.22431261892963406</v>
      </c>
      <c r="T58">
        <f t="shared" si="11"/>
        <v>0.95337328464224491</v>
      </c>
      <c r="U58">
        <f t="shared" si="19"/>
        <v>2.0188712737367998</v>
      </c>
      <c r="W58">
        <v>29.649619999999999</v>
      </c>
      <c r="X58">
        <v>1.5098619063335967E-2</v>
      </c>
      <c r="Y58">
        <f t="shared" si="3"/>
        <v>0.44766831775266736</v>
      </c>
      <c r="Z58">
        <f t="shared" si="12"/>
        <v>-2.2470283869695851</v>
      </c>
      <c r="AA58">
        <f t="shared" si="13"/>
        <v>3.424714290541464</v>
      </c>
      <c r="AB58">
        <f t="shared" si="20"/>
        <v>1.9374170294630617</v>
      </c>
      <c r="AD58">
        <v>24.00055</v>
      </c>
      <c r="AE58">
        <v>0.29439348073514882</v>
      </c>
      <c r="AF58">
        <f t="shared" si="4"/>
        <v>7.0656054540579758</v>
      </c>
      <c r="AG58">
        <f t="shared" si="14"/>
        <v>3.6730072776783418</v>
      </c>
      <c r="AH58">
        <f t="shared" si="15"/>
        <v>2.4953213741064628</v>
      </c>
      <c r="AI58">
        <f t="shared" si="21"/>
        <v>3.790485807451959</v>
      </c>
      <c r="AL58">
        <f t="shared" si="5"/>
        <v>24.93549339860278</v>
      </c>
      <c r="AM58">
        <f t="shared" si="16"/>
        <v>1.177685903571879</v>
      </c>
    </row>
    <row r="59" spans="1:39" x14ac:dyDescent="0.35">
      <c r="A59" s="2">
        <v>38231</v>
      </c>
      <c r="B59">
        <v>44.143889999999999</v>
      </c>
      <c r="C59">
        <v>7.2867519780049905E-2</v>
      </c>
      <c r="D59">
        <f t="shared" si="0"/>
        <v>3.2166557777433473</v>
      </c>
      <c r="E59">
        <f t="shared" si="6"/>
        <v>3.6266847829148796</v>
      </c>
      <c r="F59">
        <f t="shared" si="7"/>
        <v>4.6644058703976468</v>
      </c>
      <c r="G59">
        <f t="shared" si="17"/>
        <v>1.5172564691915182</v>
      </c>
      <c r="I59">
        <v>29.236650000000001</v>
      </c>
      <c r="J59">
        <v>0.1058457208048507</v>
      </c>
      <c r="K59">
        <f t="shared" si="1"/>
        <v>3.0945742931691385</v>
      </c>
      <c r="L59">
        <f t="shared" si="8"/>
        <v>19.504962231450907</v>
      </c>
      <c r="M59">
        <f t="shared" si="9"/>
        <v>11.213871578138381</v>
      </c>
      <c r="N59">
        <f t="shared" si="18"/>
        <v>6.1492421104617296</v>
      </c>
      <c r="P59">
        <v>24.30442</v>
      </c>
      <c r="Q59">
        <v>0.51179465961661463</v>
      </c>
      <c r="R59">
        <f t="shared" si="2"/>
        <v>12.438872361079241</v>
      </c>
      <c r="S59">
        <f t="shared" si="10"/>
        <v>6.0554966465503401</v>
      </c>
      <c r="T59">
        <f t="shared" si="11"/>
        <v>2.2355940067621862</v>
      </c>
      <c r="U59">
        <f t="shared" si="19"/>
        <v>1.2822207221199413</v>
      </c>
      <c r="W59">
        <v>29.448699999999999</v>
      </c>
      <c r="X59">
        <v>1.5098619063335967E-2</v>
      </c>
      <c r="Y59">
        <f t="shared" si="3"/>
        <v>0.44463470321046189</v>
      </c>
      <c r="Z59">
        <f t="shared" si="12"/>
        <v>-0.67764780796516488</v>
      </c>
      <c r="AA59">
        <f t="shared" si="13"/>
        <v>8.9687384612776917</v>
      </c>
      <c r="AB59">
        <f t="shared" si="20"/>
        <v>5.5440241707362272</v>
      </c>
      <c r="AD59">
        <v>26.522939999999998</v>
      </c>
      <c r="AE59">
        <v>0.29439348073514882</v>
      </c>
      <c r="AF59">
        <f t="shared" si="4"/>
        <v>7.8081806259295075</v>
      </c>
      <c r="AG59">
        <f t="shared" si="14"/>
        <v>10.509717485640934</v>
      </c>
      <c r="AH59">
        <f t="shared" si="15"/>
        <v>2.2186268323284075</v>
      </c>
      <c r="AI59">
        <f t="shared" si="21"/>
        <v>0.2766945417780553</v>
      </c>
      <c r="AL59">
        <f t="shared" si="5"/>
        <v>27.002917761131698</v>
      </c>
      <c r="AM59">
        <f t="shared" si="16"/>
        <v>8.2910906533125264</v>
      </c>
    </row>
    <row r="60" spans="1:39" x14ac:dyDescent="0.35">
      <c r="A60" s="2">
        <v>38261</v>
      </c>
      <c r="B60">
        <v>46.045630000000003</v>
      </c>
      <c r="C60">
        <v>7.2867519780049905E-2</v>
      </c>
      <c r="D60">
        <f t="shared" si="0"/>
        <v>3.3552308548098595</v>
      </c>
      <c r="E60">
        <f t="shared" si="6"/>
        <v>4.3080480673542976</v>
      </c>
      <c r="F60">
        <f t="shared" si="7"/>
        <v>0.18522389039503651</v>
      </c>
      <c r="G60">
        <f t="shared" si="17"/>
        <v>4.4791819800026103</v>
      </c>
      <c r="I60">
        <v>30.915320000000001</v>
      </c>
      <c r="J60">
        <v>0.1058457208048507</v>
      </c>
      <c r="K60">
        <f t="shared" si="1"/>
        <v>3.2722543293126174</v>
      </c>
      <c r="L60">
        <f t="shared" si="8"/>
        <v>5.7416632890567199</v>
      </c>
      <c r="M60">
        <f t="shared" si="9"/>
        <v>1.2483913313073858</v>
      </c>
      <c r="N60">
        <f t="shared" si="18"/>
        <v>9.965480246830996</v>
      </c>
      <c r="P60">
        <v>25.373249999999999</v>
      </c>
      <c r="Q60">
        <v>0.51179465961661463</v>
      </c>
      <c r="R60">
        <f t="shared" si="2"/>
        <v>12.985893847117266</v>
      </c>
      <c r="S60">
        <f t="shared" si="10"/>
        <v>4.3976774594909118</v>
      </c>
      <c r="T60">
        <f t="shared" si="11"/>
        <v>9.5594498258422256E-2</v>
      </c>
      <c r="U60">
        <f t="shared" si="19"/>
        <v>2.139999508503764</v>
      </c>
      <c r="W60">
        <v>29.50337</v>
      </c>
      <c r="X60">
        <v>1.5098619063335967E-2</v>
      </c>
      <c r="Y60">
        <f t="shared" si="3"/>
        <v>0.4454601447146545</v>
      </c>
      <c r="Z60">
        <f t="shared" si="12"/>
        <v>0.18564486717580486</v>
      </c>
      <c r="AA60">
        <f t="shared" si="13"/>
        <v>4.3076270905735292</v>
      </c>
      <c r="AB60">
        <f t="shared" si="20"/>
        <v>4.6611113707041625</v>
      </c>
      <c r="AD60">
        <v>27.709150000000001</v>
      </c>
      <c r="AE60">
        <v>0.29439348073514882</v>
      </c>
      <c r="AF60">
        <f t="shared" si="4"/>
        <v>8.157393116712349</v>
      </c>
      <c r="AG60">
        <f t="shared" si="14"/>
        <v>4.4723925778967333</v>
      </c>
      <c r="AH60">
        <f t="shared" si="15"/>
        <v>2.0879379852600799E-2</v>
      </c>
      <c r="AI60">
        <f t="shared" si="21"/>
        <v>2.1977474524758067</v>
      </c>
      <c r="AL60">
        <f t="shared" si="5"/>
        <v>28.216232292666746</v>
      </c>
      <c r="AM60">
        <f t="shared" si="16"/>
        <v>4.4932719577493341</v>
      </c>
    </row>
    <row r="61" spans="1:39" x14ac:dyDescent="0.35">
      <c r="A61" s="2">
        <v>38292</v>
      </c>
      <c r="B61">
        <v>46.800609999999999</v>
      </c>
      <c r="C61">
        <v>7.2867519780049905E-2</v>
      </c>
      <c r="D61">
        <f t="shared" si="0"/>
        <v>3.4102443748934013</v>
      </c>
      <c r="E61">
        <f t="shared" si="6"/>
        <v>1.6396344235055427</v>
      </c>
      <c r="F61">
        <f t="shared" si="7"/>
        <v>4.0237359888920965</v>
      </c>
      <c r="G61">
        <f t="shared" si="17"/>
        <v>3.83851209849706</v>
      </c>
      <c r="I61">
        <v>35.042879999999997</v>
      </c>
      <c r="J61">
        <v>0.1058457208048507</v>
      </c>
      <c r="K61">
        <f t="shared" si="1"/>
        <v>3.7091388926778861</v>
      </c>
      <c r="L61">
        <f t="shared" si="8"/>
        <v>13.351179932797063</v>
      </c>
      <c r="M61">
        <f t="shared" si="9"/>
        <v>7.6878095203994237</v>
      </c>
      <c r="N61">
        <f t="shared" si="18"/>
        <v>6.4394181890920379</v>
      </c>
      <c r="P61">
        <v>27.106950000000001</v>
      </c>
      <c r="Q61">
        <v>0.51179465961661463</v>
      </c>
      <c r="R61">
        <f t="shared" si="2"/>
        <v>13.873192248494593</v>
      </c>
      <c r="S61">
        <f t="shared" si="10"/>
        <v>6.8327864975909813</v>
      </c>
      <c r="T61">
        <f t="shared" si="11"/>
        <v>1.1694160851933422</v>
      </c>
      <c r="U61">
        <f t="shared" si="19"/>
        <v>1.0738215869349199</v>
      </c>
      <c r="W61">
        <v>31.86205</v>
      </c>
      <c r="X61">
        <v>1.5098619063335967E-2</v>
      </c>
      <c r="Y61">
        <f t="shared" si="3"/>
        <v>0.48107295552696377</v>
      </c>
      <c r="Z61">
        <f t="shared" si="12"/>
        <v>7.9946121409181448</v>
      </c>
      <c r="AA61">
        <f t="shared" si="13"/>
        <v>2.3312417285205056</v>
      </c>
      <c r="AB61">
        <f t="shared" si="20"/>
        <v>1.9763853620530236</v>
      </c>
      <c r="AD61">
        <v>28.331379999999999</v>
      </c>
      <c r="AE61">
        <v>0.29439348073514882</v>
      </c>
      <c r="AF61">
        <f t="shared" si="4"/>
        <v>8.3405735722301806</v>
      </c>
      <c r="AG61">
        <f t="shared" si="14"/>
        <v>2.2455759198676262</v>
      </c>
      <c r="AH61">
        <f t="shared" si="15"/>
        <v>3.417794492530013</v>
      </c>
      <c r="AI61">
        <f t="shared" si="21"/>
        <v>3.3969151126774122</v>
      </c>
      <c r="AL61">
        <f t="shared" si="5"/>
        <v>29.814222043823023</v>
      </c>
      <c r="AM61">
        <f t="shared" si="16"/>
        <v>5.6633704123976392</v>
      </c>
    </row>
    <row r="62" spans="1:39" x14ac:dyDescent="0.35">
      <c r="A62" s="2">
        <v>38322</v>
      </c>
      <c r="B62">
        <v>47.60201</v>
      </c>
      <c r="C62">
        <v>7.2867519780049905E-2</v>
      </c>
      <c r="D62">
        <f t="shared" si="0"/>
        <v>3.4686404052451332</v>
      </c>
      <c r="E62">
        <f t="shared" si="6"/>
        <v>1.7123708430296203</v>
      </c>
      <c r="F62">
        <f t="shared" si="7"/>
        <v>2.150859071419009</v>
      </c>
      <c r="G62">
        <f t="shared" si="17"/>
        <v>1.8728769174730875</v>
      </c>
      <c r="I62">
        <v>35.456659999999999</v>
      </c>
      <c r="J62">
        <v>0.1058457208048507</v>
      </c>
      <c r="K62">
        <f t="shared" si="1"/>
        <v>3.7529357350325179</v>
      </c>
      <c r="L62">
        <f t="shared" si="8"/>
        <v>1.1807819448629964</v>
      </c>
      <c r="M62">
        <f t="shared" si="9"/>
        <v>2.6824479695856329</v>
      </c>
      <c r="N62">
        <f t="shared" si="18"/>
        <v>5.0053615508137907</v>
      </c>
      <c r="P62">
        <v>28.485749999999999</v>
      </c>
      <c r="Q62">
        <v>0.51179465961661463</v>
      </c>
      <c r="R62">
        <f t="shared" si="2"/>
        <v>14.578854725173979</v>
      </c>
      <c r="S62">
        <f t="shared" si="10"/>
        <v>5.0865184021072096</v>
      </c>
      <c r="T62">
        <f t="shared" si="11"/>
        <v>1.2232884876585803</v>
      </c>
      <c r="U62">
        <f t="shared" si="19"/>
        <v>5.3872402465238167E-2</v>
      </c>
      <c r="W62">
        <v>31.174330000000001</v>
      </c>
      <c r="X62">
        <v>1.5098619063335967E-2</v>
      </c>
      <c r="Y62">
        <f t="shared" si="3"/>
        <v>0.47068933322472634</v>
      </c>
      <c r="Z62">
        <f t="shared" si="12"/>
        <v>-2.1584298562082438</v>
      </c>
      <c r="AA62">
        <f t="shared" si="13"/>
        <v>6.0216597706568731</v>
      </c>
      <c r="AB62">
        <f t="shared" si="20"/>
        <v>3.6904180421363675</v>
      </c>
      <c r="AD62">
        <v>29.534939999999999</v>
      </c>
      <c r="AE62">
        <v>0.29439348073514882</v>
      </c>
      <c r="AF62">
        <f t="shared" si="4"/>
        <v>8.6948937899037766</v>
      </c>
      <c r="AG62">
        <f t="shared" si="14"/>
        <v>4.2481516961051735</v>
      </c>
      <c r="AH62">
        <f t="shared" si="15"/>
        <v>0.38492178165654423</v>
      </c>
      <c r="AI62">
        <f t="shared" si="21"/>
        <v>3.0328727108734688</v>
      </c>
      <c r="AL62">
        <f t="shared" si="5"/>
        <v>30.966013988580134</v>
      </c>
      <c r="AM62">
        <f t="shared" si="16"/>
        <v>3.8632299144486293</v>
      </c>
    </row>
    <row r="63" spans="1:39" x14ac:dyDescent="0.35">
      <c r="A63" s="2">
        <v>38353</v>
      </c>
      <c r="B63">
        <v>46.421340000000001</v>
      </c>
      <c r="C63">
        <v>7.3641067775890051E-2</v>
      </c>
      <c r="D63">
        <f t="shared" si="0"/>
        <v>3.4185170451876359</v>
      </c>
      <c r="E63">
        <f t="shared" si="6"/>
        <v>-2.480294424542151</v>
      </c>
      <c r="F63">
        <f t="shared" si="7"/>
        <v>6.6136292135972159</v>
      </c>
      <c r="G63">
        <f t="shared" si="17"/>
        <v>4.4627701421782069</v>
      </c>
      <c r="I63">
        <v>36.16724</v>
      </c>
      <c r="J63">
        <v>0.10595028733855695</v>
      </c>
      <c r="K63">
        <f t="shared" si="1"/>
        <v>3.8319294702425504</v>
      </c>
      <c r="L63">
        <f t="shared" si="8"/>
        <v>2.0040804745850238</v>
      </c>
      <c r="M63">
        <f t="shared" si="9"/>
        <v>2.1292543144700415</v>
      </c>
      <c r="N63">
        <f t="shared" si="18"/>
        <v>0.55319365511559138</v>
      </c>
      <c r="P63">
        <v>29.052530000000001</v>
      </c>
      <c r="Q63">
        <v>0.49902949740469899</v>
      </c>
      <c r="R63">
        <f t="shared" si="2"/>
        <v>14.49806944423494</v>
      </c>
      <c r="S63">
        <f t="shared" si="10"/>
        <v>1.9896966026873075</v>
      </c>
      <c r="T63">
        <f t="shared" si="11"/>
        <v>2.1436381863677578</v>
      </c>
      <c r="U63">
        <f t="shared" si="19"/>
        <v>0.92034969870917749</v>
      </c>
      <c r="W63">
        <v>34.163150000000002</v>
      </c>
      <c r="X63">
        <v>1.4990685681497517E-2</v>
      </c>
      <c r="Y63">
        <f t="shared" si="3"/>
        <v>0.51212904353985189</v>
      </c>
      <c r="Z63">
        <f t="shared" si="12"/>
        <v>9.5874394092832169</v>
      </c>
      <c r="AA63">
        <f t="shared" si="13"/>
        <v>5.4541046202281516</v>
      </c>
      <c r="AB63">
        <f t="shared" si="20"/>
        <v>0.56755515042872151</v>
      </c>
      <c r="AD63">
        <v>32.590319999999998</v>
      </c>
      <c r="AE63">
        <v>0.30638846179935647</v>
      </c>
      <c r="AF63">
        <f t="shared" si="4"/>
        <v>9.9852980143488033</v>
      </c>
      <c r="AG63">
        <f t="shared" si="14"/>
        <v>10.344967689116679</v>
      </c>
      <c r="AH63">
        <f t="shared" si="15"/>
        <v>6.2116329000616135</v>
      </c>
      <c r="AI63">
        <f t="shared" si="21"/>
        <v>5.8267111184050693</v>
      </c>
      <c r="AL63">
        <f t="shared" si="5"/>
        <v>32.245943017553778</v>
      </c>
      <c r="AM63">
        <f t="shared" si="16"/>
        <v>4.1333347890550654</v>
      </c>
    </row>
    <row r="64" spans="1:39" x14ac:dyDescent="0.35">
      <c r="A64" s="2">
        <v>38384</v>
      </c>
      <c r="B64">
        <v>47.605409999999999</v>
      </c>
      <c r="C64">
        <v>7.3641067775890051E-2</v>
      </c>
      <c r="D64">
        <f t="shared" si="0"/>
        <v>3.5057132243090341</v>
      </c>
      <c r="E64">
        <f t="shared" si="6"/>
        <v>2.5507018970154727</v>
      </c>
      <c r="F64">
        <f t="shared" si="7"/>
        <v>3.4216639893280609</v>
      </c>
      <c r="G64">
        <f t="shared" si="17"/>
        <v>3.191965224269155</v>
      </c>
      <c r="I64">
        <v>39.901649999999997</v>
      </c>
      <c r="J64">
        <v>0.10595028733855695</v>
      </c>
      <c r="K64">
        <f t="shared" si="1"/>
        <v>4.2275912827825302</v>
      </c>
      <c r="L64">
        <f t="shared" si="8"/>
        <v>10.325393920022652</v>
      </c>
      <c r="M64">
        <f t="shared" si="9"/>
        <v>4.3530280336791183</v>
      </c>
      <c r="N64">
        <f t="shared" si="18"/>
        <v>2.2237737192090767</v>
      </c>
      <c r="P64">
        <v>30.95121</v>
      </c>
      <c r="Q64">
        <v>0.49902949740469899</v>
      </c>
      <c r="R64">
        <f t="shared" si="2"/>
        <v>15.445566770367293</v>
      </c>
      <c r="S64">
        <f t="shared" si="10"/>
        <v>6.5353344441946959</v>
      </c>
      <c r="T64">
        <f t="shared" si="11"/>
        <v>0.56296855785116229</v>
      </c>
      <c r="U64">
        <f t="shared" si="19"/>
        <v>1.5806696285165955</v>
      </c>
      <c r="W64">
        <v>33.42116</v>
      </c>
      <c r="X64">
        <v>1.4990685681497517E-2</v>
      </c>
      <c r="Y64">
        <f t="shared" si="3"/>
        <v>0.50100610467103757</v>
      </c>
      <c r="Z64">
        <f t="shared" si="12"/>
        <v>-2.171901595725223</v>
      </c>
      <c r="AA64">
        <f t="shared" si="13"/>
        <v>8.1442674820687557</v>
      </c>
      <c r="AB64">
        <f t="shared" si="20"/>
        <v>2.6901628618406042</v>
      </c>
      <c r="AD64">
        <v>34.243819999999999</v>
      </c>
      <c r="AE64">
        <v>0.30638846179935647</v>
      </c>
      <c r="AF64">
        <f t="shared" si="4"/>
        <v>10.49191133593404</v>
      </c>
      <c r="AG64">
        <f t="shared" si="14"/>
        <v>5.0735924041249048</v>
      </c>
      <c r="AH64">
        <f t="shared" si="15"/>
        <v>0.89877348221862885</v>
      </c>
      <c r="AI64">
        <f t="shared" si="21"/>
        <v>5.3128594178429847</v>
      </c>
      <c r="AL64">
        <f t="shared" si="5"/>
        <v>34.171788718063937</v>
      </c>
      <c r="AM64">
        <f t="shared" si="16"/>
        <v>5.9723658863435336</v>
      </c>
    </row>
    <row r="65" spans="1:39" x14ac:dyDescent="0.35">
      <c r="A65" s="2">
        <v>38412</v>
      </c>
      <c r="B65">
        <v>49.480780000000003</v>
      </c>
      <c r="C65">
        <v>7.3641067775890051E-2</v>
      </c>
      <c r="D65">
        <f t="shared" si="0"/>
        <v>3.6438174735839053</v>
      </c>
      <c r="E65">
        <f t="shared" si="6"/>
        <v>3.9394052062570184</v>
      </c>
      <c r="F65">
        <f t="shared" si="7"/>
        <v>6.3689234061137023</v>
      </c>
      <c r="G65">
        <f t="shared" si="17"/>
        <v>2.9472594167856414</v>
      </c>
      <c r="I65">
        <v>39.536499999999997</v>
      </c>
      <c r="J65">
        <v>0.10595028733855695</v>
      </c>
      <c r="K65">
        <f t="shared" si="1"/>
        <v>4.1889035353608568</v>
      </c>
      <c r="L65">
        <f t="shared" si="8"/>
        <v>-0.91512506375049929</v>
      </c>
      <c r="M65">
        <f t="shared" si="9"/>
        <v>1.5143931361061846</v>
      </c>
      <c r="N65">
        <f t="shared" si="18"/>
        <v>2.8386348975729336</v>
      </c>
      <c r="P65">
        <v>30.179320000000001</v>
      </c>
      <c r="Q65">
        <v>0.49902949740469899</v>
      </c>
      <c r="R65">
        <f t="shared" si="2"/>
        <v>15.06037089161558</v>
      </c>
      <c r="S65">
        <f t="shared" si="10"/>
        <v>-2.4938928074217381</v>
      </c>
      <c r="T65">
        <f t="shared" si="11"/>
        <v>6.4374607565054198E-2</v>
      </c>
      <c r="U65">
        <f t="shared" si="19"/>
        <v>0.49859395028610809</v>
      </c>
      <c r="W65">
        <v>34.445160000000001</v>
      </c>
      <c r="X65">
        <v>1.4990685681497517E-2</v>
      </c>
      <c r="Y65">
        <f t="shared" si="3"/>
        <v>0.51635656680889097</v>
      </c>
      <c r="Z65">
        <f t="shared" si="12"/>
        <v>3.0639271647064259</v>
      </c>
      <c r="AA65">
        <f t="shared" si="13"/>
        <v>5.4934453645631098</v>
      </c>
      <c r="AB65">
        <f t="shared" si="20"/>
        <v>2.6508221175056459</v>
      </c>
      <c r="AD65">
        <v>32.416789999999999</v>
      </c>
      <c r="AE65">
        <v>0.30638846179935647</v>
      </c>
      <c r="AF65">
        <f t="shared" si="4"/>
        <v>9.93213042457276</v>
      </c>
      <c r="AG65">
        <f t="shared" si="14"/>
        <v>-5.3353568614716522</v>
      </c>
      <c r="AH65">
        <f t="shared" si="15"/>
        <v>2.9058386616149683</v>
      </c>
      <c r="AI65">
        <f t="shared" si="21"/>
        <v>2.0070651793963394</v>
      </c>
      <c r="AL65">
        <f t="shared" si="5"/>
        <v>33.341578891942</v>
      </c>
      <c r="AM65">
        <f t="shared" si="16"/>
        <v>-2.4295181998566839</v>
      </c>
    </row>
    <row r="66" spans="1:39" x14ac:dyDescent="0.35">
      <c r="A66" s="2">
        <v>38443</v>
      </c>
      <c r="B66">
        <v>49.705959999999997</v>
      </c>
      <c r="C66">
        <v>7.3641067775890051E-2</v>
      </c>
      <c r="D66">
        <f t="shared" si="0"/>
        <v>3.6603999692256797</v>
      </c>
      <c r="E66">
        <f t="shared" si="6"/>
        <v>0.45508579290787221</v>
      </c>
      <c r="F66">
        <f t="shared" si="7"/>
        <v>5.3647524876267001</v>
      </c>
      <c r="G66">
        <f t="shared" si="17"/>
        <v>1.0041709184870022</v>
      </c>
      <c r="I66">
        <v>39.255009999999999</v>
      </c>
      <c r="J66">
        <v>0.10595028733855695</v>
      </c>
      <c r="K66">
        <f t="shared" si="1"/>
        <v>4.1590795889779262</v>
      </c>
      <c r="L66">
        <f t="shared" si="8"/>
        <v>-0.71197501043339662</v>
      </c>
      <c r="M66">
        <f t="shared" si="9"/>
        <v>4.1976916842854308</v>
      </c>
      <c r="N66">
        <f t="shared" si="18"/>
        <v>2.6832985481792462</v>
      </c>
      <c r="P66">
        <v>27.98583</v>
      </c>
      <c r="Q66">
        <v>0.49902949740469899</v>
      </c>
      <c r="R66">
        <f t="shared" si="2"/>
        <v>13.965754679353347</v>
      </c>
      <c r="S66">
        <f t="shared" si="10"/>
        <v>-7.2681889452777648</v>
      </c>
      <c r="T66">
        <f t="shared" si="11"/>
        <v>2.3585222505589369</v>
      </c>
      <c r="U66">
        <f t="shared" si="19"/>
        <v>2.2941476429938827</v>
      </c>
      <c r="W66">
        <v>34.515639999999998</v>
      </c>
      <c r="X66">
        <v>1.4990685681497517E-2</v>
      </c>
      <c r="Y66">
        <f t="shared" si="3"/>
        <v>0.5174131103357229</v>
      </c>
      <c r="Z66">
        <f t="shared" si="12"/>
        <v>0.20461510412492778</v>
      </c>
      <c r="AA66">
        <f t="shared" si="13"/>
        <v>5.1142817988437557</v>
      </c>
      <c r="AB66">
        <f t="shared" si="20"/>
        <v>0.37916356571935417</v>
      </c>
      <c r="AD66">
        <v>30.686440000000001</v>
      </c>
      <c r="AE66">
        <v>0.30638846179935647</v>
      </c>
      <c r="AF66">
        <f t="shared" si="4"/>
        <v>9.4019711496982445</v>
      </c>
      <c r="AG66">
        <f t="shared" si="14"/>
        <v>-5.3378203085499791</v>
      </c>
      <c r="AH66">
        <f t="shared" si="15"/>
        <v>0.42815361383115125</v>
      </c>
      <c r="AI66">
        <f t="shared" si="21"/>
        <v>2.477685047783817</v>
      </c>
      <c r="AL66">
        <f t="shared" si="5"/>
        <v>31.704618497590921</v>
      </c>
      <c r="AM66">
        <f t="shared" si="16"/>
        <v>-4.9096666947188279</v>
      </c>
    </row>
    <row r="67" spans="1:39" x14ac:dyDescent="0.35">
      <c r="A67" s="2">
        <v>38473</v>
      </c>
      <c r="B67">
        <v>48.922710000000002</v>
      </c>
      <c r="C67">
        <v>7.3641067775890051E-2</v>
      </c>
      <c r="D67">
        <f t="shared" si="0"/>
        <v>3.6027206028902143</v>
      </c>
      <c r="E67">
        <f t="shared" si="6"/>
        <v>-1.5757667692164024</v>
      </c>
      <c r="F67">
        <f t="shared" si="7"/>
        <v>2.987238004915449</v>
      </c>
      <c r="G67">
        <f t="shared" si="17"/>
        <v>2.3775144827112511</v>
      </c>
      <c r="I67">
        <v>39.629559999999998</v>
      </c>
      <c r="J67">
        <v>0.10595028733855695</v>
      </c>
      <c r="K67">
        <f t="shared" si="1"/>
        <v>4.1987632691005832</v>
      </c>
      <c r="L67">
        <f t="shared" si="8"/>
        <v>0.95414572560292843</v>
      </c>
      <c r="M67">
        <f t="shared" si="9"/>
        <v>0.45732551009611822</v>
      </c>
      <c r="N67">
        <f t="shared" si="18"/>
        <v>3.7403661741893126</v>
      </c>
      <c r="P67">
        <v>28.973120000000002</v>
      </c>
      <c r="Q67">
        <v>0.49902949740469899</v>
      </c>
      <c r="R67">
        <f t="shared" si="2"/>
        <v>14.458441511846033</v>
      </c>
      <c r="S67">
        <f t="shared" si="10"/>
        <v>3.5278210437210689</v>
      </c>
      <c r="T67">
        <f t="shared" si="11"/>
        <v>2.1163498080220222</v>
      </c>
      <c r="U67">
        <f t="shared" si="19"/>
        <v>0.24217244253691472</v>
      </c>
      <c r="W67">
        <v>32.929969999999997</v>
      </c>
      <c r="X67">
        <v>1.4990685681497517E-2</v>
      </c>
      <c r="Y67">
        <f t="shared" si="3"/>
        <v>0.49364282977114271</v>
      </c>
      <c r="Z67">
        <f t="shared" si="12"/>
        <v>-4.5940622859665936</v>
      </c>
      <c r="AA67">
        <f t="shared" si="13"/>
        <v>6.0055335216656403</v>
      </c>
      <c r="AB67">
        <f t="shared" si="20"/>
        <v>0.89125172282188458</v>
      </c>
      <c r="AD67">
        <v>30.675280000000001</v>
      </c>
      <c r="AE67">
        <v>0.30638846179935647</v>
      </c>
      <c r="AF67">
        <f t="shared" si="4"/>
        <v>9.3985518544645643</v>
      </c>
      <c r="AG67">
        <f t="shared" si="14"/>
        <v>-3.6367854987418013E-2</v>
      </c>
      <c r="AH67">
        <f t="shared" si="15"/>
        <v>1.4478390906864647</v>
      </c>
      <c r="AI67">
        <f t="shared" si="21"/>
        <v>1.0196854768553134</v>
      </c>
      <c r="AL67">
        <f t="shared" si="5"/>
        <v>32.152120068072534</v>
      </c>
      <c r="AM67">
        <f t="shared" si="16"/>
        <v>1.4114712356990466</v>
      </c>
    </row>
    <row r="68" spans="1:39" x14ac:dyDescent="0.35">
      <c r="A68" s="2">
        <v>38504</v>
      </c>
      <c r="B68">
        <v>49.969459999999998</v>
      </c>
      <c r="C68">
        <v>7.3641067775890051E-2</v>
      </c>
      <c r="D68">
        <f t="shared" ref="D68:D131" si="22">B68*C68</f>
        <v>3.6798043905846267</v>
      </c>
      <c r="E68">
        <f t="shared" si="6"/>
        <v>2.1395993803286828</v>
      </c>
      <c r="F68">
        <f t="shared" si="7"/>
        <v>3.0454973490927406</v>
      </c>
      <c r="G68">
        <f t="shared" si="17"/>
        <v>5.8259344177291617E-2</v>
      </c>
      <c r="I68">
        <v>42.205120000000001</v>
      </c>
      <c r="J68">
        <v>0.10595028733855695</v>
      </c>
      <c r="K68">
        <f t="shared" ref="K68:K131" si="23">I68*J68</f>
        <v>4.4716445911582765</v>
      </c>
      <c r="L68">
        <f t="shared" si="8"/>
        <v>6.4990880544724794</v>
      </c>
      <c r="M68">
        <f t="shared" si="9"/>
        <v>1.313991325051056</v>
      </c>
      <c r="N68">
        <f t="shared" si="18"/>
        <v>0.85666581495493777</v>
      </c>
      <c r="P68">
        <v>30.47167</v>
      </c>
      <c r="Q68">
        <v>0.49902949740469899</v>
      </c>
      <c r="R68">
        <f t="shared" ref="R68:R131" si="24">P68*Q68</f>
        <v>15.206262165181844</v>
      </c>
      <c r="S68">
        <f t="shared" si="10"/>
        <v>5.17220789476589</v>
      </c>
      <c r="T68">
        <f t="shared" si="11"/>
        <v>1.2888834655533365E-2</v>
      </c>
      <c r="U68">
        <f t="shared" si="19"/>
        <v>2.1034609733664889</v>
      </c>
      <c r="W68">
        <v>32.578949999999999</v>
      </c>
      <c r="X68">
        <v>1.4990685681497517E-2</v>
      </c>
      <c r="Y68">
        <f t="shared" ref="Y68:Y131" si="25">W68*X68</f>
        <v>0.48838079928322348</v>
      </c>
      <c r="Z68">
        <f t="shared" si="12"/>
        <v>-1.0659590640380134</v>
      </c>
      <c r="AA68">
        <f t="shared" si="13"/>
        <v>6.2510557934594368</v>
      </c>
      <c r="AB68">
        <f t="shared" si="20"/>
        <v>0.2455222717937966</v>
      </c>
      <c r="AD68">
        <v>32.550660000000001</v>
      </c>
      <c r="AE68">
        <v>0.30638846179935647</v>
      </c>
      <c r="AF68">
        <f t="shared" ref="AF68:AF131" si="26">AD68*AE68</f>
        <v>9.9731466479538415</v>
      </c>
      <c r="AG68">
        <f t="shared" si="14"/>
        <v>6.1136524263185166</v>
      </c>
      <c r="AH68">
        <f t="shared" si="15"/>
        <v>0.92855569689709316</v>
      </c>
      <c r="AI68">
        <f t="shared" si="21"/>
        <v>0.51928339378937149</v>
      </c>
      <c r="AL68">
        <f t="shared" ref="AL68:AL131" si="27">AF68+Y68+R68+K68+D68</f>
        <v>33.81923859416181</v>
      </c>
      <c r="AM68">
        <f t="shared" si="16"/>
        <v>5.1850967294214234</v>
      </c>
    </row>
    <row r="69" spans="1:39" x14ac:dyDescent="0.35">
      <c r="A69" s="2">
        <v>38534</v>
      </c>
      <c r="B69">
        <v>51.208970000000001</v>
      </c>
      <c r="C69">
        <v>7.3641067775890051E-2</v>
      </c>
      <c r="D69">
        <f t="shared" si="22"/>
        <v>3.7710832305035202</v>
      </c>
      <c r="E69">
        <f t="shared" ref="E69:E132" si="28">((B69/B68)-1)*100</f>
        <v>2.4805351108457163</v>
      </c>
      <c r="F69">
        <f t="shared" ref="F69:F132" si="29">ABS(E69-AM69)</f>
        <v>3.9499496753412799</v>
      </c>
      <c r="G69">
        <f t="shared" si="17"/>
        <v>0.90445232624853933</v>
      </c>
      <c r="I69">
        <v>47.428319999999999</v>
      </c>
      <c r="J69">
        <v>0.10595028733855695</v>
      </c>
      <c r="K69">
        <f t="shared" si="23"/>
        <v>5.0250441319850276</v>
      </c>
      <c r="L69">
        <f t="shared" ref="L69:L132" si="30">((I69/I68)-1)*100</f>
        <v>12.375749672077706</v>
      </c>
      <c r="M69">
        <f t="shared" ref="M69:M132" si="31">ABS(L69-AM69)</f>
        <v>5.94526488589071</v>
      </c>
      <c r="N69">
        <f t="shared" si="18"/>
        <v>4.631273560839654</v>
      </c>
      <c r="P69">
        <v>31.90211</v>
      </c>
      <c r="Q69">
        <v>0.49902949740469899</v>
      </c>
      <c r="R69">
        <f t="shared" si="24"/>
        <v>15.920093919449421</v>
      </c>
      <c r="S69">
        <f t="shared" ref="S69:S132" si="32">((P69/P68)-1)*100</f>
        <v>4.6943275508037452</v>
      </c>
      <c r="T69">
        <f t="shared" ref="T69:T132" si="33">ABS(S69-AM69)</f>
        <v>1.7361572353832511</v>
      </c>
      <c r="U69">
        <f t="shared" si="19"/>
        <v>1.7232684007277177</v>
      </c>
      <c r="W69">
        <v>32.611429999999999</v>
      </c>
      <c r="X69">
        <v>1.4990685681497517E-2</v>
      </c>
      <c r="Y69">
        <f t="shared" si="25"/>
        <v>0.48886769675415853</v>
      </c>
      <c r="Z69">
        <f t="shared" ref="Z69:Z132" si="34">((W69/W68)-1)*100</f>
        <v>9.9696276276550755E-2</v>
      </c>
      <c r="AA69">
        <f t="shared" ref="AA69:AA132" si="35">ABS(Z69-AM69)</f>
        <v>6.3307885099104455</v>
      </c>
      <c r="AB69">
        <f t="shared" si="20"/>
        <v>7.9732716451008656E-2</v>
      </c>
      <c r="AD69">
        <v>35.21311</v>
      </c>
      <c r="AE69">
        <v>0.30638846179935647</v>
      </c>
      <c r="AF69">
        <f t="shared" si="26"/>
        <v>10.788890608071538</v>
      </c>
      <c r="AG69">
        <f t="shared" ref="AG69:AG132" si="36">((AD69/AD68)-1)*100</f>
        <v>8.1794040428058814</v>
      </c>
      <c r="AH69">
        <f t="shared" ref="AH69:AH132" si="37">ABS(AG69-AM69)</f>
        <v>1.7489192566188851</v>
      </c>
      <c r="AI69">
        <f t="shared" si="21"/>
        <v>0.82036355972179198</v>
      </c>
      <c r="AL69">
        <f t="shared" si="27"/>
        <v>35.993979586763665</v>
      </c>
      <c r="AM69">
        <f t="shared" ref="AM69:AM132" si="38">((AL69/AL68)-1)*100</f>
        <v>6.4304847861869963</v>
      </c>
    </row>
    <row r="70" spans="1:39" x14ac:dyDescent="0.35">
      <c r="A70" s="2">
        <v>38565</v>
      </c>
      <c r="B70">
        <v>52.42906</v>
      </c>
      <c r="C70">
        <v>7.3641067775890051E-2</v>
      </c>
      <c r="D70">
        <f t="shared" si="22"/>
        <v>3.860931960886206</v>
      </c>
      <c r="E70">
        <f t="shared" si="28"/>
        <v>2.3825708660025757</v>
      </c>
      <c r="F70">
        <f t="shared" si="29"/>
        <v>2.7560468646007141</v>
      </c>
      <c r="G70">
        <f t="shared" ref="G70:G133" si="39">ABS(F70-F69)</f>
        <v>1.1939028107405658</v>
      </c>
      <c r="I70">
        <v>54.664160000000003</v>
      </c>
      <c r="J70">
        <v>0.10595028733855695</v>
      </c>
      <c r="K70">
        <f t="shared" si="23"/>
        <v>5.7916834591208515</v>
      </c>
      <c r="L70">
        <f t="shared" si="30"/>
        <v>15.256370033768851</v>
      </c>
      <c r="M70">
        <f t="shared" si="31"/>
        <v>10.117752303165561</v>
      </c>
      <c r="N70">
        <f t="shared" ref="N70:N133" si="40">ABS(M70-M69)</f>
        <v>4.1724874172748514</v>
      </c>
      <c r="P70">
        <v>33.216299999999997</v>
      </c>
      <c r="Q70">
        <v>0.49902949740469899</v>
      </c>
      <c r="R70">
        <f t="shared" si="24"/>
        <v>16.5759134946437</v>
      </c>
      <c r="S70">
        <f t="shared" si="32"/>
        <v>4.1194453909161322</v>
      </c>
      <c r="T70">
        <f t="shared" si="33"/>
        <v>1.0191723396871577</v>
      </c>
      <c r="U70">
        <f t="shared" ref="U70:U133" si="41">ABS(T70-T69)</f>
        <v>0.71698489569609336</v>
      </c>
      <c r="W70">
        <v>31.652090000000001</v>
      </c>
      <c r="X70">
        <v>1.4990685681497517E-2</v>
      </c>
      <c r="Y70">
        <f t="shared" si="25"/>
        <v>0.47448653235247074</v>
      </c>
      <c r="Z70">
        <f t="shared" si="34"/>
        <v>-2.9417293261902233</v>
      </c>
      <c r="AA70">
        <f t="shared" si="35"/>
        <v>8.0803470567935136</v>
      </c>
      <c r="AB70">
        <f t="shared" ref="AB70:AB133" si="42">ABS(AA70-AA69)</f>
        <v>1.7495585468830681</v>
      </c>
      <c r="AD70">
        <v>36.360889999999998</v>
      </c>
      <c r="AE70">
        <v>0.30638846179935647</v>
      </c>
      <c r="AF70">
        <f t="shared" si="26"/>
        <v>11.140557156755602</v>
      </c>
      <c r="AG70">
        <f t="shared" si="36"/>
        <v>3.2595246486322837</v>
      </c>
      <c r="AH70">
        <f t="shared" si="37"/>
        <v>1.8790930819710061</v>
      </c>
      <c r="AI70">
        <f t="shared" ref="AI70:AI133" si="43">ABS(AH70-AH69)</f>
        <v>0.13017382535212096</v>
      </c>
      <c r="AL70">
        <f t="shared" si="27"/>
        <v>37.84357260375883</v>
      </c>
      <c r="AM70">
        <f t="shared" si="38"/>
        <v>5.1386177306032899</v>
      </c>
    </row>
    <row r="71" spans="1:39" x14ac:dyDescent="0.35">
      <c r="A71" s="2">
        <v>38596</v>
      </c>
      <c r="B71">
        <v>52.461959999999998</v>
      </c>
      <c r="C71">
        <v>7.3641067775890051E-2</v>
      </c>
      <c r="D71">
        <f t="shared" si="22"/>
        <v>3.8633547520160327</v>
      </c>
      <c r="E71">
        <f t="shared" si="28"/>
        <v>6.2751458828369522E-2</v>
      </c>
      <c r="F71">
        <f t="shared" si="29"/>
        <v>5.7916446564142854</v>
      </c>
      <c r="G71">
        <f t="shared" si="39"/>
        <v>3.0355977918135713</v>
      </c>
      <c r="I71">
        <v>54.321120000000001</v>
      </c>
      <c r="J71">
        <v>0.10595028733855695</v>
      </c>
      <c r="K71">
        <f t="shared" si="23"/>
        <v>5.7553382725522324</v>
      </c>
      <c r="L71">
        <f t="shared" si="30"/>
        <v>-0.62754097017131416</v>
      </c>
      <c r="M71">
        <f t="shared" si="31"/>
        <v>6.4819370854139695</v>
      </c>
      <c r="N71">
        <f t="shared" si="40"/>
        <v>3.6358152177515919</v>
      </c>
      <c r="P71">
        <v>35.071640000000002</v>
      </c>
      <c r="Q71">
        <v>0.49902949740469899</v>
      </c>
      <c r="R71">
        <f t="shared" si="24"/>
        <v>17.501782882358537</v>
      </c>
      <c r="S71">
        <f t="shared" si="32"/>
        <v>5.5856311509710821</v>
      </c>
      <c r="T71">
        <f t="shared" si="33"/>
        <v>0.26876496427157281</v>
      </c>
      <c r="U71">
        <f t="shared" si="41"/>
        <v>0.75040737541558489</v>
      </c>
      <c r="W71">
        <v>33.176479999999998</v>
      </c>
      <c r="X71">
        <v>1.4990685681497517E-2</v>
      </c>
      <c r="Y71">
        <f t="shared" si="25"/>
        <v>0.4973381836984887</v>
      </c>
      <c r="Z71">
        <f t="shared" si="34"/>
        <v>4.8160800755968847</v>
      </c>
      <c r="AA71">
        <f t="shared" si="35"/>
        <v>1.0383160396457702</v>
      </c>
      <c r="AB71">
        <f t="shared" si="42"/>
        <v>7.0420310171477434</v>
      </c>
      <c r="AD71">
        <v>40.606200000000001</v>
      </c>
      <c r="AE71">
        <v>0.30638846179935647</v>
      </c>
      <c r="AF71">
        <f t="shared" si="26"/>
        <v>12.441271157517029</v>
      </c>
      <c r="AG71">
        <f t="shared" si="36"/>
        <v>11.675484290951088</v>
      </c>
      <c r="AH71">
        <f t="shared" si="37"/>
        <v>5.8210881757084332</v>
      </c>
      <c r="AI71">
        <f t="shared" si="43"/>
        <v>3.9419950937374271</v>
      </c>
      <c r="AL71">
        <f t="shared" si="27"/>
        <v>40.059085248142324</v>
      </c>
      <c r="AM71">
        <f t="shared" si="38"/>
        <v>5.8543961152426549</v>
      </c>
    </row>
    <row r="72" spans="1:39" x14ac:dyDescent="0.35">
      <c r="A72" s="2">
        <v>38626</v>
      </c>
      <c r="B72">
        <v>52.979129999999998</v>
      </c>
      <c r="C72">
        <v>7.3641067775890051E-2</v>
      </c>
      <c r="D72">
        <f t="shared" si="22"/>
        <v>3.9014397030376897</v>
      </c>
      <c r="E72">
        <f t="shared" si="28"/>
        <v>0.98579999679768715</v>
      </c>
      <c r="F72">
        <f t="shared" si="29"/>
        <v>0.91744133911499937</v>
      </c>
      <c r="G72">
        <f t="shared" si="39"/>
        <v>4.874203317299286</v>
      </c>
      <c r="I72">
        <v>55.41666</v>
      </c>
      <c r="J72">
        <v>0.10595028733855695</v>
      </c>
      <c r="K72">
        <f t="shared" si="23"/>
        <v>5.8714110503431156</v>
      </c>
      <c r="L72">
        <f t="shared" si="30"/>
        <v>2.0167846318338123</v>
      </c>
      <c r="M72">
        <f t="shared" si="31"/>
        <v>1.9484259741511245</v>
      </c>
      <c r="N72">
        <f t="shared" si="40"/>
        <v>4.533511111262845</v>
      </c>
      <c r="P72">
        <v>34.997439999999997</v>
      </c>
      <c r="Q72">
        <v>0.49902949740469899</v>
      </c>
      <c r="R72">
        <f t="shared" si="24"/>
        <v>17.464754893651108</v>
      </c>
      <c r="S72">
        <f t="shared" si="32"/>
        <v>-0.21156695267174896</v>
      </c>
      <c r="T72">
        <f t="shared" si="33"/>
        <v>0.27992561035443675</v>
      </c>
      <c r="U72">
        <f t="shared" si="41"/>
        <v>1.1160646082863934E-2</v>
      </c>
      <c r="W72">
        <v>34.283119999999997</v>
      </c>
      <c r="X72">
        <v>1.4990685681497517E-2</v>
      </c>
      <c r="Y72">
        <f t="shared" si="25"/>
        <v>0.51392747610106104</v>
      </c>
      <c r="Z72">
        <f t="shared" si="34"/>
        <v>3.3356160750025232</v>
      </c>
      <c r="AA72">
        <f t="shared" si="35"/>
        <v>3.2672574173198354</v>
      </c>
      <c r="AB72">
        <f t="shared" si="42"/>
        <v>2.2289413776740652</v>
      </c>
      <c r="AD72">
        <v>40.259140000000002</v>
      </c>
      <c r="AE72">
        <v>0.30638846179935647</v>
      </c>
      <c r="AF72">
        <f t="shared" si="26"/>
        <v>12.334935977964944</v>
      </c>
      <c r="AG72">
        <f t="shared" si="36"/>
        <v>-0.85469706596529305</v>
      </c>
      <c r="AH72">
        <f t="shared" si="37"/>
        <v>0.92305572364798083</v>
      </c>
      <c r="AI72">
        <f t="shared" si="43"/>
        <v>4.8980324520604519</v>
      </c>
      <c r="AL72">
        <f t="shared" si="27"/>
        <v>40.086469101097919</v>
      </c>
      <c r="AM72">
        <f t="shared" si="38"/>
        <v>6.8358657682687785E-2</v>
      </c>
    </row>
    <row r="73" spans="1:39" x14ac:dyDescent="0.35">
      <c r="A73" s="2">
        <v>38657</v>
      </c>
      <c r="B73">
        <v>50.625369999999997</v>
      </c>
      <c r="C73">
        <v>7.3641067775890051E-2</v>
      </c>
      <c r="D73">
        <f t="shared" si="22"/>
        <v>3.7281063033495108</v>
      </c>
      <c r="E73">
        <f t="shared" si="28"/>
        <v>-4.4428060634442268</v>
      </c>
      <c r="F73">
        <f t="shared" si="29"/>
        <v>11.451696232174546</v>
      </c>
      <c r="G73">
        <f t="shared" si="39"/>
        <v>10.534254893059547</v>
      </c>
      <c r="I73">
        <v>63.954830000000001</v>
      </c>
      <c r="J73">
        <v>0.10595028733855695</v>
      </c>
      <c r="K73">
        <f t="shared" si="23"/>
        <v>6.7760326151885621</v>
      </c>
      <c r="L73">
        <f t="shared" si="30"/>
        <v>15.407225913651246</v>
      </c>
      <c r="M73">
        <f t="shared" si="31"/>
        <v>8.3983357449209262</v>
      </c>
      <c r="N73">
        <f t="shared" si="40"/>
        <v>6.4499097707698017</v>
      </c>
      <c r="P73">
        <v>37.258609999999997</v>
      </c>
      <c r="Q73">
        <v>0.49902949740469899</v>
      </c>
      <c r="R73">
        <f t="shared" si="24"/>
        <v>18.593145422297692</v>
      </c>
      <c r="S73">
        <f t="shared" si="32"/>
        <v>6.4609582872347193</v>
      </c>
      <c r="T73">
        <f t="shared" si="33"/>
        <v>0.54793188149560024</v>
      </c>
      <c r="U73">
        <f t="shared" si="41"/>
        <v>0.26800627114116349</v>
      </c>
      <c r="W73">
        <v>34.671990000000001</v>
      </c>
      <c r="X73">
        <v>1.4990685681497517E-2</v>
      </c>
      <c r="Y73">
        <f t="shared" si="25"/>
        <v>0.51975690404202513</v>
      </c>
      <c r="Z73">
        <f t="shared" si="34"/>
        <v>1.1342899946096052</v>
      </c>
      <c r="AA73">
        <f t="shared" si="35"/>
        <v>5.8746001741207143</v>
      </c>
      <c r="AB73">
        <f t="shared" si="42"/>
        <v>2.6073427568008789</v>
      </c>
      <c r="AD73">
        <v>43.34055</v>
      </c>
      <c r="AE73">
        <v>0.30638846179935647</v>
      </c>
      <c r="AF73">
        <f t="shared" si="26"/>
        <v>13.2790444480381</v>
      </c>
      <c r="AG73">
        <f t="shared" si="36"/>
        <v>7.6539389564705074</v>
      </c>
      <c r="AH73">
        <f t="shared" si="37"/>
        <v>0.64504878774018781</v>
      </c>
      <c r="AI73">
        <f t="shared" si="43"/>
        <v>0.27800693590779302</v>
      </c>
      <c r="AL73">
        <f t="shared" si="27"/>
        <v>42.896085692915889</v>
      </c>
      <c r="AM73">
        <f t="shared" si="38"/>
        <v>7.0088901687303196</v>
      </c>
    </row>
    <row r="74" spans="1:39" x14ac:dyDescent="0.35">
      <c r="A74" s="2">
        <v>38687</v>
      </c>
      <c r="B74">
        <v>49.21358</v>
      </c>
      <c r="C74">
        <v>7.3641067775890051E-2</v>
      </c>
      <c r="D74">
        <f t="shared" si="22"/>
        <v>3.6241405802741871</v>
      </c>
      <c r="E74">
        <f t="shared" si="28"/>
        <v>-2.7887006060400066</v>
      </c>
      <c r="F74">
        <f t="shared" si="29"/>
        <v>10.670768206277559</v>
      </c>
      <c r="G74">
        <f t="shared" si="39"/>
        <v>0.78092802589698707</v>
      </c>
      <c r="I74">
        <v>70.513750000000002</v>
      </c>
      <c r="J74">
        <v>0.10595028733855695</v>
      </c>
      <c r="K74">
        <f t="shared" si="23"/>
        <v>7.4709520738191699</v>
      </c>
      <c r="L74">
        <f t="shared" si="30"/>
        <v>10.255550675375114</v>
      </c>
      <c r="M74">
        <f t="shared" si="31"/>
        <v>2.3734830751375613</v>
      </c>
      <c r="N74">
        <f t="shared" si="40"/>
        <v>6.0248526697833649</v>
      </c>
      <c r="P74">
        <v>40.148989999999998</v>
      </c>
      <c r="Q74">
        <v>0.49902949740469899</v>
      </c>
      <c r="R74">
        <f t="shared" si="24"/>
        <v>20.035530301006283</v>
      </c>
      <c r="S74">
        <f t="shared" si="32"/>
        <v>7.7576162932540882</v>
      </c>
      <c r="T74">
        <f t="shared" si="33"/>
        <v>0.12445130698346407</v>
      </c>
      <c r="U74">
        <f t="shared" si="41"/>
        <v>0.42348057451213617</v>
      </c>
      <c r="W74">
        <v>35.302309999999999</v>
      </c>
      <c r="X74">
        <v>1.4990685681497517E-2</v>
      </c>
      <c r="Y74">
        <f t="shared" si="25"/>
        <v>0.52920583304078661</v>
      </c>
      <c r="Z74">
        <f t="shared" si="34"/>
        <v>1.817951608777002</v>
      </c>
      <c r="AA74">
        <f t="shared" si="35"/>
        <v>6.0641159914605502</v>
      </c>
      <c r="AB74">
        <f t="shared" si="42"/>
        <v>0.18951581733983591</v>
      </c>
      <c r="AD74">
        <v>47.708570000000002</v>
      </c>
      <c r="AE74">
        <v>0.30638846179935647</v>
      </c>
      <c r="AF74">
        <f t="shared" si="26"/>
        <v>14.617355376946925</v>
      </c>
      <c r="AG74">
        <f t="shared" si="36"/>
        <v>10.078367717991576</v>
      </c>
      <c r="AH74">
        <f t="shared" si="37"/>
        <v>2.1963001177540233</v>
      </c>
      <c r="AI74">
        <f t="shared" si="43"/>
        <v>1.5512513300138355</v>
      </c>
      <c r="AL74">
        <f t="shared" si="27"/>
        <v>46.277184165087348</v>
      </c>
      <c r="AM74">
        <f t="shared" si="38"/>
        <v>7.8820676002375523</v>
      </c>
    </row>
    <row r="75" spans="1:39" x14ac:dyDescent="0.35">
      <c r="A75" s="2">
        <v>38718</v>
      </c>
      <c r="B75">
        <v>49.777810000000002</v>
      </c>
      <c r="C75">
        <v>7.3819508318003033E-2</v>
      </c>
      <c r="D75">
        <f t="shared" si="22"/>
        <v>3.6745734593469748</v>
      </c>
      <c r="E75">
        <f t="shared" si="28"/>
        <v>1.1464924925193465</v>
      </c>
      <c r="F75">
        <f t="shared" si="29"/>
        <v>8.0561563498900988</v>
      </c>
      <c r="G75">
        <f t="shared" si="39"/>
        <v>2.6146118563874605</v>
      </c>
      <c r="I75">
        <v>81.466920000000002</v>
      </c>
      <c r="J75">
        <v>0.10687488203333471</v>
      </c>
      <c r="K75">
        <f t="shared" si="23"/>
        <v>8.7067674646191175</v>
      </c>
      <c r="L75">
        <f t="shared" si="30"/>
        <v>15.533381787240085</v>
      </c>
      <c r="M75">
        <f t="shared" si="31"/>
        <v>6.3307329448306398</v>
      </c>
      <c r="N75">
        <f t="shared" si="40"/>
        <v>3.9572498696930785</v>
      </c>
      <c r="P75">
        <v>42.666670000000003</v>
      </c>
      <c r="Q75">
        <v>0.4943661332164499</v>
      </c>
      <c r="R75">
        <f t="shared" si="24"/>
        <v>21.092956665122308</v>
      </c>
      <c r="S75">
        <f t="shared" si="32"/>
        <v>6.2708426787324134</v>
      </c>
      <c r="T75">
        <f t="shared" si="33"/>
        <v>2.9318061636770318</v>
      </c>
      <c r="U75">
        <f t="shared" si="41"/>
        <v>2.8073548566935678</v>
      </c>
      <c r="W75">
        <v>34.06073</v>
      </c>
      <c r="X75">
        <v>1.5207915533821222E-2</v>
      </c>
      <c r="Y75">
        <f t="shared" si="25"/>
        <v>0.51799270486029048</v>
      </c>
      <c r="Z75">
        <f t="shared" si="34"/>
        <v>-3.5169936471579288</v>
      </c>
      <c r="AA75">
        <f t="shared" si="35"/>
        <v>12.719642489567374</v>
      </c>
      <c r="AB75">
        <f t="shared" si="42"/>
        <v>6.6555264981068234</v>
      </c>
      <c r="AD75">
        <v>53.412770000000002</v>
      </c>
      <c r="AE75">
        <v>0.30973156089839116</v>
      </c>
      <c r="AF75">
        <f t="shared" si="26"/>
        <v>16.54362062400676</v>
      </c>
      <c r="AG75">
        <f t="shared" si="36"/>
        <v>11.956342434912637</v>
      </c>
      <c r="AH75">
        <f t="shared" si="37"/>
        <v>2.7536935925031916</v>
      </c>
      <c r="AI75">
        <f t="shared" si="43"/>
        <v>0.55739347474916823</v>
      </c>
      <c r="AL75">
        <f t="shared" si="27"/>
        <v>50.535910917955448</v>
      </c>
      <c r="AM75">
        <f t="shared" si="38"/>
        <v>9.2026488424094453</v>
      </c>
    </row>
    <row r="76" spans="1:39" x14ac:dyDescent="0.35">
      <c r="A76" s="2">
        <v>38749</v>
      </c>
      <c r="B76">
        <v>50.802590000000002</v>
      </c>
      <c r="C76">
        <v>7.3819508318003033E-2</v>
      </c>
      <c r="D76">
        <f t="shared" si="22"/>
        <v>3.7502222150810978</v>
      </c>
      <c r="E76">
        <f t="shared" si="28"/>
        <v>2.0587084887824458</v>
      </c>
      <c r="F76">
        <f t="shared" si="29"/>
        <v>0.12833523297086646</v>
      </c>
      <c r="G76">
        <f t="shared" si="39"/>
        <v>7.9278211169192323</v>
      </c>
      <c r="I76">
        <v>84.018550000000005</v>
      </c>
      <c r="J76">
        <v>0.10687488203333471</v>
      </c>
      <c r="K76">
        <f t="shared" si="23"/>
        <v>8.9794726198618342</v>
      </c>
      <c r="L76">
        <f t="shared" si="30"/>
        <v>3.1321056448433415</v>
      </c>
      <c r="M76">
        <f t="shared" si="31"/>
        <v>0.94506192309002923</v>
      </c>
      <c r="N76">
        <f t="shared" si="40"/>
        <v>5.3856710217406105</v>
      </c>
      <c r="P76">
        <v>42.42557</v>
      </c>
      <c r="Q76">
        <v>0.4943661332164499</v>
      </c>
      <c r="R76">
        <f t="shared" si="24"/>
        <v>20.973764990403822</v>
      </c>
      <c r="S76">
        <f t="shared" si="32"/>
        <v>-0.56507808085328737</v>
      </c>
      <c r="T76">
        <f t="shared" si="33"/>
        <v>2.7521218026065997</v>
      </c>
      <c r="U76">
        <f t="shared" si="41"/>
        <v>0.17968436107043217</v>
      </c>
      <c r="W76">
        <v>34.261839999999999</v>
      </c>
      <c r="X76">
        <v>1.5207915533821222E-2</v>
      </c>
      <c r="Y76">
        <f t="shared" si="25"/>
        <v>0.52105116875329727</v>
      </c>
      <c r="Z76">
        <f t="shared" si="34"/>
        <v>0.59044536039010165</v>
      </c>
      <c r="AA76">
        <f t="shared" si="35"/>
        <v>1.5965983613632106</v>
      </c>
      <c r="AB76">
        <f t="shared" si="42"/>
        <v>11.123044128204164</v>
      </c>
      <c r="AD76">
        <v>56.231409999999997</v>
      </c>
      <c r="AE76">
        <v>0.30973156089839116</v>
      </c>
      <c r="AF76">
        <f t="shared" si="26"/>
        <v>17.416642390817401</v>
      </c>
      <c r="AG76">
        <f t="shared" si="36"/>
        <v>5.277090104108062</v>
      </c>
      <c r="AH76">
        <f t="shared" si="37"/>
        <v>3.0900463823547497</v>
      </c>
      <c r="AI76">
        <f t="shared" si="43"/>
        <v>0.33635278985155814</v>
      </c>
      <c r="AL76">
        <f t="shared" si="27"/>
        <v>51.641153384917445</v>
      </c>
      <c r="AM76">
        <f t="shared" si="38"/>
        <v>2.1870437217533123</v>
      </c>
    </row>
    <row r="77" spans="1:39" x14ac:dyDescent="0.35">
      <c r="A77" s="2">
        <v>38777</v>
      </c>
      <c r="B77">
        <v>52.170290000000001</v>
      </c>
      <c r="C77">
        <v>7.3819508318003033E-2</v>
      </c>
      <c r="D77">
        <f t="shared" si="22"/>
        <v>3.8511851566076305</v>
      </c>
      <c r="E77">
        <f t="shared" si="28"/>
        <v>2.6921855755779323</v>
      </c>
      <c r="F77">
        <f t="shared" si="29"/>
        <v>2.1709683721955475</v>
      </c>
      <c r="G77">
        <f t="shared" si="39"/>
        <v>2.042633139224681</v>
      </c>
      <c r="I77">
        <v>85.930269999999993</v>
      </c>
      <c r="J77">
        <v>0.10687488203333471</v>
      </c>
      <c r="K77">
        <f t="shared" si="23"/>
        <v>9.1837874693426009</v>
      </c>
      <c r="L77">
        <f t="shared" si="30"/>
        <v>2.2753546687011239</v>
      </c>
      <c r="M77">
        <f t="shared" si="31"/>
        <v>1.7541374653187392</v>
      </c>
      <c r="N77">
        <f t="shared" si="40"/>
        <v>0.80907554222870992</v>
      </c>
      <c r="P77">
        <v>43.415019999999998</v>
      </c>
      <c r="Q77">
        <v>0.4943661332164499</v>
      </c>
      <c r="R77">
        <f t="shared" si="24"/>
        <v>21.462915560914837</v>
      </c>
      <c r="S77">
        <f t="shared" si="32"/>
        <v>2.3322020187353854</v>
      </c>
      <c r="T77">
        <f t="shared" si="33"/>
        <v>1.8109848153530006</v>
      </c>
      <c r="U77">
        <f t="shared" si="41"/>
        <v>0.94113698725359907</v>
      </c>
      <c r="W77">
        <v>34.91348</v>
      </c>
      <c r="X77">
        <v>1.5207915533821222E-2</v>
      </c>
      <c r="Y77">
        <f t="shared" si="25"/>
        <v>0.5309612548317566</v>
      </c>
      <c r="Z77">
        <f t="shared" si="34"/>
        <v>1.9019410516189383</v>
      </c>
      <c r="AA77">
        <f t="shared" si="35"/>
        <v>1.3807238482365536</v>
      </c>
      <c r="AB77">
        <f t="shared" si="42"/>
        <v>0.21587451312665706</v>
      </c>
      <c r="AD77">
        <v>54.503540000000001</v>
      </c>
      <c r="AE77">
        <v>0.30973156089839116</v>
      </c>
      <c r="AF77">
        <f t="shared" si="26"/>
        <v>16.881466518687898</v>
      </c>
      <c r="AG77">
        <f t="shared" si="36"/>
        <v>-3.0727844099943336</v>
      </c>
      <c r="AH77">
        <f t="shared" si="37"/>
        <v>3.5940016133767183</v>
      </c>
      <c r="AI77">
        <f t="shared" si="43"/>
        <v>0.5039552310219686</v>
      </c>
      <c r="AL77">
        <f t="shared" si="27"/>
        <v>51.910315960384722</v>
      </c>
      <c r="AM77">
        <f t="shared" si="38"/>
        <v>0.52121720338238475</v>
      </c>
    </row>
    <row r="78" spans="1:39" x14ac:dyDescent="0.35">
      <c r="A78" s="2">
        <v>38808</v>
      </c>
      <c r="B78">
        <v>52.728259999999999</v>
      </c>
      <c r="C78">
        <v>7.3819508318003033E-2</v>
      </c>
      <c r="D78">
        <f t="shared" si="22"/>
        <v>3.8923742276638267</v>
      </c>
      <c r="E78">
        <f t="shared" si="28"/>
        <v>1.0695167690269569</v>
      </c>
      <c r="F78">
        <f t="shared" si="29"/>
        <v>0.86843471054320887</v>
      </c>
      <c r="G78">
        <f t="shared" si="39"/>
        <v>1.3025336616523386</v>
      </c>
      <c r="I78">
        <v>87.222309999999993</v>
      </c>
      <c r="J78">
        <v>0.10687488203333471</v>
      </c>
      <c r="K78">
        <f t="shared" si="23"/>
        <v>9.3218740919249505</v>
      </c>
      <c r="L78">
        <f t="shared" si="30"/>
        <v>1.5035912257694628</v>
      </c>
      <c r="M78">
        <f t="shared" si="31"/>
        <v>0.43436025380070298</v>
      </c>
      <c r="N78">
        <f t="shared" si="40"/>
        <v>1.3197772115180362</v>
      </c>
      <c r="P78">
        <v>45.262099999999997</v>
      </c>
      <c r="Q78">
        <v>0.4943661332164499</v>
      </c>
      <c r="R78">
        <f t="shared" si="24"/>
        <v>22.376049358256275</v>
      </c>
      <c r="S78">
        <f t="shared" si="32"/>
        <v>4.2544723001394447</v>
      </c>
      <c r="T78">
        <f t="shared" si="33"/>
        <v>2.3165208205692789</v>
      </c>
      <c r="U78">
        <f t="shared" si="41"/>
        <v>0.50553600521627828</v>
      </c>
      <c r="W78">
        <v>37.082459999999998</v>
      </c>
      <c r="X78">
        <v>1.5207915533821222E-2</v>
      </c>
      <c r="Y78">
        <f t="shared" si="25"/>
        <v>0.56394691946630404</v>
      </c>
      <c r="Z78">
        <f t="shared" si="34"/>
        <v>6.2124428730679249</v>
      </c>
      <c r="AA78">
        <f t="shared" si="35"/>
        <v>4.2744913934977591</v>
      </c>
      <c r="AB78">
        <f t="shared" si="42"/>
        <v>2.8937675452612055</v>
      </c>
      <c r="AD78">
        <v>54.118049999999997</v>
      </c>
      <c r="AE78">
        <v>0.30973156089839116</v>
      </c>
      <c r="AF78">
        <f t="shared" si="26"/>
        <v>16.762068099277176</v>
      </c>
      <c r="AG78">
        <f t="shared" si="36"/>
        <v>-0.70727516047581762</v>
      </c>
      <c r="AH78">
        <f t="shared" si="37"/>
        <v>2.6452266400459834</v>
      </c>
      <c r="AI78">
        <f t="shared" si="43"/>
        <v>0.94877497333073491</v>
      </c>
      <c r="AL78">
        <f t="shared" si="27"/>
        <v>52.916312696588541</v>
      </c>
      <c r="AM78">
        <f t="shared" si="38"/>
        <v>1.9379514795701658</v>
      </c>
    </row>
    <row r="79" spans="1:39" x14ac:dyDescent="0.35">
      <c r="A79" s="2">
        <v>38838</v>
      </c>
      <c r="B79">
        <v>53.4955</v>
      </c>
      <c r="C79">
        <v>7.3819508318003033E-2</v>
      </c>
      <c r="D79">
        <f t="shared" si="22"/>
        <v>3.9490115072257312</v>
      </c>
      <c r="E79">
        <f t="shared" si="28"/>
        <v>1.4550830996509223</v>
      </c>
      <c r="F79">
        <f t="shared" si="29"/>
        <v>4.322531895809667</v>
      </c>
      <c r="G79">
        <f t="shared" si="39"/>
        <v>3.4540971852664581</v>
      </c>
      <c r="I79">
        <v>76.666659999999993</v>
      </c>
      <c r="J79">
        <v>0.10687488203333471</v>
      </c>
      <c r="K79">
        <f t="shared" si="23"/>
        <v>8.1937402433897812</v>
      </c>
      <c r="L79">
        <f t="shared" si="30"/>
        <v>-12.102006929190479</v>
      </c>
      <c r="M79">
        <f t="shared" si="31"/>
        <v>9.234558133031733</v>
      </c>
      <c r="N79">
        <f t="shared" si="40"/>
        <v>8.80019787923103</v>
      </c>
      <c r="P79">
        <v>46.42747</v>
      </c>
      <c r="Q79">
        <v>0.4943661332164499</v>
      </c>
      <c r="R79">
        <f t="shared" si="24"/>
        <v>22.952168818922733</v>
      </c>
      <c r="S79">
        <f t="shared" si="32"/>
        <v>2.5747148276372478</v>
      </c>
      <c r="T79">
        <f t="shared" si="33"/>
        <v>5.4421636237959925</v>
      </c>
      <c r="U79">
        <f t="shared" si="41"/>
        <v>3.1256428032267136</v>
      </c>
      <c r="W79">
        <v>39.17821</v>
      </c>
      <c r="X79">
        <v>1.5207915533821222E-2</v>
      </c>
      <c r="Y79">
        <f t="shared" si="25"/>
        <v>0.59581890844630991</v>
      </c>
      <c r="Z79">
        <f t="shared" si="34"/>
        <v>5.6515937723657039</v>
      </c>
      <c r="AA79">
        <f t="shared" si="35"/>
        <v>8.5190425685244477</v>
      </c>
      <c r="AB79">
        <f t="shared" si="42"/>
        <v>4.2445511750266887</v>
      </c>
      <c r="AD79">
        <v>50.715609999999998</v>
      </c>
      <c r="AE79">
        <v>0.30973156089839116</v>
      </c>
      <c r="AF79">
        <f t="shared" si="26"/>
        <v>15.708225047214055</v>
      </c>
      <c r="AG79">
        <f t="shared" si="36"/>
        <v>-6.2870705799636166</v>
      </c>
      <c r="AH79">
        <f t="shared" si="37"/>
        <v>3.4196217838048719</v>
      </c>
      <c r="AI79">
        <f t="shared" si="43"/>
        <v>0.77439514375888852</v>
      </c>
      <c r="AL79">
        <f t="shared" si="27"/>
        <v>51.398964525198615</v>
      </c>
      <c r="AM79">
        <f t="shared" si="38"/>
        <v>-2.8674487961587447</v>
      </c>
    </row>
    <row r="80" spans="1:39" x14ac:dyDescent="0.35">
      <c r="A80" s="2">
        <v>38869</v>
      </c>
      <c r="B80">
        <v>51.507800000000003</v>
      </c>
      <c r="C80">
        <v>7.3819508318003033E-2</v>
      </c>
      <c r="D80">
        <f t="shared" si="22"/>
        <v>3.802280470542037</v>
      </c>
      <c r="E80">
        <f t="shared" si="28"/>
        <v>-3.7156396332401753</v>
      </c>
      <c r="F80">
        <f t="shared" si="29"/>
        <v>9.5511682229771147</v>
      </c>
      <c r="G80">
        <f t="shared" si="39"/>
        <v>5.2286363271674476</v>
      </c>
      <c r="I80">
        <v>59.358429999999998</v>
      </c>
      <c r="J80">
        <v>0.10687488203333471</v>
      </c>
      <c r="K80">
        <f t="shared" si="23"/>
        <v>6.3439252039339564</v>
      </c>
      <c r="L80">
        <f t="shared" si="30"/>
        <v>-22.575954137039489</v>
      </c>
      <c r="M80">
        <f t="shared" si="31"/>
        <v>9.3091462808221994</v>
      </c>
      <c r="N80">
        <f t="shared" si="40"/>
        <v>7.4588147790466408E-2</v>
      </c>
      <c r="P80">
        <v>41.427750000000003</v>
      </c>
      <c r="Q80">
        <v>0.4943661332164499</v>
      </c>
      <c r="R80">
        <f t="shared" si="24"/>
        <v>20.480476575357784</v>
      </c>
      <c r="S80">
        <f t="shared" si="32"/>
        <v>-10.76888316335134</v>
      </c>
      <c r="T80">
        <f t="shared" si="33"/>
        <v>2.4979246928659489</v>
      </c>
      <c r="U80">
        <f t="shared" si="41"/>
        <v>2.9442389309300436</v>
      </c>
      <c r="W80">
        <v>39.805489999999999</v>
      </c>
      <c r="X80">
        <v>1.5207915533821222E-2</v>
      </c>
      <c r="Y80">
        <f t="shared" si="25"/>
        <v>0.60535852970236526</v>
      </c>
      <c r="Z80">
        <f t="shared" si="34"/>
        <v>1.6010940775497362</v>
      </c>
      <c r="AA80">
        <f t="shared" si="35"/>
        <v>14.867901933767026</v>
      </c>
      <c r="AB80">
        <f t="shared" si="42"/>
        <v>6.3488593652425784</v>
      </c>
      <c r="AD80">
        <v>43.095129999999997</v>
      </c>
      <c r="AE80">
        <v>0.30973156089839116</v>
      </c>
      <c r="AF80">
        <f t="shared" si="26"/>
        <v>13.347921882019083</v>
      </c>
      <c r="AG80">
        <f t="shared" si="36"/>
        <v>-15.025906224927589</v>
      </c>
      <c r="AH80">
        <f t="shared" si="37"/>
        <v>1.7590983687102995</v>
      </c>
      <c r="AI80">
        <f t="shared" si="43"/>
        <v>1.6605234150945725</v>
      </c>
      <c r="AL80">
        <f t="shared" si="27"/>
        <v>44.579962661555228</v>
      </c>
      <c r="AM80">
        <f t="shared" si="38"/>
        <v>-13.266807856217289</v>
      </c>
    </row>
    <row r="81" spans="1:39" x14ac:dyDescent="0.35">
      <c r="A81" s="2">
        <v>38899</v>
      </c>
      <c r="B81">
        <v>52.155859999999997</v>
      </c>
      <c r="C81">
        <v>7.3819508318003033E-2</v>
      </c>
      <c r="D81">
        <f t="shared" si="22"/>
        <v>3.8501199411026015</v>
      </c>
      <c r="E81">
        <f t="shared" si="28"/>
        <v>1.2581783729842755</v>
      </c>
      <c r="F81">
        <f t="shared" si="29"/>
        <v>4.2811813484817218</v>
      </c>
      <c r="G81">
        <f t="shared" si="39"/>
        <v>5.2699868744953928</v>
      </c>
      <c r="I81">
        <v>64.867649999999998</v>
      </c>
      <c r="J81">
        <v>0.10687488203333471</v>
      </c>
      <c r="K81">
        <f t="shared" si="23"/>
        <v>6.932722441529644</v>
      </c>
      <c r="L81">
        <f t="shared" si="30"/>
        <v>9.2812764758097632</v>
      </c>
      <c r="M81">
        <f t="shared" si="31"/>
        <v>3.7419167543437659</v>
      </c>
      <c r="N81">
        <f t="shared" si="40"/>
        <v>5.5672295264784335</v>
      </c>
      <c r="P81">
        <v>44.715040000000002</v>
      </c>
      <c r="Q81">
        <v>0.4943661332164499</v>
      </c>
      <c r="R81">
        <f t="shared" si="24"/>
        <v>22.105601421418886</v>
      </c>
      <c r="S81">
        <f t="shared" si="32"/>
        <v>7.9349952628370968</v>
      </c>
      <c r="T81">
        <f t="shared" si="33"/>
        <v>2.3956355413710995</v>
      </c>
      <c r="U81">
        <f t="shared" si="41"/>
        <v>0.10228915149484941</v>
      </c>
      <c r="W81">
        <v>40.057130000000001</v>
      </c>
      <c r="X81">
        <v>1.5207915533821222E-2</v>
      </c>
      <c r="Y81">
        <f t="shared" si="25"/>
        <v>0.60918544956729614</v>
      </c>
      <c r="Z81">
        <f t="shared" si="34"/>
        <v>0.63217410462728107</v>
      </c>
      <c r="AA81">
        <f t="shared" si="35"/>
        <v>4.9071856168387162</v>
      </c>
      <c r="AB81">
        <f t="shared" si="42"/>
        <v>9.9607163169283091</v>
      </c>
      <c r="AD81">
        <v>43.753300000000003</v>
      </c>
      <c r="AE81">
        <v>0.30973156089839116</v>
      </c>
      <c r="AF81">
        <f t="shared" si="26"/>
        <v>13.551777903455578</v>
      </c>
      <c r="AG81">
        <f t="shared" si="36"/>
        <v>1.527249134647013</v>
      </c>
      <c r="AH81">
        <f t="shared" si="37"/>
        <v>4.0121105868189844</v>
      </c>
      <c r="AI81">
        <f t="shared" si="43"/>
        <v>2.2530122181086849</v>
      </c>
      <c r="AL81">
        <f t="shared" si="27"/>
        <v>47.049407157074</v>
      </c>
      <c r="AM81">
        <f t="shared" si="38"/>
        <v>5.5393597214659973</v>
      </c>
    </row>
    <row r="82" spans="1:39" x14ac:dyDescent="0.35">
      <c r="A82" s="2">
        <v>38930</v>
      </c>
      <c r="B82">
        <v>53.274880000000003</v>
      </c>
      <c r="C82">
        <v>7.3819508318003033E-2</v>
      </c>
      <c r="D82">
        <f t="shared" si="22"/>
        <v>3.9327254473006135</v>
      </c>
      <c r="E82">
        <f t="shared" si="28"/>
        <v>2.1455307227222553</v>
      </c>
      <c r="F82">
        <f t="shared" si="29"/>
        <v>3.516938878089193</v>
      </c>
      <c r="G82">
        <f t="shared" si="39"/>
        <v>0.76424247039252879</v>
      </c>
      <c r="I82">
        <v>72.37218</v>
      </c>
      <c r="J82">
        <v>0.10687488203333471</v>
      </c>
      <c r="K82">
        <f t="shared" si="23"/>
        <v>7.7347681999952655</v>
      </c>
      <c r="L82">
        <f t="shared" si="30"/>
        <v>11.568987006620413</v>
      </c>
      <c r="M82">
        <f t="shared" si="31"/>
        <v>5.9065174058089642</v>
      </c>
      <c r="N82">
        <f t="shared" si="40"/>
        <v>2.1646006514651983</v>
      </c>
      <c r="P82">
        <v>47.034970000000001</v>
      </c>
      <c r="Q82">
        <v>0.4943661332164499</v>
      </c>
      <c r="R82">
        <f t="shared" si="24"/>
        <v>23.252496244851724</v>
      </c>
      <c r="S82">
        <f t="shared" si="32"/>
        <v>5.1882543323230834</v>
      </c>
      <c r="T82">
        <f t="shared" si="33"/>
        <v>0.47421526848836493</v>
      </c>
      <c r="U82">
        <f t="shared" si="41"/>
        <v>1.9214202728827345</v>
      </c>
      <c r="W82">
        <v>40.25394</v>
      </c>
      <c r="X82">
        <v>1.5207915533821222E-2</v>
      </c>
      <c r="Y82">
        <f t="shared" si="25"/>
        <v>0.61217851942350743</v>
      </c>
      <c r="Z82">
        <f t="shared" si="34"/>
        <v>0.49132326754313116</v>
      </c>
      <c r="AA82">
        <f t="shared" si="35"/>
        <v>5.1711463332683172</v>
      </c>
      <c r="AB82">
        <f t="shared" si="42"/>
        <v>0.26396071642960095</v>
      </c>
      <c r="AD82">
        <v>45.786090000000002</v>
      </c>
      <c r="AE82">
        <v>0.30973156089839116</v>
      </c>
      <c r="AF82">
        <f t="shared" si="26"/>
        <v>14.181397123134218</v>
      </c>
      <c r="AG82">
        <f t="shared" si="36"/>
        <v>4.6460266997003563</v>
      </c>
      <c r="AH82">
        <f t="shared" si="37"/>
        <v>1.016442901111092</v>
      </c>
      <c r="AI82">
        <f t="shared" si="43"/>
        <v>2.9956676857078923</v>
      </c>
      <c r="AL82">
        <f t="shared" si="27"/>
        <v>49.713565534705324</v>
      </c>
      <c r="AM82">
        <f t="shared" si="38"/>
        <v>5.6624696008114483</v>
      </c>
    </row>
    <row r="83" spans="1:39" x14ac:dyDescent="0.35">
      <c r="A83" s="2">
        <v>38961</v>
      </c>
      <c r="B83">
        <v>55.386049999999997</v>
      </c>
      <c r="C83">
        <v>7.3819508318003033E-2</v>
      </c>
      <c r="D83">
        <f t="shared" si="22"/>
        <v>4.0885709786763318</v>
      </c>
      <c r="E83">
        <f t="shared" si="28"/>
        <v>3.9627869645130875</v>
      </c>
      <c r="F83">
        <f t="shared" si="29"/>
        <v>2.0224979841619195</v>
      </c>
      <c r="G83">
        <f t="shared" si="39"/>
        <v>1.4944408939272735</v>
      </c>
      <c r="I83">
        <v>69.761690000000002</v>
      </c>
      <c r="J83">
        <v>0.10687488203333471</v>
      </c>
      <c r="K83">
        <f t="shared" si="23"/>
        <v>7.4557723891960661</v>
      </c>
      <c r="L83">
        <f t="shared" si="30"/>
        <v>-3.6070351894885611</v>
      </c>
      <c r="M83">
        <f t="shared" si="31"/>
        <v>5.5473241698397295</v>
      </c>
      <c r="N83">
        <f t="shared" si="40"/>
        <v>0.35919323596923469</v>
      </c>
      <c r="P83">
        <v>48.753819999999997</v>
      </c>
      <c r="Q83">
        <v>0.4943661332164499</v>
      </c>
      <c r="R83">
        <f t="shared" si="24"/>
        <v>24.102237472930817</v>
      </c>
      <c r="S83">
        <f t="shared" si="32"/>
        <v>3.6544086240514195</v>
      </c>
      <c r="T83">
        <f t="shared" si="33"/>
        <v>1.7141196437002515</v>
      </c>
      <c r="U83">
        <f t="shared" si="41"/>
        <v>1.2399043752118866</v>
      </c>
      <c r="W83">
        <v>42.321829999999999</v>
      </c>
      <c r="X83">
        <v>1.5207915533821222E-2</v>
      </c>
      <c r="Y83">
        <f t="shared" si="25"/>
        <v>0.64362681587674098</v>
      </c>
      <c r="Z83">
        <f t="shared" si="34"/>
        <v>5.1371120441874751</v>
      </c>
      <c r="AA83">
        <f t="shared" si="35"/>
        <v>3.1968230638363071</v>
      </c>
      <c r="AB83">
        <f t="shared" si="42"/>
        <v>1.9743232694320101</v>
      </c>
      <c r="AD83">
        <v>46.452950000000001</v>
      </c>
      <c r="AE83">
        <v>0.30973156089839116</v>
      </c>
      <c r="AF83">
        <f t="shared" si="26"/>
        <v>14.387944711834919</v>
      </c>
      <c r="AG83">
        <f t="shared" si="36"/>
        <v>1.4564685475435768</v>
      </c>
      <c r="AH83">
        <f t="shared" si="37"/>
        <v>0.48382043280759124</v>
      </c>
      <c r="AI83">
        <f t="shared" si="43"/>
        <v>0.5326224683035008</v>
      </c>
      <c r="AL83">
        <f t="shared" si="27"/>
        <v>50.678152368514873</v>
      </c>
      <c r="AM83">
        <f t="shared" si="38"/>
        <v>1.940288980351168</v>
      </c>
    </row>
    <row r="84" spans="1:39" x14ac:dyDescent="0.35">
      <c r="A84" s="2">
        <v>38991</v>
      </c>
      <c r="B84">
        <v>58.002600000000001</v>
      </c>
      <c r="C84">
        <v>7.3819508318003033E-2</v>
      </c>
      <c r="D84">
        <f t="shared" si="22"/>
        <v>4.2817234131658024</v>
      </c>
      <c r="E84">
        <f t="shared" si="28"/>
        <v>4.7242040188820278</v>
      </c>
      <c r="F84">
        <f t="shared" si="29"/>
        <v>0.43870964928718337</v>
      </c>
      <c r="G84">
        <f t="shared" si="39"/>
        <v>1.5837883348747361</v>
      </c>
      <c r="I84">
        <v>73.701279999999997</v>
      </c>
      <c r="J84">
        <v>0.10687488203333471</v>
      </c>
      <c r="K84">
        <f t="shared" si="23"/>
        <v>7.8768156057057706</v>
      </c>
      <c r="L84">
        <f t="shared" si="30"/>
        <v>5.6472112415854481</v>
      </c>
      <c r="M84">
        <f t="shared" si="31"/>
        <v>0.48429757341623692</v>
      </c>
      <c r="N84">
        <f t="shared" si="40"/>
        <v>5.0630265964234926</v>
      </c>
      <c r="P84">
        <v>51.721939999999996</v>
      </c>
      <c r="Q84">
        <v>0.4943661332164499</v>
      </c>
      <c r="R84">
        <f t="shared" si="24"/>
        <v>25.569575480253228</v>
      </c>
      <c r="S84">
        <f t="shared" si="32"/>
        <v>6.0879742346343413</v>
      </c>
      <c r="T84">
        <f t="shared" si="33"/>
        <v>0.92506056646513013</v>
      </c>
      <c r="U84">
        <f t="shared" si="41"/>
        <v>0.78905907723512136</v>
      </c>
      <c r="W84">
        <v>48.011290000000002</v>
      </c>
      <c r="X84">
        <v>1.5207915533821222E-2</v>
      </c>
      <c r="Y84">
        <f t="shared" si="25"/>
        <v>0.73015164298979551</v>
      </c>
      <c r="Z84">
        <f t="shared" si="34"/>
        <v>13.443322275998003</v>
      </c>
      <c r="AA84">
        <f t="shared" si="35"/>
        <v>8.2804086078287931</v>
      </c>
      <c r="AB84">
        <f t="shared" si="42"/>
        <v>5.083585543992486</v>
      </c>
      <c r="AD84">
        <v>47.900689999999997</v>
      </c>
      <c r="AE84">
        <v>0.30973156089839116</v>
      </c>
      <c r="AF84">
        <f t="shared" si="26"/>
        <v>14.836355481809955</v>
      </c>
      <c r="AG84">
        <f t="shared" si="36"/>
        <v>3.1165727903179397</v>
      </c>
      <c r="AH84">
        <f t="shared" si="37"/>
        <v>2.0463408778512715</v>
      </c>
      <c r="AI84">
        <f t="shared" si="43"/>
        <v>1.5625204450436803</v>
      </c>
      <c r="AL84">
        <f t="shared" si="27"/>
        <v>53.294621623924549</v>
      </c>
      <c r="AM84">
        <f t="shared" si="38"/>
        <v>5.1629136681692112</v>
      </c>
    </row>
    <row r="85" spans="1:39" x14ac:dyDescent="0.35">
      <c r="A85" s="2">
        <v>39022</v>
      </c>
      <c r="B85">
        <v>60.513150000000003</v>
      </c>
      <c r="C85">
        <v>7.3819508318003033E-2</v>
      </c>
      <c r="D85">
        <f t="shared" si="22"/>
        <v>4.4670509797735658</v>
      </c>
      <c r="E85">
        <f t="shared" si="28"/>
        <v>4.328340453703805</v>
      </c>
      <c r="F85">
        <f t="shared" si="29"/>
        <v>8.2528377184143409E-2</v>
      </c>
      <c r="G85">
        <f t="shared" si="39"/>
        <v>0.35618127210303996</v>
      </c>
      <c r="I85">
        <v>76.848519999999994</v>
      </c>
      <c r="J85">
        <v>0.10687488203333471</v>
      </c>
      <c r="K85">
        <f t="shared" si="23"/>
        <v>8.2131765094363622</v>
      </c>
      <c r="L85">
        <f t="shared" si="30"/>
        <v>4.2702650483139371</v>
      </c>
      <c r="M85">
        <f t="shared" si="31"/>
        <v>2.4452971794275413E-2</v>
      </c>
      <c r="N85">
        <f t="shared" si="40"/>
        <v>0.4598446016219615</v>
      </c>
      <c r="P85">
        <v>55.002890000000001</v>
      </c>
      <c r="Q85">
        <v>0.4943661332164499</v>
      </c>
      <c r="R85">
        <f t="shared" si="24"/>
        <v>27.191566045029742</v>
      </c>
      <c r="S85">
        <f t="shared" si="32"/>
        <v>6.3434395538914501</v>
      </c>
      <c r="T85">
        <f t="shared" si="33"/>
        <v>2.0976274773717885</v>
      </c>
      <c r="U85">
        <f t="shared" si="41"/>
        <v>1.1725669109066583</v>
      </c>
      <c r="W85">
        <v>48.674019999999999</v>
      </c>
      <c r="X85">
        <v>1.5207915533821222E-2</v>
      </c>
      <c r="Y85">
        <f t="shared" si="25"/>
        <v>0.74023038485152481</v>
      </c>
      <c r="Z85">
        <f t="shared" si="34"/>
        <v>1.380362827160031</v>
      </c>
      <c r="AA85">
        <f t="shared" si="35"/>
        <v>2.8654492493596306</v>
      </c>
      <c r="AB85">
        <f t="shared" si="42"/>
        <v>5.4149593584691624</v>
      </c>
      <c r="AD85">
        <v>48.25271</v>
      </c>
      <c r="AE85">
        <v>0.30973156089839116</v>
      </c>
      <c r="AF85">
        <f t="shared" si="26"/>
        <v>14.945387185877408</v>
      </c>
      <c r="AG85">
        <f t="shared" si="36"/>
        <v>0.73489546810285855</v>
      </c>
      <c r="AH85">
        <f t="shared" si="37"/>
        <v>3.5109166084168031</v>
      </c>
      <c r="AI85">
        <f t="shared" si="43"/>
        <v>1.4645757305655316</v>
      </c>
      <c r="AL85">
        <f t="shared" si="27"/>
        <v>55.557411104968601</v>
      </c>
      <c r="AM85">
        <f t="shared" si="38"/>
        <v>4.2458120765196616</v>
      </c>
    </row>
    <row r="86" spans="1:39" x14ac:dyDescent="0.35">
      <c r="A86" s="2">
        <v>39052</v>
      </c>
      <c r="B86">
        <v>64.126840000000001</v>
      </c>
      <c r="C86">
        <v>7.3819508318003033E-2</v>
      </c>
      <c r="D86">
        <f t="shared" si="22"/>
        <v>4.7338117987872499</v>
      </c>
      <c r="E86">
        <f t="shared" si="28"/>
        <v>5.9717433318212665</v>
      </c>
      <c r="F86">
        <f t="shared" si="29"/>
        <v>1.4231982781579555</v>
      </c>
      <c r="G86">
        <f t="shared" si="39"/>
        <v>1.3406699009738121</v>
      </c>
      <c r="I86">
        <v>79.962490000000003</v>
      </c>
      <c r="J86">
        <v>0.10687488203333471</v>
      </c>
      <c r="K86">
        <f t="shared" si="23"/>
        <v>8.5459816858417064</v>
      </c>
      <c r="L86">
        <f t="shared" si="30"/>
        <v>4.052088446205615</v>
      </c>
      <c r="M86">
        <f t="shared" si="31"/>
        <v>0.49645660745769593</v>
      </c>
      <c r="N86">
        <f t="shared" si="40"/>
        <v>0.47200363566342052</v>
      </c>
      <c r="P86">
        <v>58.546219999999998</v>
      </c>
      <c r="Q86">
        <v>0.4943661332164499</v>
      </c>
      <c r="R86">
        <f t="shared" si="24"/>
        <v>28.943268395839581</v>
      </c>
      <c r="S86">
        <f t="shared" si="32"/>
        <v>6.4420796798131841</v>
      </c>
      <c r="T86">
        <f t="shared" si="33"/>
        <v>1.8935346261498731</v>
      </c>
      <c r="U86">
        <f t="shared" si="41"/>
        <v>0.20409285122191534</v>
      </c>
      <c r="W86">
        <v>58.162790000000001</v>
      </c>
      <c r="X86">
        <v>1.5207915533821222E-2</v>
      </c>
      <c r="Y86">
        <f t="shared" si="25"/>
        <v>0.88453479753138164</v>
      </c>
      <c r="Z86">
        <f t="shared" si="34"/>
        <v>19.494527059815493</v>
      </c>
      <c r="AA86">
        <f t="shared" si="35"/>
        <v>14.945982006152182</v>
      </c>
      <c r="AB86">
        <f t="shared" si="42"/>
        <v>12.08053275679255</v>
      </c>
      <c r="AD86">
        <v>48.354349999999997</v>
      </c>
      <c r="AE86">
        <v>0.30973156089839116</v>
      </c>
      <c r="AF86">
        <f t="shared" si="26"/>
        <v>14.976868301727119</v>
      </c>
      <c r="AG86">
        <f t="shared" si="36"/>
        <v>0.21064101891892228</v>
      </c>
      <c r="AH86">
        <f t="shared" si="37"/>
        <v>4.3379040347443887</v>
      </c>
      <c r="AI86">
        <f t="shared" si="43"/>
        <v>0.8269874263275856</v>
      </c>
      <c r="AL86">
        <f t="shared" si="27"/>
        <v>58.084464979727038</v>
      </c>
      <c r="AM86">
        <f t="shared" si="38"/>
        <v>4.548545053663311</v>
      </c>
    </row>
    <row r="87" spans="1:39" x14ac:dyDescent="0.35">
      <c r="A87" s="2">
        <v>39083</v>
      </c>
      <c r="B87">
        <v>66.952870000000004</v>
      </c>
      <c r="C87">
        <v>7.4781060012524062E-2</v>
      </c>
      <c r="D87">
        <f t="shared" si="22"/>
        <v>5.0068065894807221</v>
      </c>
      <c r="E87">
        <f t="shared" si="28"/>
        <v>4.4069378749989951</v>
      </c>
      <c r="F87">
        <f t="shared" si="29"/>
        <v>2.1128788007011678</v>
      </c>
      <c r="G87">
        <f t="shared" si="39"/>
        <v>0.68968052254321233</v>
      </c>
      <c r="I87">
        <v>79.139380000000003</v>
      </c>
      <c r="J87">
        <v>0.10988322606754003</v>
      </c>
      <c r="K87">
        <f t="shared" si="23"/>
        <v>8.6960903833849557</v>
      </c>
      <c r="L87">
        <f t="shared" si="30"/>
        <v>-1.0293701459271665</v>
      </c>
      <c r="M87">
        <f t="shared" si="31"/>
        <v>3.3234292202249938</v>
      </c>
      <c r="N87">
        <f t="shared" si="40"/>
        <v>2.8269726127672978</v>
      </c>
      <c r="P87">
        <v>60.506030000000003</v>
      </c>
      <c r="Q87">
        <v>0.48608943842976576</v>
      </c>
      <c r="R87">
        <f t="shared" si="24"/>
        <v>29.41134214431456</v>
      </c>
      <c r="S87">
        <f t="shared" si="32"/>
        <v>3.3474577863438659</v>
      </c>
      <c r="T87">
        <f t="shared" si="33"/>
        <v>1.0533987120460386</v>
      </c>
      <c r="U87">
        <f t="shared" si="41"/>
        <v>0.84013591410383448</v>
      </c>
      <c r="W87">
        <v>56.587209999999999</v>
      </c>
      <c r="X87">
        <v>1.5852347543461601E-2</v>
      </c>
      <c r="Y87">
        <f t="shared" si="25"/>
        <v>0.89704011943484574</v>
      </c>
      <c r="Z87">
        <f t="shared" si="34"/>
        <v>-2.7089140668802192</v>
      </c>
      <c r="AA87">
        <f t="shared" si="35"/>
        <v>5.002973141178046</v>
      </c>
      <c r="AB87">
        <f t="shared" si="42"/>
        <v>9.9430088649741357</v>
      </c>
      <c r="AD87">
        <v>49.157550000000001</v>
      </c>
      <c r="AE87">
        <v>0.31339392794670856</v>
      </c>
      <c r="AF87">
        <f t="shared" si="26"/>
        <v>15.405677682736723</v>
      </c>
      <c r="AG87">
        <f t="shared" si="36"/>
        <v>1.6610708240313521</v>
      </c>
      <c r="AH87">
        <f t="shared" si="37"/>
        <v>0.63298825026647521</v>
      </c>
      <c r="AI87">
        <f t="shared" si="43"/>
        <v>3.7049157844779135</v>
      </c>
      <c r="AL87">
        <f t="shared" si="27"/>
        <v>59.416956919351811</v>
      </c>
      <c r="AM87">
        <f t="shared" si="38"/>
        <v>2.2940590742978273</v>
      </c>
    </row>
    <row r="88" spans="1:39" x14ac:dyDescent="0.35">
      <c r="A88" s="2">
        <v>39114</v>
      </c>
      <c r="B88">
        <v>71.302070000000001</v>
      </c>
      <c r="C88">
        <v>7.4781060012524062E-2</v>
      </c>
      <c r="D88">
        <f t="shared" si="22"/>
        <v>5.3320443756871914</v>
      </c>
      <c r="E88">
        <f t="shared" si="28"/>
        <v>6.4959127218892965</v>
      </c>
      <c r="F88">
        <f t="shared" si="29"/>
        <v>1.0012067167947336</v>
      </c>
      <c r="G88">
        <f t="shared" si="39"/>
        <v>1.1116720839064342</v>
      </c>
      <c r="I88">
        <v>79.226939999999999</v>
      </c>
      <c r="J88">
        <v>0.10988322606754003</v>
      </c>
      <c r="K88">
        <f t="shared" si="23"/>
        <v>8.7057117586594295</v>
      </c>
      <c r="L88">
        <f t="shared" si="30"/>
        <v>0.11064024004230344</v>
      </c>
      <c r="M88">
        <f t="shared" si="31"/>
        <v>5.3840657650522594</v>
      </c>
      <c r="N88">
        <f t="shared" si="40"/>
        <v>2.0606365448272657</v>
      </c>
      <c r="P88">
        <v>64.010900000000007</v>
      </c>
      <c r="Q88">
        <v>0.48608943842976576</v>
      </c>
      <c r="R88">
        <f t="shared" si="24"/>
        <v>31.115022434383896</v>
      </c>
      <c r="S88">
        <f t="shared" si="32"/>
        <v>5.7925962090059624</v>
      </c>
      <c r="T88">
        <f t="shared" si="33"/>
        <v>0.29789020391139953</v>
      </c>
      <c r="U88">
        <f t="shared" si="41"/>
        <v>0.7555085081346391</v>
      </c>
      <c r="W88">
        <v>55.2577</v>
      </c>
      <c r="X88">
        <v>1.5852347543461601E-2</v>
      </c>
      <c r="Y88">
        <f t="shared" si="25"/>
        <v>0.87596426485233814</v>
      </c>
      <c r="Z88">
        <f t="shared" si="34"/>
        <v>-2.3494885151609357</v>
      </c>
      <c r="AA88">
        <f t="shared" si="35"/>
        <v>7.844194520255499</v>
      </c>
      <c r="AB88">
        <f t="shared" si="42"/>
        <v>2.841221379077453</v>
      </c>
      <c r="AD88">
        <v>53.137599999999999</v>
      </c>
      <c r="AE88">
        <v>0.31339392794670856</v>
      </c>
      <c r="AF88">
        <f t="shared" si="26"/>
        <v>16.653001185661022</v>
      </c>
      <c r="AG88">
        <f t="shared" si="36"/>
        <v>8.096518235754214</v>
      </c>
      <c r="AH88">
        <f t="shared" si="37"/>
        <v>2.6018122306596512</v>
      </c>
      <c r="AI88">
        <f t="shared" si="43"/>
        <v>1.968823980393176</v>
      </c>
      <c r="AL88">
        <f t="shared" si="27"/>
        <v>62.68174401924388</v>
      </c>
      <c r="AM88">
        <f t="shared" si="38"/>
        <v>5.4947060050945629</v>
      </c>
    </row>
    <row r="89" spans="1:39" x14ac:dyDescent="0.35">
      <c r="A89" s="2">
        <v>39142</v>
      </c>
      <c r="B89">
        <v>70.141559999999998</v>
      </c>
      <c r="C89">
        <v>7.4781060012524062E-2</v>
      </c>
      <c r="D89">
        <f t="shared" si="22"/>
        <v>5.2452602077320574</v>
      </c>
      <c r="E89">
        <f t="shared" si="28"/>
        <v>-1.6275965059639907</v>
      </c>
      <c r="F89">
        <f t="shared" si="29"/>
        <v>0.84655878075534652</v>
      </c>
      <c r="G89">
        <f t="shared" si="39"/>
        <v>0.15464793603938709</v>
      </c>
      <c r="I89">
        <v>76.633989999999997</v>
      </c>
      <c r="J89">
        <v>0.10988322606754003</v>
      </c>
      <c r="K89">
        <f t="shared" si="23"/>
        <v>8.4207900476276016</v>
      </c>
      <c r="L89">
        <f t="shared" si="30"/>
        <v>-3.2728135152007676</v>
      </c>
      <c r="M89">
        <f t="shared" si="31"/>
        <v>0.79865822848143031</v>
      </c>
      <c r="N89">
        <f t="shared" si="40"/>
        <v>4.5854075365708287</v>
      </c>
      <c r="P89">
        <v>62.175879999999999</v>
      </c>
      <c r="Q89">
        <v>0.48608943842976576</v>
      </c>
      <c r="R89">
        <f t="shared" si="24"/>
        <v>30.223038593076506</v>
      </c>
      <c r="S89">
        <f t="shared" si="32"/>
        <v>-2.866730509960036</v>
      </c>
      <c r="T89">
        <f t="shared" si="33"/>
        <v>0.39257522324069871</v>
      </c>
      <c r="U89">
        <f t="shared" si="41"/>
        <v>9.468501932929918E-2</v>
      </c>
      <c r="W89">
        <v>62.137869999999999</v>
      </c>
      <c r="X89">
        <v>1.5852347543461601E-2</v>
      </c>
      <c r="Y89">
        <f t="shared" si="25"/>
        <v>0.98503111085043638</v>
      </c>
      <c r="Z89">
        <f t="shared" si="34"/>
        <v>12.45106111908385</v>
      </c>
      <c r="AA89">
        <f t="shared" si="35"/>
        <v>14.925216405803187</v>
      </c>
      <c r="AB89">
        <f t="shared" si="42"/>
        <v>7.0810218855476883</v>
      </c>
      <c r="AD89">
        <v>51.873309999999996</v>
      </c>
      <c r="AE89">
        <v>0.31339392794670856</v>
      </c>
      <c r="AF89">
        <f t="shared" si="26"/>
        <v>16.256780376497275</v>
      </c>
      <c r="AG89">
        <f t="shared" si="36"/>
        <v>-2.3792756917888735</v>
      </c>
      <c r="AH89">
        <f t="shared" si="37"/>
        <v>9.4879594930463718E-2</v>
      </c>
      <c r="AI89">
        <f t="shared" si="43"/>
        <v>2.5069326357291875</v>
      </c>
      <c r="AL89">
        <f t="shared" si="27"/>
        <v>61.130900335783878</v>
      </c>
      <c r="AM89">
        <f t="shared" si="38"/>
        <v>-2.4741552867193373</v>
      </c>
    </row>
    <row r="90" spans="1:39" x14ac:dyDescent="0.35">
      <c r="A90" s="2">
        <v>39173</v>
      </c>
      <c r="B90">
        <v>73.678910000000002</v>
      </c>
      <c r="C90">
        <v>7.4781060012524062E-2</v>
      </c>
      <c r="D90">
        <f t="shared" si="22"/>
        <v>5.5097869903673597</v>
      </c>
      <c r="E90">
        <f t="shared" si="28"/>
        <v>5.0431584355979497</v>
      </c>
      <c r="F90">
        <f t="shared" si="29"/>
        <v>2.3085086631275731</v>
      </c>
      <c r="G90">
        <f t="shared" si="39"/>
        <v>1.4619498823722266</v>
      </c>
      <c r="I90">
        <v>77.969800000000006</v>
      </c>
      <c r="J90">
        <v>0.10988322606754003</v>
      </c>
      <c r="K90">
        <f t="shared" si="23"/>
        <v>8.5675731598408831</v>
      </c>
      <c r="L90">
        <f t="shared" si="30"/>
        <v>1.7431038107242003</v>
      </c>
      <c r="M90">
        <f t="shared" si="31"/>
        <v>5.6085632880013225</v>
      </c>
      <c r="N90">
        <f t="shared" si="40"/>
        <v>4.8099050595198918</v>
      </c>
      <c r="P90">
        <v>67.156779999999998</v>
      </c>
      <c r="Q90">
        <v>0.48608943842976576</v>
      </c>
      <c r="R90">
        <f t="shared" si="24"/>
        <v>32.644201476951324</v>
      </c>
      <c r="S90">
        <f t="shared" si="32"/>
        <v>8.0109843238246103</v>
      </c>
      <c r="T90">
        <f t="shared" si="33"/>
        <v>0.65931722509908752</v>
      </c>
      <c r="U90">
        <f t="shared" si="41"/>
        <v>0.26674200185838881</v>
      </c>
      <c r="W90">
        <v>63.281120000000001</v>
      </c>
      <c r="X90">
        <v>1.5852347543461601E-2</v>
      </c>
      <c r="Y90">
        <f t="shared" si="25"/>
        <v>1.0031543071794988</v>
      </c>
      <c r="Z90">
        <f t="shared" si="34"/>
        <v>1.8398602977540035</v>
      </c>
      <c r="AA90">
        <f t="shared" si="35"/>
        <v>5.5118068009715193</v>
      </c>
      <c r="AB90">
        <f t="shared" si="42"/>
        <v>9.4134096048316671</v>
      </c>
      <c r="AD90">
        <v>57.117649999999998</v>
      </c>
      <c r="AE90">
        <v>0.31339392794670856</v>
      </c>
      <c r="AF90">
        <f t="shared" si="26"/>
        <v>17.900324688585318</v>
      </c>
      <c r="AG90">
        <f t="shared" si="36"/>
        <v>10.109900447841103</v>
      </c>
      <c r="AH90">
        <f t="shared" si="37"/>
        <v>2.7582333491155797</v>
      </c>
      <c r="AI90">
        <f t="shared" si="43"/>
        <v>2.663353754185116</v>
      </c>
      <c r="AL90">
        <f t="shared" si="27"/>
        <v>65.625040622924388</v>
      </c>
      <c r="AM90">
        <f t="shared" si="38"/>
        <v>7.3516670987255228</v>
      </c>
    </row>
    <row r="91" spans="1:39" x14ac:dyDescent="0.35">
      <c r="A91" s="2">
        <v>39203</v>
      </c>
      <c r="B91">
        <v>75.576679999999996</v>
      </c>
      <c r="C91">
        <v>7.4781060012524062E-2</v>
      </c>
      <c r="D91">
        <f t="shared" si="22"/>
        <v>5.6517042426273267</v>
      </c>
      <c r="E91">
        <f t="shared" si="28"/>
        <v>2.5757302869980014</v>
      </c>
      <c r="F91">
        <f t="shared" si="29"/>
        <v>1.8788553998631441</v>
      </c>
      <c r="G91">
        <f t="shared" si="39"/>
        <v>0.42965326326442899</v>
      </c>
      <c r="I91">
        <v>74.72842</v>
      </c>
      <c r="J91">
        <v>0.10988322606754003</v>
      </c>
      <c r="K91">
        <f t="shared" si="23"/>
        <v>8.21139986853008</v>
      </c>
      <c r="L91">
        <f t="shared" si="30"/>
        <v>-4.1572249768500154</v>
      </c>
      <c r="M91">
        <f t="shared" si="31"/>
        <v>4.8540998639848727</v>
      </c>
      <c r="N91">
        <f t="shared" si="40"/>
        <v>0.75446342401644984</v>
      </c>
      <c r="P91">
        <v>68.955029999999994</v>
      </c>
      <c r="Q91">
        <v>0.48608943842976576</v>
      </c>
      <c r="R91">
        <f t="shared" si="24"/>
        <v>33.518311809607646</v>
      </c>
      <c r="S91">
        <f t="shared" si="32"/>
        <v>2.6776894306129506</v>
      </c>
      <c r="T91">
        <f t="shared" si="33"/>
        <v>1.9808145434780933</v>
      </c>
      <c r="U91">
        <f t="shared" si="41"/>
        <v>1.3214973183790057</v>
      </c>
      <c r="W91">
        <v>62.830829999999999</v>
      </c>
      <c r="X91">
        <v>1.5852347543461601E-2</v>
      </c>
      <c r="Y91">
        <f t="shared" si="25"/>
        <v>0.99601615360415352</v>
      </c>
      <c r="Z91">
        <f t="shared" si="34"/>
        <v>-0.71157084451097807</v>
      </c>
      <c r="AA91">
        <f t="shared" si="35"/>
        <v>1.4084457316458354</v>
      </c>
      <c r="AB91">
        <f t="shared" si="42"/>
        <v>4.1033610693256843</v>
      </c>
      <c r="AD91">
        <v>56.49418</v>
      </c>
      <c r="AE91">
        <v>0.31339392794670856</v>
      </c>
      <c r="AF91">
        <f t="shared" si="26"/>
        <v>17.704932976328383</v>
      </c>
      <c r="AG91">
        <f t="shared" si="36"/>
        <v>-1.0915540117634404</v>
      </c>
      <c r="AH91">
        <f t="shared" si="37"/>
        <v>1.7884288988982977</v>
      </c>
      <c r="AI91">
        <f t="shared" si="43"/>
        <v>0.96980445021728201</v>
      </c>
      <c r="AL91">
        <f t="shared" si="27"/>
        <v>66.082365050697589</v>
      </c>
      <c r="AM91">
        <f t="shared" si="38"/>
        <v>0.69687488713485735</v>
      </c>
    </row>
    <row r="92" spans="1:39" x14ac:dyDescent="0.35">
      <c r="A92" s="2">
        <v>39234</v>
      </c>
      <c r="B92">
        <v>77.641729999999995</v>
      </c>
      <c r="C92">
        <v>7.4781060012524062E-2</v>
      </c>
      <c r="D92">
        <f t="shared" si="22"/>
        <v>5.8061308706061894</v>
      </c>
      <c r="E92">
        <f t="shared" si="28"/>
        <v>2.7323904675357502</v>
      </c>
      <c r="F92">
        <f t="shared" si="29"/>
        <v>0.31288561368969514</v>
      </c>
      <c r="G92">
        <f t="shared" si="39"/>
        <v>1.565969786173449</v>
      </c>
      <c r="I92">
        <v>76.733869999999996</v>
      </c>
      <c r="J92">
        <v>0.10988322606754003</v>
      </c>
      <c r="K92">
        <f t="shared" si="23"/>
        <v>8.4317651842472277</v>
      </c>
      <c r="L92">
        <f t="shared" si="30"/>
        <v>2.6836510125598734</v>
      </c>
      <c r="M92">
        <f t="shared" si="31"/>
        <v>0.36162506866557198</v>
      </c>
      <c r="N92">
        <f t="shared" si="40"/>
        <v>4.4924747953193007</v>
      </c>
      <c r="P92">
        <v>72.098429999999993</v>
      </c>
      <c r="Q92">
        <v>0.48608943842976576</v>
      </c>
      <c r="R92">
        <f t="shared" si="24"/>
        <v>35.046285350367775</v>
      </c>
      <c r="S92">
        <f t="shared" si="32"/>
        <v>4.5586232070379706</v>
      </c>
      <c r="T92">
        <f t="shared" si="33"/>
        <v>1.5133471258125253</v>
      </c>
      <c r="U92">
        <f t="shared" si="41"/>
        <v>0.46746741766556799</v>
      </c>
      <c r="W92">
        <v>67.56523</v>
      </c>
      <c r="X92">
        <v>1.5852347543461601E-2</v>
      </c>
      <c r="Y92">
        <f t="shared" si="25"/>
        <v>1.071067507813918</v>
      </c>
      <c r="Z92">
        <f t="shared" si="34"/>
        <v>7.5351543183497682</v>
      </c>
      <c r="AA92">
        <f t="shared" si="35"/>
        <v>4.4898782371243229</v>
      </c>
      <c r="AB92">
        <f t="shared" si="42"/>
        <v>3.0814325054784875</v>
      </c>
      <c r="AD92">
        <v>56.604500000000002</v>
      </c>
      <c r="AE92">
        <v>0.31339392794670856</v>
      </c>
      <c r="AF92">
        <f t="shared" si="26"/>
        <v>17.739506594459467</v>
      </c>
      <c r="AG92">
        <f t="shared" si="36"/>
        <v>0.1952767524017629</v>
      </c>
      <c r="AH92">
        <f t="shared" si="37"/>
        <v>2.8499993288236825</v>
      </c>
      <c r="AI92">
        <f t="shared" si="43"/>
        <v>1.0615704299253848</v>
      </c>
      <c r="AL92">
        <f t="shared" si="27"/>
        <v>68.094755507494568</v>
      </c>
      <c r="AM92">
        <f t="shared" si="38"/>
        <v>3.0452760812254454</v>
      </c>
    </row>
    <row r="93" spans="1:39" x14ac:dyDescent="0.35">
      <c r="A93" s="2">
        <v>39264</v>
      </c>
      <c r="B93">
        <v>79.247190000000003</v>
      </c>
      <c r="C93">
        <v>7.4781060012524062E-2</v>
      </c>
      <c r="D93">
        <f t="shared" si="22"/>
        <v>5.9261888712138973</v>
      </c>
      <c r="E93">
        <f t="shared" si="28"/>
        <v>2.0677797880083393</v>
      </c>
      <c r="F93">
        <f t="shared" si="29"/>
        <v>2.3280919021401836</v>
      </c>
      <c r="G93">
        <f t="shared" si="39"/>
        <v>2.0152062884504884</v>
      </c>
      <c r="I93">
        <v>81.140720000000002</v>
      </c>
      <c r="J93">
        <v>0.10988322606754003</v>
      </c>
      <c r="K93">
        <f t="shared" si="23"/>
        <v>8.9160040790429669</v>
      </c>
      <c r="L93">
        <f t="shared" si="30"/>
        <v>5.7430310761076075</v>
      </c>
      <c r="M93">
        <f t="shared" si="31"/>
        <v>1.3471593859590847</v>
      </c>
      <c r="N93">
        <f t="shared" si="40"/>
        <v>0.98553431729351271</v>
      </c>
      <c r="P93">
        <v>72.223789999999994</v>
      </c>
      <c r="Q93">
        <v>0.48608943842976576</v>
      </c>
      <c r="R93">
        <f t="shared" si="24"/>
        <v>35.107221522369329</v>
      </c>
      <c r="S93">
        <f t="shared" si="32"/>
        <v>0.17387341166790193</v>
      </c>
      <c r="T93">
        <f t="shared" si="33"/>
        <v>4.2219982784806209</v>
      </c>
      <c r="U93">
        <f t="shared" si="41"/>
        <v>2.7086511526680956</v>
      </c>
      <c r="W93">
        <v>67.965159999999997</v>
      </c>
      <c r="X93">
        <v>1.5852347543461601E-2</v>
      </c>
      <c r="Y93">
        <f t="shared" si="25"/>
        <v>1.0774073371669746</v>
      </c>
      <c r="Z93">
        <f t="shared" si="34"/>
        <v>0.59191687795629999</v>
      </c>
      <c r="AA93">
        <f t="shared" si="35"/>
        <v>3.8039548121922229</v>
      </c>
      <c r="AB93">
        <f t="shared" si="42"/>
        <v>0.68592342493210001</v>
      </c>
      <c r="AD93">
        <v>64.013019999999997</v>
      </c>
      <c r="AE93">
        <v>0.31339392794670856</v>
      </c>
      <c r="AF93">
        <f t="shared" si="26"/>
        <v>20.061291777531213</v>
      </c>
      <c r="AG93">
        <f t="shared" si="36"/>
        <v>13.088217367877109</v>
      </c>
      <c r="AH93">
        <f t="shared" si="37"/>
        <v>8.6923456777285857</v>
      </c>
      <c r="AI93">
        <f t="shared" si="43"/>
        <v>5.8423463489049032</v>
      </c>
      <c r="AL93">
        <f t="shared" si="27"/>
        <v>71.088113587324372</v>
      </c>
      <c r="AM93">
        <f t="shared" si="38"/>
        <v>4.3958716901485229</v>
      </c>
    </row>
    <row r="94" spans="1:39" x14ac:dyDescent="0.35">
      <c r="A94" s="2">
        <v>39295</v>
      </c>
      <c r="B94">
        <v>76.186899999999994</v>
      </c>
      <c r="C94">
        <v>7.4781060012524062E-2</v>
      </c>
      <c r="D94">
        <f t="shared" si="22"/>
        <v>5.6973371410681688</v>
      </c>
      <c r="E94">
        <f t="shared" si="28"/>
        <v>-3.8617015947190136</v>
      </c>
      <c r="F94">
        <f t="shared" si="29"/>
        <v>1.6104892433515978</v>
      </c>
      <c r="G94">
        <f t="shared" si="39"/>
        <v>0.71760265878858576</v>
      </c>
      <c r="I94">
        <v>79.87509</v>
      </c>
      <c r="J94">
        <v>0.10988322606754003</v>
      </c>
      <c r="K94">
        <f t="shared" si="23"/>
        <v>8.7769325716351059</v>
      </c>
      <c r="L94">
        <f t="shared" si="30"/>
        <v>-1.5597963636507117</v>
      </c>
      <c r="M94">
        <f t="shared" si="31"/>
        <v>3.9123944744198997</v>
      </c>
      <c r="N94">
        <f t="shared" si="40"/>
        <v>2.565235088460815</v>
      </c>
      <c r="P94">
        <v>67.175089999999997</v>
      </c>
      <c r="Q94">
        <v>0.48608943842976576</v>
      </c>
      <c r="R94">
        <f t="shared" si="24"/>
        <v>32.653101774568974</v>
      </c>
      <c r="S94">
        <f t="shared" si="32"/>
        <v>-6.990355947811655</v>
      </c>
      <c r="T94">
        <f t="shared" si="33"/>
        <v>1.5181651097410436</v>
      </c>
      <c r="U94">
        <f t="shared" si="41"/>
        <v>2.7038331687395774</v>
      </c>
      <c r="W94">
        <v>73.663520000000005</v>
      </c>
      <c r="X94">
        <v>1.5852347543461601E-2</v>
      </c>
      <c r="Y94">
        <f t="shared" si="25"/>
        <v>1.1677397203147346</v>
      </c>
      <c r="Z94">
        <f t="shared" si="34"/>
        <v>8.3842368648878498</v>
      </c>
      <c r="AA94">
        <f t="shared" si="35"/>
        <v>13.856427702958461</v>
      </c>
      <c r="AB94">
        <f t="shared" si="42"/>
        <v>10.052472890766239</v>
      </c>
      <c r="AD94">
        <v>60.31682</v>
      </c>
      <c r="AE94">
        <v>0.31339392794670856</v>
      </c>
      <c r="AF94">
        <f t="shared" si="26"/>
        <v>18.902925141054588</v>
      </c>
      <c r="AG94">
        <f t="shared" si="36"/>
        <v>-5.7741378238364565</v>
      </c>
      <c r="AH94">
        <f t="shared" si="37"/>
        <v>0.301946985765845</v>
      </c>
      <c r="AI94">
        <f t="shared" si="43"/>
        <v>8.3903986919627407</v>
      </c>
      <c r="AL94">
        <f t="shared" si="27"/>
        <v>67.19803634864158</v>
      </c>
      <c r="AM94">
        <f t="shared" si="38"/>
        <v>-5.4721908380706115</v>
      </c>
    </row>
    <row r="95" spans="1:39" x14ac:dyDescent="0.35">
      <c r="A95" s="2">
        <v>39326</v>
      </c>
      <c r="B95">
        <v>76.571740000000005</v>
      </c>
      <c r="C95">
        <v>7.4781060012524062E-2</v>
      </c>
      <c r="D95">
        <f t="shared" si="22"/>
        <v>5.7261158842033897</v>
      </c>
      <c r="E95">
        <f t="shared" si="28"/>
        <v>0.50512620936147279</v>
      </c>
      <c r="F95">
        <f t="shared" si="29"/>
        <v>2.3656177245250376</v>
      </c>
      <c r="G95">
        <f t="shared" si="39"/>
        <v>0.75512848117343978</v>
      </c>
      <c r="I95">
        <v>79.106210000000004</v>
      </c>
      <c r="J95">
        <v>0.10988322606754003</v>
      </c>
      <c r="K95">
        <f t="shared" si="23"/>
        <v>8.6924455567762955</v>
      </c>
      <c r="L95">
        <f t="shared" si="30"/>
        <v>-0.9626029842345063</v>
      </c>
      <c r="M95">
        <f t="shared" si="31"/>
        <v>3.8333469181210167</v>
      </c>
      <c r="N95">
        <f t="shared" si="40"/>
        <v>7.9047556298883048E-2</v>
      </c>
      <c r="P95">
        <v>69.269260000000003</v>
      </c>
      <c r="Q95">
        <v>0.48608943842976576</v>
      </c>
      <c r="R95">
        <f t="shared" si="24"/>
        <v>33.671055693845439</v>
      </c>
      <c r="S95">
        <f t="shared" si="32"/>
        <v>3.1174800063535457</v>
      </c>
      <c r="T95">
        <f t="shared" si="33"/>
        <v>0.24673607246703533</v>
      </c>
      <c r="U95">
        <f t="shared" si="41"/>
        <v>1.2714290372740082</v>
      </c>
      <c r="W95">
        <v>68.883759999999995</v>
      </c>
      <c r="X95">
        <v>1.5852347543461601E-2</v>
      </c>
      <c r="Y95">
        <f t="shared" si="25"/>
        <v>1.0919693036203983</v>
      </c>
      <c r="Z95">
        <f t="shared" si="34"/>
        <v>-6.4886391527312455</v>
      </c>
      <c r="AA95">
        <f t="shared" si="35"/>
        <v>9.3593830866177559</v>
      </c>
      <c r="AB95">
        <f t="shared" si="42"/>
        <v>4.4970446163407054</v>
      </c>
      <c r="AD95">
        <v>63.643650000000001</v>
      </c>
      <c r="AE95">
        <v>0.31339392794670856</v>
      </c>
      <c r="AF95">
        <f t="shared" si="26"/>
        <v>19.945533462365539</v>
      </c>
      <c r="AG95">
        <f t="shared" si="36"/>
        <v>5.5155924997372319</v>
      </c>
      <c r="AH95">
        <f t="shared" si="37"/>
        <v>2.6448485658507215</v>
      </c>
      <c r="AI95">
        <f t="shared" si="43"/>
        <v>2.3429015800848765</v>
      </c>
      <c r="AL95">
        <f t="shared" si="27"/>
        <v>69.127119900811067</v>
      </c>
      <c r="AM95">
        <f t="shared" si="38"/>
        <v>2.8707439338865104</v>
      </c>
    </row>
    <row r="96" spans="1:39" x14ac:dyDescent="0.35">
      <c r="A96" s="2">
        <v>39356</v>
      </c>
      <c r="B96">
        <v>80.878129999999999</v>
      </c>
      <c r="C96">
        <v>7.4781060012524062E-2</v>
      </c>
      <c r="D96">
        <f t="shared" si="22"/>
        <v>6.0481522932307223</v>
      </c>
      <c r="E96">
        <f t="shared" si="28"/>
        <v>5.6239939173381659</v>
      </c>
      <c r="F96">
        <f t="shared" si="29"/>
        <v>4.6650861263963783E-2</v>
      </c>
      <c r="G96">
        <f t="shared" si="39"/>
        <v>2.3189668632610738</v>
      </c>
      <c r="I96">
        <v>79.431820000000002</v>
      </c>
      <c r="J96">
        <v>0.10988322606754003</v>
      </c>
      <c r="K96">
        <f t="shared" si="23"/>
        <v>8.7282246340161471</v>
      </c>
      <c r="L96">
        <f t="shared" si="30"/>
        <v>0.41161117439452166</v>
      </c>
      <c r="M96">
        <f t="shared" si="31"/>
        <v>5.259033604207608</v>
      </c>
      <c r="N96">
        <f t="shared" si="40"/>
        <v>1.4256866860865913</v>
      </c>
      <c r="P96">
        <v>72.691180000000003</v>
      </c>
      <c r="Q96">
        <v>0.48608943842976576</v>
      </c>
      <c r="R96">
        <f t="shared" si="24"/>
        <v>35.334414864997022</v>
      </c>
      <c r="S96">
        <f t="shared" si="32"/>
        <v>4.9400267882174553</v>
      </c>
      <c r="T96">
        <f t="shared" si="33"/>
        <v>0.73061799038467434</v>
      </c>
      <c r="U96">
        <f t="shared" si="41"/>
        <v>0.48388191791763902</v>
      </c>
      <c r="W96">
        <v>66.091319999999996</v>
      </c>
      <c r="X96">
        <v>1.5852347543461601E-2</v>
      </c>
      <c r="Y96">
        <f t="shared" si="25"/>
        <v>1.0477025742461346</v>
      </c>
      <c r="Z96">
        <f t="shared" si="34"/>
        <v>-4.0538437506895679</v>
      </c>
      <c r="AA96">
        <f t="shared" si="35"/>
        <v>9.7244885292916976</v>
      </c>
      <c r="AB96">
        <f t="shared" si="42"/>
        <v>0.36510544267394174</v>
      </c>
      <c r="AD96">
        <v>69.84366</v>
      </c>
      <c r="AE96">
        <v>0.31339392794670856</v>
      </c>
      <c r="AF96">
        <f t="shared" si="26"/>
        <v>21.888578949574409</v>
      </c>
      <c r="AG96">
        <f t="shared" si="36"/>
        <v>9.7417574259175854</v>
      </c>
      <c r="AH96">
        <f t="shared" si="37"/>
        <v>4.0711126473154557</v>
      </c>
      <c r="AI96">
        <f t="shared" si="43"/>
        <v>1.4262640814647343</v>
      </c>
      <c r="AL96">
        <f t="shared" si="27"/>
        <v>73.047073316064441</v>
      </c>
      <c r="AM96">
        <f t="shared" si="38"/>
        <v>5.6706447786021297</v>
      </c>
    </row>
    <row r="97" spans="1:39" x14ac:dyDescent="0.35">
      <c r="A97" s="2">
        <v>39387</v>
      </c>
      <c r="B97">
        <v>76.755970000000005</v>
      </c>
      <c r="C97">
        <v>7.4781060012524062E-2</v>
      </c>
      <c r="D97">
        <f t="shared" si="22"/>
        <v>5.739892798889497</v>
      </c>
      <c r="E97">
        <f t="shared" si="28"/>
        <v>-5.0967548334759911</v>
      </c>
      <c r="F97">
        <f t="shared" si="29"/>
        <v>0.37813158021616733</v>
      </c>
      <c r="G97">
        <f t="shared" si="39"/>
        <v>0.33148071895220355</v>
      </c>
      <c r="I97">
        <v>84.159360000000007</v>
      </c>
      <c r="J97">
        <v>0.10988322606754003</v>
      </c>
      <c r="K97">
        <f t="shared" si="23"/>
        <v>9.2477019805794871</v>
      </c>
      <c r="L97">
        <f t="shared" si="30"/>
        <v>5.9516954288596269</v>
      </c>
      <c r="M97">
        <f t="shared" si="31"/>
        <v>10.670318682119451</v>
      </c>
      <c r="N97">
        <f t="shared" si="40"/>
        <v>5.4112850779118427</v>
      </c>
      <c r="P97">
        <v>66.809839999999994</v>
      </c>
      <c r="Q97">
        <v>0.48608943842976576</v>
      </c>
      <c r="R97">
        <f t="shared" si="24"/>
        <v>32.475557607182502</v>
      </c>
      <c r="S97">
        <f t="shared" si="32"/>
        <v>-8.0908577904499683</v>
      </c>
      <c r="T97">
        <f t="shared" si="33"/>
        <v>3.3722345371901445</v>
      </c>
      <c r="U97">
        <f t="shared" si="41"/>
        <v>2.6416165468054702</v>
      </c>
      <c r="W97">
        <v>66.132419999999996</v>
      </c>
      <c r="X97">
        <v>1.5852347543461601E-2</v>
      </c>
      <c r="Y97">
        <f t="shared" si="25"/>
        <v>1.0483541057301708</v>
      </c>
      <c r="Z97">
        <f t="shared" si="34"/>
        <v>6.2186683516074481E-2</v>
      </c>
      <c r="AA97">
        <f t="shared" si="35"/>
        <v>4.7808099367758983</v>
      </c>
      <c r="AB97">
        <f t="shared" si="42"/>
        <v>4.9436785925157993</v>
      </c>
      <c r="AD97">
        <v>67.291510000000002</v>
      </c>
      <c r="AE97">
        <v>0.31339392794670856</v>
      </c>
      <c r="AF97">
        <f t="shared" si="26"/>
        <v>21.088750636365219</v>
      </c>
      <c r="AG97">
        <f t="shared" si="36"/>
        <v>-3.6540897198113598</v>
      </c>
      <c r="AH97">
        <f t="shared" si="37"/>
        <v>1.064533533448464</v>
      </c>
      <c r="AI97">
        <f t="shared" si="43"/>
        <v>3.0065791138669917</v>
      </c>
      <c r="AL97">
        <f t="shared" si="27"/>
        <v>69.600257128746875</v>
      </c>
      <c r="AM97">
        <f t="shared" si="38"/>
        <v>-4.7186232532598238</v>
      </c>
    </row>
    <row r="98" spans="1:39" x14ac:dyDescent="0.35">
      <c r="A98" s="2">
        <v>39417</v>
      </c>
      <c r="B98">
        <v>74.94341</v>
      </c>
      <c r="C98">
        <v>7.4781060012524062E-2</v>
      </c>
      <c r="D98">
        <f t="shared" si="22"/>
        <v>5.604347640753196</v>
      </c>
      <c r="E98">
        <f t="shared" si="28"/>
        <v>-2.3614580077614855</v>
      </c>
      <c r="F98">
        <f t="shared" si="29"/>
        <v>3.6050748677161959</v>
      </c>
      <c r="G98">
        <f t="shared" si="39"/>
        <v>3.2269432875000286</v>
      </c>
      <c r="I98">
        <v>83.124539999999996</v>
      </c>
      <c r="J98">
        <v>0.10988322606754003</v>
      </c>
      <c r="K98">
        <f t="shared" si="23"/>
        <v>9.1339926205802726</v>
      </c>
      <c r="L98">
        <f t="shared" si="30"/>
        <v>-1.2295958524399575</v>
      </c>
      <c r="M98">
        <f t="shared" si="31"/>
        <v>2.4732127123946679</v>
      </c>
      <c r="N98">
        <f t="shared" si="40"/>
        <v>8.1971059697247828</v>
      </c>
      <c r="P98">
        <v>68.328630000000004</v>
      </c>
      <c r="Q98">
        <v>0.48608943842976576</v>
      </c>
      <c r="R98">
        <f t="shared" si="24"/>
        <v>33.213825385375245</v>
      </c>
      <c r="S98">
        <f t="shared" si="32"/>
        <v>2.273302854789061</v>
      </c>
      <c r="T98">
        <f t="shared" si="33"/>
        <v>1.0296859948343506</v>
      </c>
      <c r="U98">
        <f t="shared" si="41"/>
        <v>2.3425485423557939</v>
      </c>
      <c r="W98">
        <v>68.566730000000007</v>
      </c>
      <c r="X98">
        <v>1.5852347543461601E-2</v>
      </c>
      <c r="Y98">
        <f t="shared" si="25"/>
        <v>1.0869436338786951</v>
      </c>
      <c r="Z98">
        <f t="shared" si="34"/>
        <v>3.6809631342691107</v>
      </c>
      <c r="AA98">
        <f t="shared" si="35"/>
        <v>2.4373462743144003</v>
      </c>
      <c r="AB98">
        <f t="shared" si="42"/>
        <v>2.343463662461498</v>
      </c>
      <c r="AD98">
        <v>68.369889999999998</v>
      </c>
      <c r="AE98">
        <v>0.31339392794670856</v>
      </c>
      <c r="AF98">
        <f t="shared" si="26"/>
        <v>21.42670838038439</v>
      </c>
      <c r="AG98">
        <f t="shared" si="36"/>
        <v>1.6025498610448663</v>
      </c>
      <c r="AH98">
        <f t="shared" si="37"/>
        <v>0.35893300109015591</v>
      </c>
      <c r="AI98">
        <f t="shared" si="43"/>
        <v>0.70560053235830811</v>
      </c>
      <c r="AL98">
        <f t="shared" si="27"/>
        <v>70.465817660971794</v>
      </c>
      <c r="AM98">
        <f t="shared" si="38"/>
        <v>1.2436168599547104</v>
      </c>
    </row>
    <row r="99" spans="1:39" x14ac:dyDescent="0.35">
      <c r="A99" s="2">
        <v>39448</v>
      </c>
      <c r="B99">
        <v>68.275899999999993</v>
      </c>
      <c r="C99">
        <v>7.6518112975137345E-2</v>
      </c>
      <c r="D99">
        <f t="shared" si="22"/>
        <v>5.2243430296791793</v>
      </c>
      <c r="E99">
        <f t="shared" si="28"/>
        <v>-8.8967262098161868</v>
      </c>
      <c r="F99">
        <f t="shared" si="29"/>
        <v>6.266251049530247E-2</v>
      </c>
      <c r="G99">
        <f t="shared" si="39"/>
        <v>3.5424123572208934</v>
      </c>
      <c r="I99">
        <v>71.716579999999993</v>
      </c>
      <c r="J99">
        <v>0.11188755531671141</v>
      </c>
      <c r="K99">
        <f t="shared" si="23"/>
        <v>8.0241928118753574</v>
      </c>
      <c r="L99">
        <f t="shared" si="30"/>
        <v>-13.723937600135894</v>
      </c>
      <c r="M99">
        <f t="shared" si="31"/>
        <v>4.7645488798244049</v>
      </c>
      <c r="N99">
        <f t="shared" si="40"/>
        <v>2.291336167429737</v>
      </c>
      <c r="P99">
        <v>63.744340000000001</v>
      </c>
      <c r="Q99">
        <v>0.48374165222722426</v>
      </c>
      <c r="R99">
        <f t="shared" si="24"/>
        <v>30.835792351733939</v>
      </c>
      <c r="S99">
        <f t="shared" si="32"/>
        <v>-6.7091788610425862</v>
      </c>
      <c r="T99">
        <f t="shared" si="33"/>
        <v>2.250209859268903</v>
      </c>
      <c r="U99">
        <f t="shared" si="41"/>
        <v>1.2205238644345524</v>
      </c>
      <c r="W99">
        <v>71.173590000000004</v>
      </c>
      <c r="X99">
        <v>1.6368853057721715E-2</v>
      </c>
      <c r="Y99">
        <f t="shared" si="25"/>
        <v>1.1650300363005317</v>
      </c>
      <c r="Z99">
        <f t="shared" si="34"/>
        <v>3.8019313448373504</v>
      </c>
      <c r="AA99">
        <f t="shared" si="35"/>
        <v>12.761320065148841</v>
      </c>
      <c r="AB99">
        <f t="shared" si="42"/>
        <v>10.32397379083444</v>
      </c>
      <c r="AD99">
        <v>60.687429999999999</v>
      </c>
      <c r="AE99">
        <v>0.31148382642320527</v>
      </c>
      <c r="AF99">
        <f t="shared" si="26"/>
        <v>18.903152912190421</v>
      </c>
      <c r="AG99">
        <f t="shared" si="36"/>
        <v>-11.236613076311809</v>
      </c>
      <c r="AH99">
        <f t="shared" si="37"/>
        <v>2.2772243560003194</v>
      </c>
      <c r="AI99">
        <f t="shared" si="43"/>
        <v>1.9182913549101634</v>
      </c>
      <c r="AL99">
        <f t="shared" si="27"/>
        <v>64.152511141779428</v>
      </c>
      <c r="AM99">
        <f t="shared" si="38"/>
        <v>-8.9593887203114893</v>
      </c>
    </row>
    <row r="100" spans="1:39" x14ac:dyDescent="0.35">
      <c r="A100" s="2">
        <v>39479</v>
      </c>
      <c r="B100">
        <v>69.985680000000002</v>
      </c>
      <c r="C100">
        <v>7.6518112975137345E-2</v>
      </c>
      <c r="D100">
        <f t="shared" si="22"/>
        <v>5.3551721688818104</v>
      </c>
      <c r="E100">
        <f t="shared" si="28"/>
        <v>2.5042218410888939</v>
      </c>
      <c r="F100">
        <f t="shared" si="29"/>
        <v>2.7138361815140399</v>
      </c>
      <c r="G100">
        <f t="shared" si="39"/>
        <v>2.6511736710187375</v>
      </c>
      <c r="I100">
        <v>72.111459999999994</v>
      </c>
      <c r="J100">
        <v>0.11188755531671141</v>
      </c>
      <c r="K100">
        <f t="shared" si="23"/>
        <v>8.0683749697188212</v>
      </c>
      <c r="L100">
        <f t="shared" si="30"/>
        <v>0.55061186687932473</v>
      </c>
      <c r="M100">
        <f t="shared" si="31"/>
        <v>0.76022620730447077</v>
      </c>
      <c r="N100">
        <f t="shared" si="40"/>
        <v>4.0043226725199341</v>
      </c>
      <c r="P100">
        <v>66.37621</v>
      </c>
      <c r="Q100">
        <v>0.48374165222722426</v>
      </c>
      <c r="R100">
        <f t="shared" si="24"/>
        <v>32.108937493981209</v>
      </c>
      <c r="S100">
        <f t="shared" si="32"/>
        <v>4.1287901012074135</v>
      </c>
      <c r="T100">
        <f t="shared" si="33"/>
        <v>4.3384044416325596</v>
      </c>
      <c r="U100">
        <f t="shared" si="41"/>
        <v>2.0881945823636565</v>
      </c>
      <c r="W100">
        <v>75.462440000000001</v>
      </c>
      <c r="X100">
        <v>1.6368853057721715E-2</v>
      </c>
      <c r="Y100">
        <f t="shared" si="25"/>
        <v>1.2352335917371415</v>
      </c>
      <c r="Z100">
        <f t="shared" si="34"/>
        <v>6.0259008994768992</v>
      </c>
      <c r="AA100">
        <f t="shared" si="35"/>
        <v>6.2355152399020453</v>
      </c>
      <c r="AB100">
        <f t="shared" si="42"/>
        <v>6.5258048252467953</v>
      </c>
      <c r="AD100">
        <v>55.38111</v>
      </c>
      <c r="AE100">
        <v>0.31148382642320527</v>
      </c>
      <c r="AF100">
        <f t="shared" si="26"/>
        <v>17.250320054364437</v>
      </c>
      <c r="AG100">
        <f t="shared" si="36"/>
        <v>-8.7436887671796253</v>
      </c>
      <c r="AH100">
        <f t="shared" si="37"/>
        <v>8.5340744267544792</v>
      </c>
      <c r="AI100">
        <f t="shared" si="43"/>
        <v>6.2568500707541599</v>
      </c>
      <c r="AL100">
        <f t="shared" si="27"/>
        <v>64.01803827868342</v>
      </c>
      <c r="AM100">
        <f t="shared" si="38"/>
        <v>-0.20961434042514604</v>
      </c>
    </row>
    <row r="101" spans="1:39" x14ac:dyDescent="0.35">
      <c r="A101" s="2">
        <v>39508</v>
      </c>
      <c r="B101">
        <v>69.733649999999997</v>
      </c>
      <c r="C101">
        <v>7.6518112975137345E-2</v>
      </c>
      <c r="D101">
        <f t="shared" si="22"/>
        <v>5.3358873088686858</v>
      </c>
      <c r="E101">
        <f t="shared" si="28"/>
        <v>-0.36011652669518668</v>
      </c>
      <c r="F101">
        <f t="shared" si="29"/>
        <v>1.2816520771847695</v>
      </c>
      <c r="G101">
        <f t="shared" si="39"/>
        <v>1.4321841043292705</v>
      </c>
      <c r="I101">
        <v>69.675759999999997</v>
      </c>
      <c r="J101">
        <v>0.11188755531671141</v>
      </c>
      <c r="K101">
        <f t="shared" si="23"/>
        <v>7.7958504512339077</v>
      </c>
      <c r="L101">
        <f t="shared" si="30"/>
        <v>-3.377687818274655</v>
      </c>
      <c r="M101">
        <f t="shared" si="31"/>
        <v>1.7359192143946989</v>
      </c>
      <c r="N101">
        <f t="shared" si="40"/>
        <v>0.9756930070902281</v>
      </c>
      <c r="P101">
        <v>66.993780000000001</v>
      </c>
      <c r="Q101">
        <v>0.48374165222722426</v>
      </c>
      <c r="R101">
        <f t="shared" si="24"/>
        <v>32.407681826147176</v>
      </c>
      <c r="S101">
        <f t="shared" si="32"/>
        <v>0.93040865093081404</v>
      </c>
      <c r="T101">
        <f t="shared" si="33"/>
        <v>2.5721772548107702</v>
      </c>
      <c r="U101">
        <f t="shared" si="41"/>
        <v>1.7662271868217894</v>
      </c>
      <c r="W101">
        <v>87.014669999999995</v>
      </c>
      <c r="X101">
        <v>1.6368853057721715E-2</v>
      </c>
      <c r="Y101">
        <f t="shared" si="25"/>
        <v>1.4243303470961459</v>
      </c>
      <c r="Z101">
        <f t="shared" si="34"/>
        <v>15.308582653834147</v>
      </c>
      <c r="AA101">
        <f t="shared" si="35"/>
        <v>16.950351257714104</v>
      </c>
      <c r="AB101">
        <f t="shared" si="42"/>
        <v>10.714836017812058</v>
      </c>
      <c r="AD101">
        <v>51.377499999999998</v>
      </c>
      <c r="AE101">
        <v>0.31148382642320527</v>
      </c>
      <c r="AF101">
        <f t="shared" si="26"/>
        <v>16.003260292058229</v>
      </c>
      <c r="AG101">
        <f t="shared" si="36"/>
        <v>-7.229197825756839</v>
      </c>
      <c r="AH101">
        <f t="shared" si="37"/>
        <v>5.5874292218768833</v>
      </c>
      <c r="AI101">
        <f t="shared" si="43"/>
        <v>2.946645204877596</v>
      </c>
      <c r="AL101">
        <f t="shared" si="27"/>
        <v>62.967010225404145</v>
      </c>
      <c r="AM101">
        <f t="shared" si="38"/>
        <v>-1.6417686038799562</v>
      </c>
    </row>
    <row r="102" spans="1:39" x14ac:dyDescent="0.35">
      <c r="A102" s="2">
        <v>39539</v>
      </c>
      <c r="B102">
        <v>73.565950000000001</v>
      </c>
      <c r="C102">
        <v>7.6518112975137345E-2</v>
      </c>
      <c r="D102">
        <f t="shared" si="22"/>
        <v>5.6291276732233051</v>
      </c>
      <c r="E102">
        <f t="shared" si="28"/>
        <v>5.4956251393695865</v>
      </c>
      <c r="F102">
        <f t="shared" si="29"/>
        <v>0.37791749280298159</v>
      </c>
      <c r="G102">
        <f t="shared" si="39"/>
        <v>0.90373458438178789</v>
      </c>
      <c r="I102">
        <v>72.943470000000005</v>
      </c>
      <c r="J102">
        <v>0.11188755531671141</v>
      </c>
      <c r="K102">
        <f t="shared" si="23"/>
        <v>8.1614665346178796</v>
      </c>
      <c r="L102">
        <f t="shared" si="30"/>
        <v>4.6898806701211493</v>
      </c>
      <c r="M102">
        <f t="shared" si="31"/>
        <v>0.42782697644545564</v>
      </c>
      <c r="N102">
        <f t="shared" si="40"/>
        <v>1.3080922379492432</v>
      </c>
      <c r="P102">
        <v>71.687359999999998</v>
      </c>
      <c r="Q102">
        <v>0.48374165222722426</v>
      </c>
      <c r="R102">
        <f t="shared" si="24"/>
        <v>34.678161970207825</v>
      </c>
      <c r="S102">
        <f t="shared" si="32"/>
        <v>7.0059936907575615</v>
      </c>
      <c r="T102">
        <f t="shared" si="33"/>
        <v>1.8882860441909566</v>
      </c>
      <c r="U102">
        <f t="shared" si="41"/>
        <v>0.68389121061981362</v>
      </c>
      <c r="W102">
        <v>86.194689999999994</v>
      </c>
      <c r="X102">
        <v>1.6368853057721715E-2</v>
      </c>
      <c r="Y102">
        <f t="shared" si="25"/>
        <v>1.4109082149658754</v>
      </c>
      <c r="Z102">
        <f t="shared" si="34"/>
        <v>-0.94234684795103663</v>
      </c>
      <c r="AA102">
        <f t="shared" si="35"/>
        <v>6.060054494517642</v>
      </c>
      <c r="AB102">
        <f t="shared" si="42"/>
        <v>10.890296763196462</v>
      </c>
      <c r="AD102">
        <v>52.361669999999997</v>
      </c>
      <c r="AE102">
        <v>0.31148382642320527</v>
      </c>
      <c r="AF102">
        <f t="shared" si="26"/>
        <v>16.309813329509154</v>
      </c>
      <c r="AG102">
        <f t="shared" si="36"/>
        <v>1.91556615249866</v>
      </c>
      <c r="AH102">
        <f t="shared" si="37"/>
        <v>3.2021414940679449</v>
      </c>
      <c r="AI102">
        <f t="shared" si="43"/>
        <v>2.3852877278089384</v>
      </c>
      <c r="AL102">
        <f t="shared" si="27"/>
        <v>66.189477722524032</v>
      </c>
      <c r="AM102">
        <f t="shared" si="38"/>
        <v>5.1177076465666049</v>
      </c>
    </row>
    <row r="103" spans="1:39" x14ac:dyDescent="0.35">
      <c r="A103" s="2">
        <v>39569</v>
      </c>
      <c r="B103">
        <v>74.199100000000001</v>
      </c>
      <c r="C103">
        <v>7.6518112975137345E-2</v>
      </c>
      <c r="D103">
        <f t="shared" si="22"/>
        <v>5.6775751164535135</v>
      </c>
      <c r="E103">
        <f t="shared" si="28"/>
        <v>0.86065632266014713</v>
      </c>
      <c r="F103">
        <f t="shared" si="29"/>
        <v>0.65980026533785097</v>
      </c>
      <c r="G103">
        <f t="shared" si="39"/>
        <v>0.28188277253486937</v>
      </c>
      <c r="I103">
        <v>78.690950000000001</v>
      </c>
      <c r="J103">
        <v>0.11188755531671141</v>
      </c>
      <c r="K103">
        <f t="shared" si="23"/>
        <v>8.8045380210495718</v>
      </c>
      <c r="L103">
        <f t="shared" si="30"/>
        <v>7.8793619223214817</v>
      </c>
      <c r="M103">
        <f t="shared" si="31"/>
        <v>7.6785058649991855</v>
      </c>
      <c r="N103">
        <f t="shared" si="40"/>
        <v>7.2506788885537299</v>
      </c>
      <c r="P103">
        <v>71.042289999999994</v>
      </c>
      <c r="Q103">
        <v>0.48374165222722426</v>
      </c>
      <c r="R103">
        <f t="shared" si="24"/>
        <v>34.36611474260561</v>
      </c>
      <c r="S103">
        <f t="shared" si="32"/>
        <v>-0.89983785147060846</v>
      </c>
      <c r="T103">
        <f t="shared" si="33"/>
        <v>1.1006939087929046</v>
      </c>
      <c r="U103">
        <f t="shared" si="41"/>
        <v>0.78759213539805195</v>
      </c>
      <c r="W103">
        <v>86.795490000000001</v>
      </c>
      <c r="X103">
        <v>1.6368853057721715E-2</v>
      </c>
      <c r="Y103">
        <f t="shared" si="25"/>
        <v>1.4207426218829546</v>
      </c>
      <c r="Z103">
        <f t="shared" si="34"/>
        <v>0.69702669619207125</v>
      </c>
      <c r="AA103">
        <f t="shared" si="35"/>
        <v>0.49617063886977508</v>
      </c>
      <c r="AB103">
        <f t="shared" si="42"/>
        <v>5.5638838556478669</v>
      </c>
      <c r="AD103">
        <v>51.538640000000001</v>
      </c>
      <c r="AE103">
        <v>0.31148382642320527</v>
      </c>
      <c r="AF103">
        <f t="shared" si="26"/>
        <v>16.053452795848063</v>
      </c>
      <c r="AG103">
        <f t="shared" si="36"/>
        <v>-1.5718177055850102</v>
      </c>
      <c r="AH103">
        <f t="shared" si="37"/>
        <v>1.7726737629073064</v>
      </c>
      <c r="AI103">
        <f t="shared" si="43"/>
        <v>1.4294677311606385</v>
      </c>
      <c r="AL103">
        <f t="shared" si="27"/>
        <v>66.32242329783972</v>
      </c>
      <c r="AM103">
        <f t="shared" si="38"/>
        <v>0.20085605732229617</v>
      </c>
    </row>
    <row r="104" spans="1:39" x14ac:dyDescent="0.35">
      <c r="A104" s="2">
        <v>39600</v>
      </c>
      <c r="B104">
        <v>77.268360000000001</v>
      </c>
      <c r="C104">
        <v>7.6518112975137345E-2</v>
      </c>
      <c r="D104">
        <f t="shared" si="22"/>
        <v>5.9124290998835836</v>
      </c>
      <c r="E104">
        <f t="shared" si="28"/>
        <v>4.1365191761085995</v>
      </c>
      <c r="F104">
        <f t="shared" si="29"/>
        <v>7.626114307643828</v>
      </c>
      <c r="G104">
        <f t="shared" si="39"/>
        <v>6.9663140423059771</v>
      </c>
      <c r="I104">
        <v>76.148099999999999</v>
      </c>
      <c r="J104">
        <v>0.11188755531671141</v>
      </c>
      <c r="K104">
        <f t="shared" si="23"/>
        <v>8.5200247510124711</v>
      </c>
      <c r="L104">
        <f t="shared" si="30"/>
        <v>-3.2314389392935294</v>
      </c>
      <c r="M104">
        <f t="shared" si="31"/>
        <v>0.25815619224169861</v>
      </c>
      <c r="N104">
        <f t="shared" si="40"/>
        <v>7.4203496727574869</v>
      </c>
      <c r="P104">
        <v>69.008380000000002</v>
      </c>
      <c r="Q104">
        <v>0.48374165222722426</v>
      </c>
      <c r="R104">
        <f t="shared" si="24"/>
        <v>33.382227758724142</v>
      </c>
      <c r="S104">
        <f t="shared" si="32"/>
        <v>-2.8629566980456156</v>
      </c>
      <c r="T104">
        <f t="shared" si="33"/>
        <v>0.62663843348961246</v>
      </c>
      <c r="U104">
        <f t="shared" si="41"/>
        <v>0.47405547530329217</v>
      </c>
      <c r="W104">
        <v>85.651799999999994</v>
      </c>
      <c r="X104">
        <v>1.6368853057721715E-2</v>
      </c>
      <c r="Y104">
        <f t="shared" si="25"/>
        <v>1.4020217283293688</v>
      </c>
      <c r="Z104">
        <f t="shared" si="34"/>
        <v>-1.3176836722737617</v>
      </c>
      <c r="AA104">
        <f t="shared" si="35"/>
        <v>2.1719114592614663</v>
      </c>
      <c r="AB104">
        <f t="shared" si="42"/>
        <v>1.6757408203916913</v>
      </c>
      <c r="AD104">
        <v>47.486690000000003</v>
      </c>
      <c r="AE104">
        <v>0.31148382642320527</v>
      </c>
      <c r="AF104">
        <f t="shared" si="26"/>
        <v>14.791335905372557</v>
      </c>
      <c r="AG104">
        <f t="shared" si="36"/>
        <v>-7.8619653137917407</v>
      </c>
      <c r="AH104">
        <f t="shared" si="37"/>
        <v>4.3723701822565122</v>
      </c>
      <c r="AI104">
        <f t="shared" si="43"/>
        <v>2.5996964193492058</v>
      </c>
      <c r="AL104">
        <f t="shared" si="27"/>
        <v>64.008039243322116</v>
      </c>
      <c r="AM104">
        <f t="shared" si="38"/>
        <v>-3.489595131535228</v>
      </c>
    </row>
    <row r="105" spans="1:39" x14ac:dyDescent="0.35">
      <c r="A105" s="2">
        <v>39630</v>
      </c>
      <c r="B105">
        <v>73.048090000000002</v>
      </c>
      <c r="C105">
        <v>7.6518112975137345E-2</v>
      </c>
      <c r="D105">
        <f t="shared" si="22"/>
        <v>5.5895020032380005</v>
      </c>
      <c r="E105">
        <f t="shared" si="28"/>
        <v>-5.4618345723915995</v>
      </c>
      <c r="F105">
        <f t="shared" si="29"/>
        <v>0.98101605844856987</v>
      </c>
      <c r="G105">
        <f t="shared" si="39"/>
        <v>6.6450982491952582</v>
      </c>
      <c r="I105">
        <v>71.804689999999994</v>
      </c>
      <c r="J105">
        <v>0.11188755531671141</v>
      </c>
      <c r="K105">
        <f t="shared" si="23"/>
        <v>8.0340512243743145</v>
      </c>
      <c r="L105">
        <f t="shared" si="30"/>
        <v>-5.7038980618032582</v>
      </c>
      <c r="M105">
        <f t="shared" si="31"/>
        <v>0.7389525690369112</v>
      </c>
      <c r="N105">
        <f t="shared" si="40"/>
        <v>0.48079637679521259</v>
      </c>
      <c r="P105">
        <v>63.466850000000001</v>
      </c>
      <c r="Q105">
        <v>0.48374165222722426</v>
      </c>
      <c r="R105">
        <f t="shared" si="24"/>
        <v>30.701558880657409</v>
      </c>
      <c r="S105">
        <f t="shared" si="32"/>
        <v>-8.0302276332236744</v>
      </c>
      <c r="T105">
        <f t="shared" si="33"/>
        <v>1.587377002383505</v>
      </c>
      <c r="U105">
        <f t="shared" si="41"/>
        <v>0.96073856889389253</v>
      </c>
      <c r="W105">
        <v>82.559849999999997</v>
      </c>
      <c r="X105">
        <v>1.6368853057721715E-2</v>
      </c>
      <c r="Y105">
        <f t="shared" si="25"/>
        <v>1.3514100531175461</v>
      </c>
      <c r="Z105">
        <f t="shared" si="34"/>
        <v>-3.6099066219273834</v>
      </c>
      <c r="AA105">
        <f t="shared" si="35"/>
        <v>2.832944008912786</v>
      </c>
      <c r="AB105">
        <f t="shared" si="42"/>
        <v>0.66103254965131963</v>
      </c>
      <c r="AD105">
        <v>45.612560000000002</v>
      </c>
      <c r="AE105">
        <v>0.31148382642320527</v>
      </c>
      <c r="AF105">
        <f t="shared" si="26"/>
        <v>14.207574721758036</v>
      </c>
      <c r="AG105">
        <f t="shared" si="36"/>
        <v>-3.9466427329426401</v>
      </c>
      <c r="AH105">
        <f t="shared" si="37"/>
        <v>2.4962078978975293</v>
      </c>
      <c r="AI105">
        <f t="shared" si="43"/>
        <v>1.8761622843589829</v>
      </c>
      <c r="AL105">
        <f t="shared" si="27"/>
        <v>59.884096883145311</v>
      </c>
      <c r="AM105">
        <f t="shared" si="38"/>
        <v>-6.4428506308401694</v>
      </c>
    </row>
    <row r="106" spans="1:39" x14ac:dyDescent="0.35">
      <c r="A106" s="2">
        <v>39661</v>
      </c>
      <c r="B106">
        <v>73.602930000000001</v>
      </c>
      <c r="C106">
        <v>7.6518112975137345E-2</v>
      </c>
      <c r="D106">
        <f t="shared" si="22"/>
        <v>5.6319573130411262</v>
      </c>
      <c r="E106">
        <f t="shared" si="28"/>
        <v>0.75955442503699011</v>
      </c>
      <c r="F106">
        <f t="shared" si="29"/>
        <v>0.38474892348041578</v>
      </c>
      <c r="G106">
        <f t="shared" si="39"/>
        <v>0.59626713496815409</v>
      </c>
      <c r="I106">
        <v>73.656459999999996</v>
      </c>
      <c r="J106">
        <v>0.11188755531671141</v>
      </c>
      <c r="K106">
        <f t="shared" si="23"/>
        <v>8.2412412426831398</v>
      </c>
      <c r="L106">
        <f t="shared" si="30"/>
        <v>2.578898397862317</v>
      </c>
      <c r="M106">
        <f t="shared" si="31"/>
        <v>1.4345950493449111</v>
      </c>
      <c r="N106">
        <f t="shared" si="40"/>
        <v>0.69564248030799991</v>
      </c>
      <c r="P106">
        <v>60.977319999999999</v>
      </c>
      <c r="Q106">
        <v>0.48374165222722426</v>
      </c>
      <c r="R106">
        <f t="shared" si="24"/>
        <v>29.497269525188166</v>
      </c>
      <c r="S106">
        <f t="shared" si="32"/>
        <v>-3.9225674505667163</v>
      </c>
      <c r="T106">
        <f t="shared" si="33"/>
        <v>5.0668707990841222</v>
      </c>
      <c r="U106">
        <f t="shared" si="41"/>
        <v>3.4794937967006172</v>
      </c>
      <c r="W106">
        <v>79.670460000000006</v>
      </c>
      <c r="X106">
        <v>1.6368853057721715E-2</v>
      </c>
      <c r="Y106">
        <f t="shared" si="25"/>
        <v>1.3041140527810957</v>
      </c>
      <c r="Z106">
        <f t="shared" si="34"/>
        <v>-3.4997519980959124</v>
      </c>
      <c r="AA106">
        <f t="shared" si="35"/>
        <v>4.6440553466133183</v>
      </c>
      <c r="AB106">
        <f t="shared" si="42"/>
        <v>1.8111113377005323</v>
      </c>
      <c r="AD106">
        <v>51.029200000000003</v>
      </c>
      <c r="AE106">
        <v>0.31148382642320527</v>
      </c>
      <c r="AF106">
        <f t="shared" si="26"/>
        <v>15.894770475315028</v>
      </c>
      <c r="AG106">
        <f t="shared" si="36"/>
        <v>11.875325568220685</v>
      </c>
      <c r="AH106">
        <f t="shared" si="37"/>
        <v>10.731022219703279</v>
      </c>
      <c r="AI106">
        <f t="shared" si="43"/>
        <v>8.2348143218057501</v>
      </c>
      <c r="AL106">
        <f t="shared" si="27"/>
        <v>60.569352609008554</v>
      </c>
      <c r="AM106">
        <f t="shared" si="38"/>
        <v>1.1443033485174059</v>
      </c>
    </row>
    <row r="107" spans="1:39" x14ac:dyDescent="0.35">
      <c r="A107" s="2">
        <v>39692</v>
      </c>
      <c r="B107">
        <v>69.5749</v>
      </c>
      <c r="C107">
        <v>7.6518112975137345E-2</v>
      </c>
      <c r="D107">
        <f t="shared" si="22"/>
        <v>5.3237400584338834</v>
      </c>
      <c r="E107">
        <f t="shared" si="28"/>
        <v>-5.4726489828597842</v>
      </c>
      <c r="F107">
        <f t="shared" si="29"/>
        <v>0.33784026674164025</v>
      </c>
      <c r="G107">
        <f t="shared" si="39"/>
        <v>4.6908656738775534E-2</v>
      </c>
      <c r="I107">
        <v>77.139340000000004</v>
      </c>
      <c r="J107">
        <v>0.11188755531671141</v>
      </c>
      <c r="K107">
        <f t="shared" si="23"/>
        <v>8.6309321713446092</v>
      </c>
      <c r="L107">
        <f t="shared" si="30"/>
        <v>4.7285465524680603</v>
      </c>
      <c r="M107">
        <f t="shared" si="31"/>
        <v>9.8633552685862043</v>
      </c>
      <c r="N107">
        <f t="shared" si="40"/>
        <v>8.428760219241294</v>
      </c>
      <c r="P107">
        <v>57.80321</v>
      </c>
      <c r="Q107">
        <v>0.48374165222722426</v>
      </c>
      <c r="R107">
        <f t="shared" si="24"/>
        <v>27.961820309437211</v>
      </c>
      <c r="S107">
        <f t="shared" si="32"/>
        <v>-5.2053943990978961</v>
      </c>
      <c r="T107">
        <f t="shared" si="33"/>
        <v>7.0585682979752207E-2</v>
      </c>
      <c r="U107">
        <f t="shared" si="41"/>
        <v>4.99628511610437</v>
      </c>
      <c r="W107">
        <v>75.529110000000003</v>
      </c>
      <c r="X107">
        <v>1.6368853057721715E-2</v>
      </c>
      <c r="Y107">
        <f t="shared" si="25"/>
        <v>1.2363249031704999</v>
      </c>
      <c r="Z107">
        <f t="shared" si="34"/>
        <v>-5.1980997724878186</v>
      </c>
      <c r="AA107">
        <f t="shared" si="35"/>
        <v>6.3291056369674692E-2</v>
      </c>
      <c r="AB107">
        <f t="shared" si="42"/>
        <v>4.5807642902436436</v>
      </c>
      <c r="AD107">
        <v>45.929879999999997</v>
      </c>
      <c r="AE107">
        <v>0.31148382642320527</v>
      </c>
      <c r="AF107">
        <f t="shared" si="26"/>
        <v>14.306414769558646</v>
      </c>
      <c r="AG107">
        <f t="shared" si="36"/>
        <v>-9.9929452156804484</v>
      </c>
      <c r="AH107">
        <f t="shared" si="37"/>
        <v>4.8581364995623044</v>
      </c>
      <c r="AI107">
        <f t="shared" si="43"/>
        <v>5.8728857201409745</v>
      </c>
      <c r="AL107">
        <f t="shared" si="27"/>
        <v>57.459232211944851</v>
      </c>
      <c r="AM107">
        <f t="shared" si="38"/>
        <v>-5.1348087161181439</v>
      </c>
    </row>
    <row r="108" spans="1:39" x14ac:dyDescent="0.35">
      <c r="A108" s="2">
        <v>39722</v>
      </c>
      <c r="B108">
        <v>61.751220000000004</v>
      </c>
      <c r="C108">
        <v>7.6518112975137345E-2</v>
      </c>
      <c r="D108">
        <f t="shared" si="22"/>
        <v>4.7250868283125609</v>
      </c>
      <c r="E108">
        <f t="shared" si="28"/>
        <v>-11.244974840064447</v>
      </c>
      <c r="F108">
        <f t="shared" si="29"/>
        <v>7.4615593569745791</v>
      </c>
      <c r="G108">
        <f t="shared" si="39"/>
        <v>7.1237190902329388</v>
      </c>
      <c r="I108">
        <v>63.98245</v>
      </c>
      <c r="J108">
        <v>0.11188755531671141</v>
      </c>
      <c r="K108">
        <f t="shared" si="23"/>
        <v>7.158839913673722</v>
      </c>
      <c r="L108">
        <f t="shared" si="30"/>
        <v>-17.056005405283482</v>
      </c>
      <c r="M108">
        <f t="shared" si="31"/>
        <v>1.6505287917555442</v>
      </c>
      <c r="N108">
        <f t="shared" si="40"/>
        <v>8.21282647683066</v>
      </c>
      <c r="P108">
        <v>46.729669999999999</v>
      </c>
      <c r="Q108">
        <v>0.48374165222722426</v>
      </c>
      <c r="R108">
        <f t="shared" si="24"/>
        <v>22.605087773832953</v>
      </c>
      <c r="S108">
        <f t="shared" si="32"/>
        <v>-19.157309775702767</v>
      </c>
      <c r="T108">
        <f t="shared" si="33"/>
        <v>0.45077557866374107</v>
      </c>
      <c r="U108">
        <f t="shared" si="41"/>
        <v>0.38018989568398887</v>
      </c>
      <c r="W108">
        <v>70.455380000000005</v>
      </c>
      <c r="X108">
        <v>1.6368853057721715E-2</v>
      </c>
      <c r="Y108">
        <f t="shared" si="25"/>
        <v>1.1532737623459455</v>
      </c>
      <c r="Z108">
        <f t="shared" si="34"/>
        <v>-6.7175821348881222</v>
      </c>
      <c r="AA108">
        <f t="shared" si="35"/>
        <v>11.988952062150904</v>
      </c>
      <c r="AB108">
        <f t="shared" si="42"/>
        <v>11.92566100578123</v>
      </c>
      <c r="AD108">
        <v>35.534149999999997</v>
      </c>
      <c r="AE108">
        <v>0.31148382642320527</v>
      </c>
      <c r="AF108">
        <f t="shared" si="26"/>
        <v>11.068313010696139</v>
      </c>
      <c r="AG108">
        <f t="shared" si="36"/>
        <v>-22.63391500260833</v>
      </c>
      <c r="AH108">
        <f t="shared" si="37"/>
        <v>3.9273808055693031</v>
      </c>
      <c r="AI108">
        <f t="shared" si="43"/>
        <v>0.93075569399300129</v>
      </c>
      <c r="AL108">
        <f t="shared" si="27"/>
        <v>46.710601288861326</v>
      </c>
      <c r="AM108">
        <f t="shared" si="38"/>
        <v>-18.706534197039026</v>
      </c>
    </row>
    <row r="109" spans="1:39" x14ac:dyDescent="0.35">
      <c r="A109" s="2">
        <v>39753</v>
      </c>
      <c r="B109">
        <v>62.909660000000002</v>
      </c>
      <c r="C109">
        <v>7.6518112975137345E-2</v>
      </c>
      <c r="D109">
        <f t="shared" si="22"/>
        <v>4.8137284711074786</v>
      </c>
      <c r="E109">
        <f t="shared" si="28"/>
        <v>1.8759791304528095</v>
      </c>
      <c r="F109">
        <f t="shared" si="29"/>
        <v>7.8444150957577286</v>
      </c>
      <c r="G109">
        <f t="shared" si="39"/>
        <v>0.38285573878314949</v>
      </c>
      <c r="I109">
        <v>59.933059999999998</v>
      </c>
      <c r="J109">
        <v>0.11188755531671141</v>
      </c>
      <c r="K109">
        <f t="shared" si="23"/>
        <v>6.7057635660497832</v>
      </c>
      <c r="L109">
        <f t="shared" si="30"/>
        <v>-6.3289073800706364</v>
      </c>
      <c r="M109">
        <f t="shared" si="31"/>
        <v>0.36047141476571731</v>
      </c>
      <c r="N109">
        <f t="shared" si="40"/>
        <v>1.2900573769898269</v>
      </c>
      <c r="P109">
        <v>44.790149999999997</v>
      </c>
      <c r="Q109">
        <v>0.48374165222722426</v>
      </c>
      <c r="R109">
        <f t="shared" si="24"/>
        <v>21.666861164505207</v>
      </c>
      <c r="S109">
        <f t="shared" si="32"/>
        <v>-4.1505107996696822</v>
      </c>
      <c r="T109">
        <f t="shared" si="33"/>
        <v>1.8179251656352369</v>
      </c>
      <c r="U109">
        <f t="shared" si="41"/>
        <v>1.3671495869714958</v>
      </c>
      <c r="W109">
        <v>60.92897</v>
      </c>
      <c r="X109">
        <v>1.6368853057721715E-2</v>
      </c>
      <c r="Y109">
        <f t="shared" si="25"/>
        <v>0.99733735688833469</v>
      </c>
      <c r="Z109">
        <f t="shared" si="34"/>
        <v>-13.521195968285182</v>
      </c>
      <c r="AA109">
        <f t="shared" si="35"/>
        <v>7.5527600029802633</v>
      </c>
      <c r="AB109">
        <f t="shared" si="42"/>
        <v>4.436192059170641</v>
      </c>
      <c r="AD109">
        <v>31.266529999999999</v>
      </c>
      <c r="AE109">
        <v>0.31148382642320527</v>
      </c>
      <c r="AF109">
        <f t="shared" si="26"/>
        <v>9.7390184033759404</v>
      </c>
      <c r="AG109">
        <f t="shared" si="36"/>
        <v>-12.009911592088162</v>
      </c>
      <c r="AH109">
        <f t="shared" si="37"/>
        <v>6.0414756267832432</v>
      </c>
      <c r="AI109">
        <f t="shared" si="43"/>
        <v>2.1140948212139401</v>
      </c>
      <c r="AL109">
        <f t="shared" si="27"/>
        <v>43.922708961926745</v>
      </c>
      <c r="AM109">
        <f t="shared" si="38"/>
        <v>-5.968435965304919</v>
      </c>
    </row>
    <row r="110" spans="1:39" x14ac:dyDescent="0.35">
      <c r="A110" s="2">
        <v>39783</v>
      </c>
      <c r="B110">
        <v>59.379109999999997</v>
      </c>
      <c r="C110">
        <v>7.6518112975137345E-2</v>
      </c>
      <c r="D110">
        <f t="shared" si="22"/>
        <v>4.5435774473431074</v>
      </c>
      <c r="E110">
        <f t="shared" si="28"/>
        <v>-5.6120951853817154</v>
      </c>
      <c r="F110">
        <f t="shared" si="29"/>
        <v>11.3313708888093</v>
      </c>
      <c r="G110">
        <f t="shared" si="39"/>
        <v>3.4869557930515711</v>
      </c>
      <c r="I110">
        <v>65.621399999999994</v>
      </c>
      <c r="J110">
        <v>0.11188755531671141</v>
      </c>
      <c r="K110">
        <f t="shared" si="23"/>
        <v>7.3422180224600453</v>
      </c>
      <c r="L110">
        <f t="shared" si="30"/>
        <v>9.4911556326341397</v>
      </c>
      <c r="M110">
        <f t="shared" si="31"/>
        <v>3.7718799292065555</v>
      </c>
      <c r="N110">
        <f t="shared" si="40"/>
        <v>3.4114085144408381</v>
      </c>
      <c r="P110">
        <v>49.073999999999998</v>
      </c>
      <c r="Q110">
        <v>0.48374165222722426</v>
      </c>
      <c r="R110">
        <f t="shared" si="24"/>
        <v>23.739137841398801</v>
      </c>
      <c r="S110">
        <f t="shared" si="32"/>
        <v>9.5642680366107236</v>
      </c>
      <c r="T110">
        <f t="shared" si="33"/>
        <v>3.8449923331831393</v>
      </c>
      <c r="U110">
        <f t="shared" si="41"/>
        <v>2.0270671675479024</v>
      </c>
      <c r="W110">
        <v>60.842300000000002</v>
      </c>
      <c r="X110">
        <v>1.6368853057721715E-2</v>
      </c>
      <c r="Y110">
        <f t="shared" si="25"/>
        <v>0.99591866839382193</v>
      </c>
      <c r="Z110">
        <f t="shared" si="34"/>
        <v>-0.14224760405435743</v>
      </c>
      <c r="AA110">
        <f t="shared" si="35"/>
        <v>5.8615233074819422</v>
      </c>
      <c r="AB110">
        <f t="shared" si="42"/>
        <v>1.6912366954983211</v>
      </c>
      <c r="AD110">
        <v>31.506989999999998</v>
      </c>
      <c r="AE110">
        <v>0.31148382642320527</v>
      </c>
      <c r="AF110">
        <f t="shared" si="26"/>
        <v>9.8139178042776631</v>
      </c>
      <c r="AG110">
        <f t="shared" si="36"/>
        <v>0.76906519527430994</v>
      </c>
      <c r="AH110">
        <f t="shared" si="37"/>
        <v>4.9502105081532743</v>
      </c>
      <c r="AI110">
        <f t="shared" si="43"/>
        <v>1.0912651186299689</v>
      </c>
      <c r="AL110">
        <f t="shared" si="27"/>
        <v>46.434769783873435</v>
      </c>
      <c r="AM110">
        <f t="shared" si="38"/>
        <v>5.7192757034275843</v>
      </c>
    </row>
    <row r="111" spans="1:39" x14ac:dyDescent="0.35">
      <c r="A111" s="2">
        <v>39814</v>
      </c>
      <c r="B111">
        <v>62.790709999999997</v>
      </c>
      <c r="C111">
        <v>7.9244415522085332E-2</v>
      </c>
      <c r="D111">
        <f t="shared" si="22"/>
        <v>4.9758131141667583</v>
      </c>
      <c r="E111">
        <f t="shared" si="28"/>
        <v>5.7454549251411802</v>
      </c>
      <c r="F111">
        <f t="shared" si="29"/>
        <v>5.7681748564939568</v>
      </c>
      <c r="G111">
        <f t="shared" si="39"/>
        <v>5.5631960323153429</v>
      </c>
      <c r="I111">
        <v>66.511930000000007</v>
      </c>
      <c r="J111">
        <v>0.11851970512699711</v>
      </c>
      <c r="K111">
        <f t="shared" si="23"/>
        <v>7.8829743310274738</v>
      </c>
      <c r="L111">
        <f t="shared" si="30"/>
        <v>1.3570725403603268</v>
      </c>
      <c r="M111">
        <f t="shared" si="31"/>
        <v>1.3797924717131038</v>
      </c>
      <c r="N111">
        <f t="shared" si="40"/>
        <v>2.3920874574934516</v>
      </c>
      <c r="P111">
        <v>47.332079999999998</v>
      </c>
      <c r="Q111">
        <v>0.47474721338410819</v>
      </c>
      <c r="R111">
        <f t="shared" si="24"/>
        <v>22.470773083673677</v>
      </c>
      <c r="S111">
        <f t="shared" si="32"/>
        <v>-3.5495781880425459</v>
      </c>
      <c r="T111">
        <f t="shared" si="33"/>
        <v>3.5268582566897688</v>
      </c>
      <c r="U111">
        <f t="shared" si="41"/>
        <v>0.31813407649337044</v>
      </c>
      <c r="W111">
        <v>62.794980000000002</v>
      </c>
      <c r="X111">
        <v>1.6993997584310024E-2</v>
      </c>
      <c r="Y111">
        <f t="shared" si="25"/>
        <v>1.0671377384267964</v>
      </c>
      <c r="Z111">
        <f t="shared" si="34"/>
        <v>3.209411872989687</v>
      </c>
      <c r="AA111">
        <f t="shared" si="35"/>
        <v>3.2321318043424641</v>
      </c>
      <c r="AB111">
        <f t="shared" si="42"/>
        <v>2.6293915031394781</v>
      </c>
      <c r="AD111">
        <v>32.295310000000001</v>
      </c>
      <c r="AE111">
        <v>0.31049466838249934</v>
      </c>
      <c r="AF111">
        <f t="shared" si="26"/>
        <v>10.027521568760015</v>
      </c>
      <c r="AG111">
        <f t="shared" si="36"/>
        <v>2.5020479582467336</v>
      </c>
      <c r="AH111">
        <f t="shared" si="37"/>
        <v>2.5247678895995107</v>
      </c>
      <c r="AI111">
        <f t="shared" si="43"/>
        <v>2.4254426185537636</v>
      </c>
      <c r="AL111">
        <f t="shared" si="27"/>
        <v>46.424219836054718</v>
      </c>
      <c r="AM111">
        <f t="shared" si="38"/>
        <v>-2.2719931352777056E-2</v>
      </c>
    </row>
    <row r="112" spans="1:39" x14ac:dyDescent="0.35">
      <c r="A112" s="2">
        <v>39845</v>
      </c>
      <c r="B112">
        <v>65.501279999999994</v>
      </c>
      <c r="C112">
        <v>7.9244415522085332E-2</v>
      </c>
      <c r="D112">
        <f t="shared" si="22"/>
        <v>5.1906106495484572</v>
      </c>
      <c r="E112">
        <f t="shared" si="28"/>
        <v>4.3168328563254033</v>
      </c>
      <c r="F112">
        <f t="shared" si="29"/>
        <v>8.8597741183126573</v>
      </c>
      <c r="G112">
        <f t="shared" si="39"/>
        <v>3.0915992618187005</v>
      </c>
      <c r="I112">
        <v>66.791730000000001</v>
      </c>
      <c r="J112">
        <v>0.11851970512699711</v>
      </c>
      <c r="K112">
        <f t="shared" si="23"/>
        <v>7.9161361445220066</v>
      </c>
      <c r="L112">
        <f t="shared" si="30"/>
        <v>0.42067641098371134</v>
      </c>
      <c r="M112">
        <f t="shared" si="31"/>
        <v>4.9636176729709653</v>
      </c>
      <c r="N112">
        <f t="shared" si="40"/>
        <v>3.5838252012578615</v>
      </c>
      <c r="P112">
        <v>43.502139999999997</v>
      </c>
      <c r="Q112">
        <v>0.47474721338410819</v>
      </c>
      <c r="R112">
        <f t="shared" si="24"/>
        <v>20.652519741245346</v>
      </c>
      <c r="S112">
        <f t="shared" si="32"/>
        <v>-8.0916367926362032</v>
      </c>
      <c r="T112">
        <f t="shared" si="33"/>
        <v>3.5486955306489492</v>
      </c>
      <c r="U112">
        <f t="shared" si="41"/>
        <v>2.1837273959180337E-2</v>
      </c>
      <c r="W112">
        <v>55.823860000000003</v>
      </c>
      <c r="X112">
        <v>1.6993997584310024E-2</v>
      </c>
      <c r="Y112">
        <f t="shared" si="25"/>
        <v>0.94867054198686107</v>
      </c>
      <c r="Z112">
        <f t="shared" si="34"/>
        <v>-11.10139695880148</v>
      </c>
      <c r="AA112">
        <f t="shared" si="35"/>
        <v>6.5584556968142262</v>
      </c>
      <c r="AB112">
        <f t="shared" si="42"/>
        <v>3.3263238924717622</v>
      </c>
      <c r="AD112">
        <v>30.941780000000001</v>
      </c>
      <c r="AE112">
        <v>0.31049466838249934</v>
      </c>
      <c r="AF112">
        <f t="shared" si="26"/>
        <v>9.6072577202642506</v>
      </c>
      <c r="AG112">
        <f t="shared" si="36"/>
        <v>-4.1911039095150375</v>
      </c>
      <c r="AH112">
        <f t="shared" si="37"/>
        <v>0.35183735247221648</v>
      </c>
      <c r="AI112">
        <f t="shared" si="43"/>
        <v>2.1729305371272942</v>
      </c>
      <c r="AL112">
        <f t="shared" si="27"/>
        <v>44.315194797566917</v>
      </c>
      <c r="AM112">
        <f t="shared" si="38"/>
        <v>-4.542941261987254</v>
      </c>
    </row>
    <row r="113" spans="1:39" x14ac:dyDescent="0.35">
      <c r="A113" s="2">
        <v>39873</v>
      </c>
      <c r="B113">
        <v>62.713560000000001</v>
      </c>
      <c r="C113">
        <v>7.9244415522085332E-2</v>
      </c>
      <c r="D113">
        <f t="shared" si="22"/>
        <v>4.9696994075092302</v>
      </c>
      <c r="E113">
        <f t="shared" si="28"/>
        <v>-4.2559778984471608</v>
      </c>
      <c r="F113">
        <f t="shared" si="29"/>
        <v>1.9861616254902903</v>
      </c>
      <c r="G113">
        <f t="shared" si="39"/>
        <v>6.8736124928223674</v>
      </c>
      <c r="I113">
        <v>66.522959999999998</v>
      </c>
      <c r="J113">
        <v>0.11851970512699711</v>
      </c>
      <c r="K113">
        <f t="shared" si="23"/>
        <v>7.8842816033750234</v>
      </c>
      <c r="L113">
        <f t="shared" si="30"/>
        <v>-0.40240011749957949</v>
      </c>
      <c r="M113">
        <f t="shared" si="31"/>
        <v>1.867416155457291</v>
      </c>
      <c r="N113">
        <f t="shared" si="40"/>
        <v>3.0962015175136743</v>
      </c>
      <c r="P113">
        <v>42.982349999999997</v>
      </c>
      <c r="Q113">
        <v>0.47474721338410819</v>
      </c>
      <c r="R113">
        <f t="shared" si="24"/>
        <v>20.405750887200423</v>
      </c>
      <c r="S113">
        <f t="shared" si="32"/>
        <v>-1.1948607585741788</v>
      </c>
      <c r="T113">
        <f t="shared" si="33"/>
        <v>1.0749555143826917</v>
      </c>
      <c r="U113">
        <f t="shared" si="41"/>
        <v>2.4737400162662575</v>
      </c>
      <c r="W113">
        <v>45.255839999999999</v>
      </c>
      <c r="X113">
        <v>1.6993997584310024E-2</v>
      </c>
      <c r="Y113">
        <f t="shared" si="25"/>
        <v>0.76907763563592091</v>
      </c>
      <c r="Z113">
        <f t="shared" si="34"/>
        <v>-18.931009070315095</v>
      </c>
      <c r="AA113">
        <f t="shared" si="35"/>
        <v>16.661192797358225</v>
      </c>
      <c r="AB113">
        <f t="shared" si="42"/>
        <v>10.102737100543999</v>
      </c>
      <c r="AD113">
        <v>29.88944</v>
      </c>
      <c r="AE113">
        <v>0.31049466838249934</v>
      </c>
      <c r="AF113">
        <f t="shared" si="26"/>
        <v>9.2805117609386105</v>
      </c>
      <c r="AG113">
        <f t="shared" si="36"/>
        <v>-3.4010325197839308</v>
      </c>
      <c r="AH113">
        <f t="shared" si="37"/>
        <v>1.1312162468270603</v>
      </c>
      <c r="AI113">
        <f t="shared" si="43"/>
        <v>0.77937889435484387</v>
      </c>
      <c r="AL113">
        <f t="shared" si="27"/>
        <v>43.309321294659206</v>
      </c>
      <c r="AM113">
        <f t="shared" si="38"/>
        <v>-2.2698162729568705</v>
      </c>
    </row>
    <row r="114" spans="1:39" x14ac:dyDescent="0.35">
      <c r="A114" s="2">
        <v>39904</v>
      </c>
      <c r="B114">
        <v>66.375380000000007</v>
      </c>
      <c r="C114">
        <v>7.9244415522085332E-2</v>
      </c>
      <c r="D114">
        <f t="shared" si="22"/>
        <v>5.2598781931563128</v>
      </c>
      <c r="E114">
        <f t="shared" si="28"/>
        <v>5.8389605055110927</v>
      </c>
      <c r="F114">
        <f t="shared" si="29"/>
        <v>5.8022482820017309</v>
      </c>
      <c r="G114">
        <f t="shared" si="39"/>
        <v>3.8160866565114406</v>
      </c>
      <c r="I114">
        <v>69.480959999999996</v>
      </c>
      <c r="J114">
        <v>0.11851970512699711</v>
      </c>
      <c r="K114">
        <f t="shared" si="23"/>
        <v>8.2348628911406809</v>
      </c>
      <c r="L114">
        <f t="shared" si="30"/>
        <v>4.446585058752639</v>
      </c>
      <c r="M114">
        <f t="shared" si="31"/>
        <v>7.1946237287601846</v>
      </c>
      <c r="N114">
        <f t="shared" si="40"/>
        <v>5.3272075733028936</v>
      </c>
      <c r="P114">
        <v>48.732729999999997</v>
      </c>
      <c r="Q114">
        <v>0.47474721338410819</v>
      </c>
      <c r="R114">
        <f t="shared" si="24"/>
        <v>23.135727768100129</v>
      </c>
      <c r="S114">
        <f t="shared" si="32"/>
        <v>13.378468138666211</v>
      </c>
      <c r="T114">
        <f t="shared" si="33"/>
        <v>1.7372593511533871</v>
      </c>
      <c r="U114">
        <f t="shared" si="41"/>
        <v>0.66230383677069549</v>
      </c>
      <c r="W114">
        <v>43.983600000000003</v>
      </c>
      <c r="X114">
        <v>1.6993997584310024E-2</v>
      </c>
      <c r="Y114">
        <f t="shared" si="25"/>
        <v>0.74745719214925843</v>
      </c>
      <c r="Z114">
        <f t="shared" si="34"/>
        <v>-2.8112172926190171</v>
      </c>
      <c r="AA114">
        <f t="shared" si="35"/>
        <v>14.45242608013184</v>
      </c>
      <c r="AB114">
        <f t="shared" si="42"/>
        <v>2.2087667172263856</v>
      </c>
      <c r="AD114">
        <v>35.340780000000002</v>
      </c>
      <c r="AE114">
        <v>0.31049466838249934</v>
      </c>
      <c r="AF114">
        <f t="shared" si="26"/>
        <v>10.973123766478865</v>
      </c>
      <c r="AG114">
        <f t="shared" si="36"/>
        <v>18.238347724146053</v>
      </c>
      <c r="AH114">
        <f t="shared" si="37"/>
        <v>6.5971389366332289</v>
      </c>
      <c r="AI114">
        <f t="shared" si="43"/>
        <v>5.4659226898061686</v>
      </c>
      <c r="AL114">
        <f t="shared" si="27"/>
        <v>48.351049811025241</v>
      </c>
      <c r="AM114">
        <f t="shared" si="38"/>
        <v>11.641208787512824</v>
      </c>
    </row>
    <row r="115" spans="1:39" x14ac:dyDescent="0.35">
      <c r="A115" s="2">
        <v>39934</v>
      </c>
      <c r="B115">
        <v>74.208179999999999</v>
      </c>
      <c r="C115">
        <v>7.9244415522085332E-2</v>
      </c>
      <c r="D115">
        <f t="shared" si="22"/>
        <v>5.8805838510577022</v>
      </c>
      <c r="E115">
        <f t="shared" si="28"/>
        <v>11.800761065322707</v>
      </c>
      <c r="F115">
        <f t="shared" si="29"/>
        <v>1.0936149585856434</v>
      </c>
      <c r="G115">
        <f t="shared" si="39"/>
        <v>4.7086333234160875</v>
      </c>
      <c r="I115">
        <v>77.667000000000002</v>
      </c>
      <c r="J115">
        <v>0.11851970512699711</v>
      </c>
      <c r="K115">
        <f t="shared" si="23"/>
        <v>9.2050699380984842</v>
      </c>
      <c r="L115">
        <f t="shared" si="30"/>
        <v>11.781702498065671</v>
      </c>
      <c r="M115">
        <f t="shared" si="31"/>
        <v>1.1126735258426788</v>
      </c>
      <c r="N115">
        <f t="shared" si="40"/>
        <v>6.0819502029175059</v>
      </c>
      <c r="P115">
        <v>54.285330000000002</v>
      </c>
      <c r="Q115">
        <v>0.47474721338410819</v>
      </c>
      <c r="R115">
        <f t="shared" si="24"/>
        <v>25.771809145136732</v>
      </c>
      <c r="S115">
        <f t="shared" si="32"/>
        <v>11.393985110212391</v>
      </c>
      <c r="T115">
        <f t="shared" si="33"/>
        <v>1.5003909136959592</v>
      </c>
      <c r="U115">
        <f t="shared" si="41"/>
        <v>0.23686843745742792</v>
      </c>
      <c r="W115">
        <v>43.742820000000002</v>
      </c>
      <c r="X115">
        <v>1.6993997584310024E-2</v>
      </c>
      <c r="Y115">
        <f t="shared" si="25"/>
        <v>0.74336537741090825</v>
      </c>
      <c r="Z115">
        <f t="shared" si="34"/>
        <v>-0.54743131530843314</v>
      </c>
      <c r="AA115">
        <f t="shared" si="35"/>
        <v>13.441807339216783</v>
      </c>
      <c r="AB115">
        <f t="shared" si="42"/>
        <v>1.0106187409150564</v>
      </c>
      <c r="AD115">
        <v>41.819679999999998</v>
      </c>
      <c r="AE115">
        <v>0.31049466838249934</v>
      </c>
      <c r="AF115">
        <f t="shared" si="26"/>
        <v>12.98478767346224</v>
      </c>
      <c r="AG115">
        <f t="shared" si="36"/>
        <v>18.332645742397304</v>
      </c>
      <c r="AH115">
        <f t="shared" si="37"/>
        <v>5.4382697184889537</v>
      </c>
      <c r="AI115">
        <f t="shared" si="43"/>
        <v>1.1588692181442752</v>
      </c>
      <c r="AL115">
        <f t="shared" si="27"/>
        <v>54.585615985166065</v>
      </c>
      <c r="AM115">
        <f t="shared" si="38"/>
        <v>12.89437602390835</v>
      </c>
    </row>
    <row r="116" spans="1:39" x14ac:dyDescent="0.35">
      <c r="A116" s="2">
        <v>39965</v>
      </c>
      <c r="B116">
        <v>79.711200000000005</v>
      </c>
      <c r="C116">
        <v>7.9244415522085332E-2</v>
      </c>
      <c r="D116">
        <f t="shared" si="22"/>
        <v>6.3166674545640484</v>
      </c>
      <c r="E116">
        <f t="shared" si="28"/>
        <v>7.4156514820872932</v>
      </c>
      <c r="F116">
        <f t="shared" si="29"/>
        <v>2.9180155514164419</v>
      </c>
      <c r="G116">
        <f t="shared" si="39"/>
        <v>1.8244005928307985</v>
      </c>
      <c r="I116">
        <v>83.201490000000007</v>
      </c>
      <c r="J116">
        <v>0.11851970512699711</v>
      </c>
      <c r="K116">
        <f t="shared" si="23"/>
        <v>9.8610160609267989</v>
      </c>
      <c r="L116">
        <f t="shared" si="30"/>
        <v>7.1259222063424721</v>
      </c>
      <c r="M116">
        <f t="shared" si="31"/>
        <v>2.6282862756716208</v>
      </c>
      <c r="N116">
        <f t="shared" si="40"/>
        <v>1.515612749828942</v>
      </c>
      <c r="P116">
        <v>55.982660000000003</v>
      </c>
      <c r="Q116">
        <v>0.47474721338410819</v>
      </c>
      <c r="R116">
        <f t="shared" si="24"/>
        <v>26.57761183282998</v>
      </c>
      <c r="S116">
        <f t="shared" si="32"/>
        <v>3.126682659937785</v>
      </c>
      <c r="T116">
        <f t="shared" si="33"/>
        <v>1.3709532707330663</v>
      </c>
      <c r="U116">
        <f t="shared" si="41"/>
        <v>0.12943764296289295</v>
      </c>
      <c r="W116">
        <v>42.449280000000002</v>
      </c>
      <c r="X116">
        <v>1.6993997584310024E-2</v>
      </c>
      <c r="Y116">
        <f t="shared" si="25"/>
        <v>0.72138296177569983</v>
      </c>
      <c r="Z116">
        <f t="shared" si="34"/>
        <v>-2.9571481674021016</v>
      </c>
      <c r="AA116">
        <f t="shared" si="35"/>
        <v>7.4547840980729525</v>
      </c>
      <c r="AB116">
        <f t="shared" si="42"/>
        <v>5.9870232411438309</v>
      </c>
      <c r="AD116">
        <v>43.685130000000001</v>
      </c>
      <c r="AE116">
        <v>0.31049466838249934</v>
      </c>
      <c r="AF116">
        <f t="shared" si="26"/>
        <v>13.563999952596374</v>
      </c>
      <c r="AG116">
        <f t="shared" si="36"/>
        <v>4.4606988862659902</v>
      </c>
      <c r="AH116">
        <f t="shared" si="37"/>
        <v>3.6937044404861119E-2</v>
      </c>
      <c r="AI116">
        <f t="shared" si="43"/>
        <v>5.4013326740840926</v>
      </c>
      <c r="AL116">
        <f t="shared" si="27"/>
        <v>57.0406782626929</v>
      </c>
      <c r="AM116">
        <f t="shared" si="38"/>
        <v>4.4976359306708513</v>
      </c>
    </row>
    <row r="117" spans="1:39" x14ac:dyDescent="0.35">
      <c r="A117" s="2">
        <v>39995</v>
      </c>
      <c r="B117">
        <v>80.079480000000004</v>
      </c>
      <c r="C117">
        <v>7.9244415522085332E-2</v>
      </c>
      <c r="D117">
        <f t="shared" si="22"/>
        <v>6.3458515879125219</v>
      </c>
      <c r="E117">
        <f t="shared" si="28"/>
        <v>0.46201788456328163</v>
      </c>
      <c r="F117">
        <f t="shared" si="29"/>
        <v>3.7289217512054496</v>
      </c>
      <c r="G117">
        <f t="shared" si="39"/>
        <v>0.81090619978900769</v>
      </c>
      <c r="I117">
        <v>86.645970000000005</v>
      </c>
      <c r="J117">
        <v>0.11851970512699711</v>
      </c>
      <c r="K117">
        <f t="shared" si="23"/>
        <v>10.269254814842638</v>
      </c>
      <c r="L117">
        <f t="shared" si="30"/>
        <v>4.1399258595008259</v>
      </c>
      <c r="M117">
        <f t="shared" si="31"/>
        <v>5.1013776267905264E-2</v>
      </c>
      <c r="N117">
        <f t="shared" si="40"/>
        <v>2.5772724994037155</v>
      </c>
      <c r="P117">
        <v>57.613280000000003</v>
      </c>
      <c r="Q117">
        <v>0.47474721338410819</v>
      </c>
      <c r="R117">
        <f t="shared" si="24"/>
        <v>27.351744133918373</v>
      </c>
      <c r="S117">
        <f t="shared" si="32"/>
        <v>2.9127233325461743</v>
      </c>
      <c r="T117">
        <f t="shared" si="33"/>
        <v>1.2782163032225569</v>
      </c>
      <c r="U117">
        <f t="shared" si="41"/>
        <v>9.2736967510509416E-2</v>
      </c>
      <c r="W117">
        <v>42.254860000000001</v>
      </c>
      <c r="X117">
        <v>1.6993997584310024E-2</v>
      </c>
      <c r="Y117">
        <f t="shared" si="25"/>
        <v>0.71807898876535825</v>
      </c>
      <c r="Z117">
        <f t="shared" si="34"/>
        <v>-0.45800541257707827</v>
      </c>
      <c r="AA117">
        <f t="shared" si="35"/>
        <v>4.6489450483458095</v>
      </c>
      <c r="AB117">
        <f t="shared" si="42"/>
        <v>2.805839049727143</v>
      </c>
      <c r="AD117">
        <v>47.492890000000003</v>
      </c>
      <c r="AE117">
        <v>0.31049466838249934</v>
      </c>
      <c r="AF117">
        <f t="shared" si="26"/>
        <v>14.746289131076519</v>
      </c>
      <c r="AG117">
        <f t="shared" si="36"/>
        <v>8.7163755721912715</v>
      </c>
      <c r="AH117">
        <f t="shared" si="37"/>
        <v>4.5254359364225403</v>
      </c>
      <c r="AI117">
        <f t="shared" si="43"/>
        <v>4.4884988920176792</v>
      </c>
      <c r="AL117">
        <f t="shared" si="27"/>
        <v>59.431218656515412</v>
      </c>
      <c r="AM117">
        <f t="shared" si="38"/>
        <v>4.1909396357687312</v>
      </c>
    </row>
    <row r="118" spans="1:39" x14ac:dyDescent="0.35">
      <c r="A118" s="2">
        <v>40026</v>
      </c>
      <c r="B118">
        <v>81.952780000000004</v>
      </c>
      <c r="C118">
        <v>7.9244415522085332E-2</v>
      </c>
      <c r="D118">
        <f t="shared" si="22"/>
        <v>6.4943001515100445</v>
      </c>
      <c r="E118">
        <f t="shared" si="28"/>
        <v>2.3393009045513224</v>
      </c>
      <c r="F118">
        <f t="shared" si="29"/>
        <v>8.6520391647303185</v>
      </c>
      <c r="G118">
        <f t="shared" si="39"/>
        <v>4.923117413524869</v>
      </c>
      <c r="I118">
        <v>92.403630000000007</v>
      </c>
      <c r="J118">
        <v>0.11851970512699711</v>
      </c>
      <c r="K118">
        <f t="shared" si="23"/>
        <v>10.951650980264144</v>
      </c>
      <c r="L118">
        <f t="shared" si="30"/>
        <v>6.6450407329965877</v>
      </c>
      <c r="M118">
        <f t="shared" si="31"/>
        <v>4.3462993362850533</v>
      </c>
      <c r="N118">
        <f t="shared" si="40"/>
        <v>4.295285560017148</v>
      </c>
      <c r="P118">
        <v>63.780619999999999</v>
      </c>
      <c r="Q118">
        <v>0.47474721338410819</v>
      </c>
      <c r="R118">
        <f t="shared" si="24"/>
        <v>30.279671612910718</v>
      </c>
      <c r="S118">
        <f t="shared" si="32"/>
        <v>10.704719467456103</v>
      </c>
      <c r="T118">
        <f t="shared" si="33"/>
        <v>0.28662060182553795</v>
      </c>
      <c r="U118">
        <f t="shared" si="41"/>
        <v>0.99159570139701891</v>
      </c>
      <c r="W118">
        <v>43.241289999999999</v>
      </c>
      <c r="X118">
        <v>1.6993997584310024E-2</v>
      </c>
      <c r="Y118">
        <f t="shared" si="25"/>
        <v>0.73484237780244921</v>
      </c>
      <c r="Z118">
        <f t="shared" si="34"/>
        <v>2.3344770282045735</v>
      </c>
      <c r="AA118">
        <f t="shared" si="35"/>
        <v>8.6568630410770666</v>
      </c>
      <c r="AB118">
        <f t="shared" si="42"/>
        <v>4.0079179927312572</v>
      </c>
      <c r="AD118">
        <v>56.371470000000002</v>
      </c>
      <c r="AE118">
        <v>0.31049466838249934</v>
      </c>
      <c r="AF118">
        <f t="shared" si="26"/>
        <v>17.503040883884012</v>
      </c>
      <c r="AG118">
        <f t="shared" si="36"/>
        <v>18.694545646727324</v>
      </c>
      <c r="AH118">
        <f t="shared" si="37"/>
        <v>7.7032055774456829</v>
      </c>
      <c r="AI118">
        <f t="shared" si="43"/>
        <v>3.1777696410231426</v>
      </c>
      <c r="AL118">
        <f t="shared" si="27"/>
        <v>65.963506006371375</v>
      </c>
      <c r="AM118">
        <f t="shared" si="38"/>
        <v>10.991340069281641</v>
      </c>
    </row>
    <row r="119" spans="1:39" x14ac:dyDescent="0.35">
      <c r="A119" s="2">
        <v>40057</v>
      </c>
      <c r="B119">
        <v>81.710880000000003</v>
      </c>
      <c r="C119">
        <v>7.9244415522085332E-2</v>
      </c>
      <c r="D119">
        <f t="shared" si="22"/>
        <v>6.4751309273952522</v>
      </c>
      <c r="E119">
        <f t="shared" si="28"/>
        <v>-0.2951699747098302</v>
      </c>
      <c r="F119">
        <f t="shared" si="29"/>
        <v>3.5275685751355534</v>
      </c>
      <c r="G119">
        <f t="shared" si="39"/>
        <v>5.1244705895947646</v>
      </c>
      <c r="I119">
        <v>96.892409999999998</v>
      </c>
      <c r="J119">
        <v>0.11851970512699711</v>
      </c>
      <c r="K119">
        <f t="shared" si="23"/>
        <v>11.483659862244107</v>
      </c>
      <c r="L119">
        <f t="shared" si="30"/>
        <v>4.8577961709945772</v>
      </c>
      <c r="M119">
        <f t="shared" si="31"/>
        <v>1.6253975705688539</v>
      </c>
      <c r="N119">
        <f t="shared" si="40"/>
        <v>2.7209017657161993</v>
      </c>
      <c r="P119">
        <v>66.250209999999996</v>
      </c>
      <c r="Q119">
        <v>0.47474721338410819</v>
      </c>
      <c r="R119">
        <f t="shared" si="24"/>
        <v>31.452102583611975</v>
      </c>
      <c r="S119">
        <f t="shared" si="32"/>
        <v>3.8720068886128667</v>
      </c>
      <c r="T119">
        <f t="shared" si="33"/>
        <v>0.63960828818714344</v>
      </c>
      <c r="U119">
        <f t="shared" si="41"/>
        <v>0.35298768636160549</v>
      </c>
      <c r="W119">
        <v>44.357489999999999</v>
      </c>
      <c r="X119">
        <v>1.6993997584310024E-2</v>
      </c>
      <c r="Y119">
        <f t="shared" si="25"/>
        <v>0.75381107790605606</v>
      </c>
      <c r="Z119">
        <f t="shared" si="34"/>
        <v>2.5813290954085799</v>
      </c>
      <c r="AA119">
        <f t="shared" si="35"/>
        <v>0.65106950501714334</v>
      </c>
      <c r="AB119">
        <f t="shared" si="42"/>
        <v>8.0057935360599224</v>
      </c>
      <c r="AD119">
        <v>57.7498</v>
      </c>
      <c r="AE119">
        <v>0.31049466838249934</v>
      </c>
      <c r="AF119">
        <f t="shared" si="26"/>
        <v>17.931005000155661</v>
      </c>
      <c r="AG119">
        <f t="shared" si="36"/>
        <v>2.445084366258321</v>
      </c>
      <c r="AH119">
        <f t="shared" si="37"/>
        <v>0.7873142341674022</v>
      </c>
      <c r="AI119">
        <f t="shared" si="43"/>
        <v>6.9158913432782807</v>
      </c>
      <c r="AL119">
        <f t="shared" si="27"/>
        <v>68.095709451313056</v>
      </c>
      <c r="AM119">
        <f t="shared" si="38"/>
        <v>3.2323986004257232</v>
      </c>
    </row>
    <row r="120" spans="1:39" x14ac:dyDescent="0.35">
      <c r="A120" s="2">
        <v>40087</v>
      </c>
      <c r="B120">
        <v>85.094989999999996</v>
      </c>
      <c r="C120">
        <v>7.9244415522085332E-2</v>
      </c>
      <c r="D120">
        <f t="shared" si="22"/>
        <v>6.7433027464076956</v>
      </c>
      <c r="E120">
        <f t="shared" si="28"/>
        <v>4.1415659701621088</v>
      </c>
      <c r="F120">
        <f t="shared" si="29"/>
        <v>0.40274276004623744</v>
      </c>
      <c r="G120">
        <f t="shared" si="39"/>
        <v>3.124825815089316</v>
      </c>
      <c r="I120">
        <v>101.8404</v>
      </c>
      <c r="J120">
        <v>0.11851970512699711</v>
      </c>
      <c r="K120">
        <f t="shared" si="23"/>
        <v>12.070094178015436</v>
      </c>
      <c r="L120">
        <f t="shared" si="30"/>
        <v>5.1066848270158616</v>
      </c>
      <c r="M120">
        <f t="shared" si="31"/>
        <v>0.56237609680751532</v>
      </c>
      <c r="N120">
        <f t="shared" si="40"/>
        <v>1.0630214737613386</v>
      </c>
      <c r="P120">
        <v>68.338809999999995</v>
      </c>
      <c r="Q120">
        <v>0.47474721338410819</v>
      </c>
      <c r="R120">
        <f t="shared" si="24"/>
        <v>32.443659613486027</v>
      </c>
      <c r="S120">
        <f t="shared" si="32"/>
        <v>3.1525937804574466</v>
      </c>
      <c r="T120">
        <f t="shared" si="33"/>
        <v>1.3917149497508996</v>
      </c>
      <c r="U120">
        <f t="shared" si="41"/>
        <v>0.75210666156375616</v>
      </c>
      <c r="W120">
        <v>44.958979999999997</v>
      </c>
      <c r="X120">
        <v>1.6993997584310024E-2</v>
      </c>
      <c r="Y120">
        <f t="shared" si="25"/>
        <v>0.76403279751304265</v>
      </c>
      <c r="Z120">
        <f t="shared" si="34"/>
        <v>1.3560054908426933</v>
      </c>
      <c r="AA120">
        <f t="shared" si="35"/>
        <v>3.188303239365653</v>
      </c>
      <c r="AB120">
        <f t="shared" si="42"/>
        <v>2.5372337343485096</v>
      </c>
      <c r="AD120">
        <v>61.737290000000002</v>
      </c>
      <c r="AE120">
        <v>0.31049466838249934</v>
      </c>
      <c r="AF120">
        <f t="shared" si="26"/>
        <v>19.169099385384193</v>
      </c>
      <c r="AG120">
        <f t="shared" si="36"/>
        <v>6.904768501362768</v>
      </c>
      <c r="AH120">
        <f t="shared" si="37"/>
        <v>2.3604597711544217</v>
      </c>
      <c r="AI120">
        <f t="shared" si="43"/>
        <v>1.5731455369870195</v>
      </c>
      <c r="AL120">
        <f t="shared" si="27"/>
        <v>71.19018872080639</v>
      </c>
      <c r="AM120">
        <f t="shared" si="38"/>
        <v>4.5443087302083462</v>
      </c>
    </row>
    <row r="121" spans="1:39" x14ac:dyDescent="0.35">
      <c r="A121" s="2">
        <v>40118</v>
      </c>
      <c r="B121">
        <v>82.608649999999997</v>
      </c>
      <c r="C121">
        <v>7.9244415522085332E-2</v>
      </c>
      <c r="D121">
        <f t="shared" si="22"/>
        <v>6.5462741863185139</v>
      </c>
      <c r="E121">
        <f t="shared" si="28"/>
        <v>-2.9218406395018048</v>
      </c>
      <c r="F121">
        <f t="shared" si="29"/>
        <v>1.7184067265986203</v>
      </c>
      <c r="G121">
        <f t="shared" si="39"/>
        <v>1.3156639665523828</v>
      </c>
      <c r="I121">
        <v>101.0898</v>
      </c>
      <c r="J121">
        <v>0.11851970512699711</v>
      </c>
      <c r="K121">
        <f t="shared" si="23"/>
        <v>11.981133287347111</v>
      </c>
      <c r="L121">
        <f t="shared" si="30"/>
        <v>-0.737035596875113</v>
      </c>
      <c r="M121">
        <f t="shared" si="31"/>
        <v>0.46639831602807158</v>
      </c>
      <c r="N121">
        <f t="shared" si="40"/>
        <v>9.5977780779443744E-2</v>
      </c>
      <c r="P121">
        <v>69.585759999999993</v>
      </c>
      <c r="Q121">
        <v>0.47474721338410819</v>
      </c>
      <c r="R121">
        <f t="shared" si="24"/>
        <v>33.03564565121534</v>
      </c>
      <c r="S121">
        <f t="shared" si="32"/>
        <v>1.8246586383344976</v>
      </c>
      <c r="T121">
        <f t="shared" si="33"/>
        <v>3.0280925512376822</v>
      </c>
      <c r="U121">
        <f t="shared" si="41"/>
        <v>1.6363776014867826</v>
      </c>
      <c r="W121">
        <v>43.370049999999999</v>
      </c>
      <c r="X121">
        <v>1.6993997584310024E-2</v>
      </c>
      <c r="Y121">
        <f t="shared" si="25"/>
        <v>0.73703052493140497</v>
      </c>
      <c r="Z121">
        <f t="shared" si="34"/>
        <v>-3.5341771543749401</v>
      </c>
      <c r="AA121">
        <f t="shared" si="35"/>
        <v>2.3307432414717555</v>
      </c>
      <c r="AB121">
        <f t="shared" si="42"/>
        <v>0.85755999789389747</v>
      </c>
      <c r="AD121">
        <v>58.079509999999999</v>
      </c>
      <c r="AE121">
        <v>0.31049466838249934</v>
      </c>
      <c r="AF121">
        <f t="shared" si="26"/>
        <v>18.033378197268053</v>
      </c>
      <c r="AG121">
        <f t="shared" si="36"/>
        <v>-5.9247498553953388</v>
      </c>
      <c r="AH121">
        <f t="shared" si="37"/>
        <v>4.7213159424921542</v>
      </c>
      <c r="AI121">
        <f t="shared" si="43"/>
        <v>2.3608561713377325</v>
      </c>
      <c r="AL121">
        <f t="shared" si="27"/>
        <v>70.333461847080429</v>
      </c>
      <c r="AM121">
        <f t="shared" si="38"/>
        <v>-1.2034339129031846</v>
      </c>
    </row>
    <row r="122" spans="1:39" x14ac:dyDescent="0.35">
      <c r="A122" s="2">
        <v>40148</v>
      </c>
      <c r="B122">
        <v>85.486680000000007</v>
      </c>
      <c r="C122">
        <v>7.9244415522085332E-2</v>
      </c>
      <c r="D122">
        <f t="shared" si="22"/>
        <v>6.7743419915235421</v>
      </c>
      <c r="E122">
        <f t="shared" si="28"/>
        <v>3.4839329779629669</v>
      </c>
      <c r="F122">
        <f t="shared" si="29"/>
        <v>2.0279364855140036</v>
      </c>
      <c r="G122">
        <f t="shared" si="39"/>
        <v>0.30952975891538337</v>
      </c>
      <c r="I122">
        <v>105.8809</v>
      </c>
      <c r="J122">
        <v>0.11851970512699711</v>
      </c>
      <c r="K122">
        <f t="shared" si="23"/>
        <v>12.548973046581068</v>
      </c>
      <c r="L122">
        <f t="shared" si="30"/>
        <v>4.7394494795716335</v>
      </c>
      <c r="M122">
        <f t="shared" si="31"/>
        <v>0.77241998390533695</v>
      </c>
      <c r="N122">
        <f t="shared" si="40"/>
        <v>0.30602166787726537</v>
      </c>
      <c r="P122">
        <v>73.125590000000003</v>
      </c>
      <c r="Q122">
        <v>0.47474721338410819</v>
      </c>
      <c r="R122">
        <f t="shared" si="24"/>
        <v>34.716170079568812</v>
      </c>
      <c r="S122">
        <f t="shared" si="32"/>
        <v>5.0870034328862834</v>
      </c>
      <c r="T122">
        <f t="shared" si="33"/>
        <v>0.42486603059068706</v>
      </c>
      <c r="U122">
        <f t="shared" si="41"/>
        <v>2.6032265206469951</v>
      </c>
      <c r="W122">
        <v>46.707230000000003</v>
      </c>
      <c r="X122">
        <v>1.6993997584310024E-2</v>
      </c>
      <c r="Y122">
        <f t="shared" si="25"/>
        <v>0.79374255378981273</v>
      </c>
      <c r="Z122">
        <f t="shared" si="34"/>
        <v>7.6946648666533779</v>
      </c>
      <c r="AA122">
        <f t="shared" si="35"/>
        <v>2.1827954031764074</v>
      </c>
      <c r="AB122">
        <f t="shared" si="42"/>
        <v>0.14794783829534808</v>
      </c>
      <c r="AD122">
        <v>62.406619999999997</v>
      </c>
      <c r="AE122">
        <v>0.31049466838249934</v>
      </c>
      <c r="AF122">
        <f t="shared" si="26"/>
        <v>19.376922781772649</v>
      </c>
      <c r="AG122">
        <f t="shared" si="36"/>
        <v>7.4503211201334185</v>
      </c>
      <c r="AH122">
        <f t="shared" si="37"/>
        <v>1.938451656656448</v>
      </c>
      <c r="AI122">
        <f t="shared" si="43"/>
        <v>2.7828642858357062</v>
      </c>
      <c r="AL122">
        <f t="shared" si="27"/>
        <v>74.210150453235883</v>
      </c>
      <c r="AM122">
        <f t="shared" si="38"/>
        <v>5.5118694634769705</v>
      </c>
    </row>
    <row r="123" spans="1:39" x14ac:dyDescent="0.35">
      <c r="A123" s="2">
        <v>40179</v>
      </c>
      <c r="B123">
        <v>91.765270000000001</v>
      </c>
      <c r="C123">
        <v>7.9085606361323751E-2</v>
      </c>
      <c r="D123">
        <f t="shared" si="22"/>
        <v>7.2573120208605921</v>
      </c>
      <c r="E123">
        <f t="shared" si="28"/>
        <v>7.3445243165367824</v>
      </c>
      <c r="F123">
        <f t="shared" si="29"/>
        <v>4.6343689413435696</v>
      </c>
      <c r="G123">
        <f t="shared" si="39"/>
        <v>2.606432455829566</v>
      </c>
      <c r="I123">
        <v>106.44889999999999</v>
      </c>
      <c r="J123">
        <v>0.11676583817890449</v>
      </c>
      <c r="K123">
        <f t="shared" si="23"/>
        <v>12.429595031722386</v>
      </c>
      <c r="L123">
        <f t="shared" si="30"/>
        <v>0.53645180575532248</v>
      </c>
      <c r="M123">
        <f t="shared" si="31"/>
        <v>2.1737035694378903</v>
      </c>
      <c r="N123">
        <f t="shared" si="40"/>
        <v>1.4012835855325534</v>
      </c>
      <c r="P123">
        <v>72.890799999999999</v>
      </c>
      <c r="Q123">
        <v>0.46985547174813003</v>
      </c>
      <c r="R123">
        <f t="shared" si="24"/>
        <v>34.248141220098596</v>
      </c>
      <c r="S123">
        <f t="shared" si="32"/>
        <v>-0.3210777513042995</v>
      </c>
      <c r="T123">
        <f t="shared" si="33"/>
        <v>3.0312331264975123</v>
      </c>
      <c r="U123">
        <f t="shared" si="41"/>
        <v>2.6063670959068252</v>
      </c>
      <c r="W123">
        <v>52.593510000000002</v>
      </c>
      <c r="X123">
        <v>1.6881221793070795E-2</v>
      </c>
      <c r="Y123">
        <f t="shared" si="25"/>
        <v>0.88784270718608682</v>
      </c>
      <c r="Z123">
        <f t="shared" si="34"/>
        <v>12.602502867329113</v>
      </c>
      <c r="AA123">
        <f t="shared" si="35"/>
        <v>9.8923474921359009</v>
      </c>
      <c r="AB123">
        <f t="shared" si="42"/>
        <v>7.7095520889594935</v>
      </c>
      <c r="AD123">
        <v>67.415469999999999</v>
      </c>
      <c r="AE123">
        <v>0.3174118619185709</v>
      </c>
      <c r="AF123">
        <f t="shared" si="26"/>
        <v>21.398469854815559</v>
      </c>
      <c r="AG123">
        <f t="shared" si="36"/>
        <v>8.026151712750984</v>
      </c>
      <c r="AH123">
        <f t="shared" si="37"/>
        <v>5.3159963375577712</v>
      </c>
      <c r="AI123">
        <f t="shared" si="43"/>
        <v>3.3775446809013232</v>
      </c>
      <c r="AL123">
        <f t="shared" si="27"/>
        <v>76.221360834683225</v>
      </c>
      <c r="AM123">
        <f t="shared" si="38"/>
        <v>2.7101553751932128</v>
      </c>
    </row>
    <row r="124" spans="1:39" x14ac:dyDescent="0.35">
      <c r="A124" s="2">
        <v>40210</v>
      </c>
      <c r="B124">
        <v>93.589169999999996</v>
      </c>
      <c r="C124">
        <v>7.9085606361323751E-2</v>
      </c>
      <c r="D124">
        <f t="shared" si="22"/>
        <v>7.4015562583030095</v>
      </c>
      <c r="E124">
        <f t="shared" si="28"/>
        <v>1.9875711148673147</v>
      </c>
      <c r="F124">
        <f t="shared" si="29"/>
        <v>4.1614166046118228</v>
      </c>
      <c r="G124">
        <f t="shared" si="39"/>
        <v>0.47295233673174675</v>
      </c>
      <c r="I124">
        <v>105.7946</v>
      </c>
      <c r="J124">
        <v>0.11676583817890449</v>
      </c>
      <c r="K124">
        <f t="shared" si="23"/>
        <v>12.353195143801928</v>
      </c>
      <c r="L124">
        <f t="shared" si="30"/>
        <v>-0.61466111909093124</v>
      </c>
      <c r="M124">
        <f t="shared" si="31"/>
        <v>1.5591843706535768</v>
      </c>
      <c r="N124">
        <f t="shared" si="40"/>
        <v>0.61451919878431349</v>
      </c>
      <c r="P124">
        <v>71.275940000000006</v>
      </c>
      <c r="Q124">
        <v>0.46985547174813003</v>
      </c>
      <c r="R124">
        <f t="shared" si="24"/>
        <v>33.489390412991412</v>
      </c>
      <c r="S124">
        <f t="shared" si="32"/>
        <v>-2.2154510582954146</v>
      </c>
      <c r="T124">
        <f t="shared" si="33"/>
        <v>4.1605568550906469E-2</v>
      </c>
      <c r="U124">
        <f t="shared" si="41"/>
        <v>2.9896275579466058</v>
      </c>
      <c r="W124">
        <v>52.584800000000001</v>
      </c>
      <c r="X124">
        <v>1.6881221793070795E-2</v>
      </c>
      <c r="Y124">
        <f t="shared" si="25"/>
        <v>0.88769567174426911</v>
      </c>
      <c r="Z124">
        <f t="shared" si="34"/>
        <v>-1.6560978721524844E-2</v>
      </c>
      <c r="AA124">
        <f t="shared" si="35"/>
        <v>2.1572845110229832</v>
      </c>
      <c r="AB124">
        <f t="shared" si="42"/>
        <v>7.7350629811129181</v>
      </c>
      <c r="AD124">
        <v>64.372479999999996</v>
      </c>
      <c r="AE124">
        <v>0.3174118619185709</v>
      </c>
      <c r="AF124">
        <f t="shared" si="26"/>
        <v>20.432588733115967</v>
      </c>
      <c r="AG124">
        <f t="shared" si="36"/>
        <v>-4.5137859307366686</v>
      </c>
      <c r="AH124">
        <f t="shared" si="37"/>
        <v>2.3399404409921605</v>
      </c>
      <c r="AI124">
        <f t="shared" si="43"/>
        <v>2.9760558965656108</v>
      </c>
      <c r="AL124">
        <f t="shared" si="27"/>
        <v>74.564426219956573</v>
      </c>
      <c r="AM124">
        <f t="shared" si="38"/>
        <v>-2.1738454897445081</v>
      </c>
    </row>
    <row r="125" spans="1:39" x14ac:dyDescent="0.35">
      <c r="A125" s="2">
        <v>40238</v>
      </c>
      <c r="B125">
        <v>93.655119999999997</v>
      </c>
      <c r="C125">
        <v>7.9085606361323751E-2</v>
      </c>
      <c r="D125">
        <f t="shared" si="22"/>
        <v>7.4067719540425392</v>
      </c>
      <c r="E125">
        <f t="shared" si="28"/>
        <v>7.0467555166908724E-2</v>
      </c>
      <c r="F125">
        <f t="shared" si="29"/>
        <v>3.6065852677759525</v>
      </c>
      <c r="G125">
        <f t="shared" si="39"/>
        <v>0.55483133683587038</v>
      </c>
      <c r="I125">
        <v>109.8537</v>
      </c>
      <c r="J125">
        <v>0.11676583817890449</v>
      </c>
      <c r="K125">
        <f t="shared" si="23"/>
        <v>12.827159357553921</v>
      </c>
      <c r="L125">
        <f t="shared" si="30"/>
        <v>3.8367742777041469</v>
      </c>
      <c r="M125">
        <f t="shared" si="31"/>
        <v>0.15972145476128574</v>
      </c>
      <c r="N125">
        <f t="shared" si="40"/>
        <v>1.3994629158922911</v>
      </c>
      <c r="P125">
        <v>74.653099999999995</v>
      </c>
      <c r="Q125">
        <v>0.46985547174813003</v>
      </c>
      <c r="R125">
        <f t="shared" si="24"/>
        <v>35.076167517960322</v>
      </c>
      <c r="S125">
        <f t="shared" si="32"/>
        <v>4.7381486655945659</v>
      </c>
      <c r="T125">
        <f t="shared" si="33"/>
        <v>1.0610958426517048</v>
      </c>
      <c r="U125">
        <f t="shared" si="41"/>
        <v>1.0194902741007983</v>
      </c>
      <c r="W125">
        <v>51.040469999999999</v>
      </c>
      <c r="X125">
        <v>1.6881221793070795E-2</v>
      </c>
      <c r="Y125">
        <f t="shared" si="25"/>
        <v>0.86162549449257608</v>
      </c>
      <c r="Z125">
        <f t="shared" si="34"/>
        <v>-2.9368372609575477</v>
      </c>
      <c r="AA125">
        <f t="shared" si="35"/>
        <v>6.6138900839004089</v>
      </c>
      <c r="AB125">
        <f t="shared" si="42"/>
        <v>4.4566055728774252</v>
      </c>
      <c r="AD125">
        <v>66.583759999999998</v>
      </c>
      <c r="AE125">
        <v>0.3174118619185709</v>
      </c>
      <c r="AF125">
        <f t="shared" si="26"/>
        <v>21.134475235139263</v>
      </c>
      <c r="AG125">
        <f t="shared" si="36"/>
        <v>3.4351325286830603</v>
      </c>
      <c r="AH125">
        <f t="shared" si="37"/>
        <v>0.24192029425980088</v>
      </c>
      <c r="AI125">
        <f t="shared" si="43"/>
        <v>2.0980201467323596</v>
      </c>
      <c r="AL125">
        <f t="shared" si="27"/>
        <v>77.306199559188627</v>
      </c>
      <c r="AM125">
        <f t="shared" si="38"/>
        <v>3.6770528229428612</v>
      </c>
    </row>
    <row r="126" spans="1:39" x14ac:dyDescent="0.35">
      <c r="A126" s="2">
        <v>40269</v>
      </c>
      <c r="B126">
        <v>94.920640000000006</v>
      </c>
      <c r="C126">
        <v>7.9085606361323751E-2</v>
      </c>
      <c r="D126">
        <f t="shared" si="22"/>
        <v>7.5068563706049218</v>
      </c>
      <c r="E126">
        <f t="shared" si="28"/>
        <v>1.3512555426761663</v>
      </c>
      <c r="F126">
        <f t="shared" si="29"/>
        <v>2.8993825259539197</v>
      </c>
      <c r="G126">
        <f t="shared" si="39"/>
        <v>0.7072027418220328</v>
      </c>
      <c r="I126">
        <v>114.2298</v>
      </c>
      <c r="J126">
        <v>0.11676583817890449</v>
      </c>
      <c r="K126">
        <f t="shared" si="23"/>
        <v>13.338138342008623</v>
      </c>
      <c r="L126">
        <f t="shared" si="30"/>
        <v>3.9835708765385114</v>
      </c>
      <c r="M126">
        <f t="shared" si="31"/>
        <v>0.26706719209157459</v>
      </c>
      <c r="N126">
        <f t="shared" si="40"/>
        <v>0.10734573733028885</v>
      </c>
      <c r="P126">
        <v>76.40137</v>
      </c>
      <c r="Q126">
        <v>0.46985547174813003</v>
      </c>
      <c r="R126">
        <f t="shared" si="24"/>
        <v>35.89760174355343</v>
      </c>
      <c r="S126">
        <f t="shared" si="32"/>
        <v>2.3418585430477812</v>
      </c>
      <c r="T126">
        <f t="shared" si="33"/>
        <v>1.9087795255823048</v>
      </c>
      <c r="U126">
        <f t="shared" si="41"/>
        <v>0.84768368293060004</v>
      </c>
      <c r="W126">
        <v>48.759050000000002</v>
      </c>
      <c r="X126">
        <v>1.6881221793070795E-2</v>
      </c>
      <c r="Y126">
        <f t="shared" si="25"/>
        <v>0.82311233746942858</v>
      </c>
      <c r="Z126">
        <f t="shared" si="34"/>
        <v>-4.4698256109318653</v>
      </c>
      <c r="AA126">
        <f t="shared" si="35"/>
        <v>8.7204636795619521</v>
      </c>
      <c r="AB126">
        <f t="shared" si="42"/>
        <v>2.1065735956615432</v>
      </c>
      <c r="AD126">
        <v>72.544539999999998</v>
      </c>
      <c r="AE126">
        <v>0.3174118619185709</v>
      </c>
      <c r="AF126">
        <f t="shared" si="26"/>
        <v>23.026497513426243</v>
      </c>
      <c r="AG126">
        <f t="shared" si="36"/>
        <v>8.9523030841154103</v>
      </c>
      <c r="AH126">
        <f t="shared" si="37"/>
        <v>4.7016650154853243</v>
      </c>
      <c r="AI126">
        <f t="shared" si="43"/>
        <v>4.4597447212255235</v>
      </c>
      <c r="AL126">
        <f t="shared" si="27"/>
        <v>80.592206307062639</v>
      </c>
      <c r="AM126">
        <f t="shared" si="38"/>
        <v>4.250638068630086</v>
      </c>
    </row>
    <row r="127" spans="1:39" x14ac:dyDescent="0.35">
      <c r="A127" s="2">
        <v>40299</v>
      </c>
      <c r="B127">
        <v>94.928960000000004</v>
      </c>
      <c r="C127">
        <v>7.9085606361323751E-2</v>
      </c>
      <c r="D127">
        <f t="shared" si="22"/>
        <v>7.5075143628498484</v>
      </c>
      <c r="E127">
        <f t="shared" si="28"/>
        <v>8.7652169222574017E-3</v>
      </c>
      <c r="F127">
        <f t="shared" si="29"/>
        <v>4.4448775139726227</v>
      </c>
      <c r="G127">
        <f t="shared" si="39"/>
        <v>1.545494988018703</v>
      </c>
      <c r="I127">
        <v>111.3145</v>
      </c>
      <c r="J127">
        <v>0.11676583817890449</v>
      </c>
      <c r="K127">
        <f t="shared" si="23"/>
        <v>12.997730893965663</v>
      </c>
      <c r="L127">
        <f t="shared" si="30"/>
        <v>-2.552136132602878</v>
      </c>
      <c r="M127">
        <f t="shared" si="31"/>
        <v>1.8839761644474873</v>
      </c>
      <c r="N127">
        <f t="shared" si="40"/>
        <v>1.6169089723559127</v>
      </c>
      <c r="P127">
        <v>72.016009999999994</v>
      </c>
      <c r="Q127">
        <v>0.46985547174813003</v>
      </c>
      <c r="R127">
        <f t="shared" si="24"/>
        <v>33.837116351968049</v>
      </c>
      <c r="S127">
        <f t="shared" si="32"/>
        <v>-5.7398970725263236</v>
      </c>
      <c r="T127">
        <f t="shared" si="33"/>
        <v>1.3037847754759584</v>
      </c>
      <c r="U127">
        <f t="shared" si="41"/>
        <v>0.6049947501063464</v>
      </c>
      <c r="W127">
        <v>46.024360000000001</v>
      </c>
      <c r="X127">
        <v>1.6881221793070795E-2</v>
      </c>
      <c r="Y127">
        <f t="shared" si="25"/>
        <v>0.77694742904413583</v>
      </c>
      <c r="Z127">
        <f t="shared" si="34"/>
        <v>-5.6085793304012306</v>
      </c>
      <c r="AA127">
        <f t="shared" si="35"/>
        <v>1.1724670333508653</v>
      </c>
      <c r="AB127">
        <f t="shared" si="42"/>
        <v>7.5479966462110868</v>
      </c>
      <c r="AD127">
        <v>68.988399999999999</v>
      </c>
      <c r="AE127">
        <v>0.3174118619185709</v>
      </c>
      <c r="AF127">
        <f t="shared" si="26"/>
        <v>21.897736494783135</v>
      </c>
      <c r="AG127">
        <f t="shared" si="36"/>
        <v>-4.9020091656794555</v>
      </c>
      <c r="AH127">
        <f t="shared" si="37"/>
        <v>0.4658968686290903</v>
      </c>
      <c r="AI127">
        <f t="shared" si="43"/>
        <v>4.235768146856234</v>
      </c>
      <c r="AL127">
        <f t="shared" si="27"/>
        <v>77.017045532610837</v>
      </c>
      <c r="AM127">
        <f t="shared" si="38"/>
        <v>-4.4361122970503652</v>
      </c>
    </row>
    <row r="128" spans="1:39" x14ac:dyDescent="0.35">
      <c r="A128" s="2">
        <v>40330</v>
      </c>
      <c r="B128">
        <v>98.656360000000006</v>
      </c>
      <c r="C128">
        <v>7.9085606361323751E-2</v>
      </c>
      <c r="D128">
        <f t="shared" si="22"/>
        <v>7.8022980520010465</v>
      </c>
      <c r="E128">
        <f t="shared" si="28"/>
        <v>3.9265151540688992</v>
      </c>
      <c r="F128">
        <f t="shared" si="29"/>
        <v>2.7272695499783062</v>
      </c>
      <c r="G128">
        <f t="shared" si="39"/>
        <v>1.7176079639943165</v>
      </c>
      <c r="I128">
        <v>113.2555</v>
      </c>
      <c r="J128">
        <v>0.11676583817890449</v>
      </c>
      <c r="K128">
        <f t="shared" si="23"/>
        <v>13.224373385870917</v>
      </c>
      <c r="L128">
        <f t="shared" si="30"/>
        <v>1.7437081422456258</v>
      </c>
      <c r="M128">
        <f t="shared" si="31"/>
        <v>0.54446253815503276</v>
      </c>
      <c r="N128">
        <f t="shared" si="40"/>
        <v>1.3395136262924545</v>
      </c>
      <c r="P128">
        <v>72.84742</v>
      </c>
      <c r="Q128">
        <v>0.46985547174813003</v>
      </c>
      <c r="R128">
        <f t="shared" si="24"/>
        <v>34.227758889734162</v>
      </c>
      <c r="S128">
        <f t="shared" si="32"/>
        <v>1.1544793997890324</v>
      </c>
      <c r="T128">
        <f t="shared" si="33"/>
        <v>4.4766204301560641E-2</v>
      </c>
      <c r="U128">
        <f t="shared" si="41"/>
        <v>1.2590185711743977</v>
      </c>
      <c r="W128">
        <v>48.410290000000003</v>
      </c>
      <c r="X128">
        <v>1.6881221793070795E-2</v>
      </c>
      <c r="Y128">
        <f t="shared" si="25"/>
        <v>0.81722484255687722</v>
      </c>
      <c r="Z128">
        <f t="shared" si="34"/>
        <v>5.1840590504680595</v>
      </c>
      <c r="AA128">
        <f t="shared" si="35"/>
        <v>3.9848134463774665</v>
      </c>
      <c r="AB128">
        <f t="shared" si="42"/>
        <v>2.8123464130266012</v>
      </c>
      <c r="AD128">
        <v>68.897909999999996</v>
      </c>
      <c r="AE128">
        <v>0.3174118619185709</v>
      </c>
      <c r="AF128">
        <f t="shared" si="26"/>
        <v>21.869013895398123</v>
      </c>
      <c r="AG128">
        <f t="shared" si="36"/>
        <v>-0.13116697879643757</v>
      </c>
      <c r="AH128">
        <f t="shared" si="37"/>
        <v>1.3304125828870306</v>
      </c>
      <c r="AI128">
        <f t="shared" si="43"/>
        <v>0.86451571425794027</v>
      </c>
      <c r="AL128">
        <f t="shared" si="27"/>
        <v>77.940669065561124</v>
      </c>
      <c r="AM128">
        <f t="shared" si="38"/>
        <v>1.199245604090593</v>
      </c>
    </row>
    <row r="129" spans="1:39" x14ac:dyDescent="0.35">
      <c r="A129" s="2">
        <v>40360</v>
      </c>
      <c r="B129">
        <v>103.84139999999999</v>
      </c>
      <c r="C129">
        <v>7.9085606361323751E-2</v>
      </c>
      <c r="D129">
        <f t="shared" si="22"/>
        <v>8.212360084408763</v>
      </c>
      <c r="E129">
        <f t="shared" si="28"/>
        <v>5.2556571112090333</v>
      </c>
      <c r="F129">
        <f t="shared" si="29"/>
        <v>2.4263246334460975</v>
      </c>
      <c r="G129">
        <f t="shared" si="39"/>
        <v>0.30094491653220867</v>
      </c>
      <c r="I129">
        <v>118.6207</v>
      </c>
      <c r="J129">
        <v>0.11676583817890449</v>
      </c>
      <c r="K129">
        <f t="shared" si="23"/>
        <v>13.850845460868376</v>
      </c>
      <c r="L129">
        <f t="shared" si="30"/>
        <v>4.737253378423123</v>
      </c>
      <c r="M129">
        <f t="shared" si="31"/>
        <v>1.9079209006601872</v>
      </c>
      <c r="N129">
        <f t="shared" si="40"/>
        <v>1.3634583625051544</v>
      </c>
      <c r="P129">
        <v>73.173330000000007</v>
      </c>
      <c r="Q129">
        <v>0.46985547174813003</v>
      </c>
      <c r="R129">
        <f t="shared" si="24"/>
        <v>34.380889486531601</v>
      </c>
      <c r="S129">
        <f t="shared" si="32"/>
        <v>0.4473871552348907</v>
      </c>
      <c r="T129">
        <f t="shared" si="33"/>
        <v>2.3819453225280451</v>
      </c>
      <c r="U129">
        <f t="shared" si="41"/>
        <v>2.3371791182264845</v>
      </c>
      <c r="W129">
        <v>48.64808</v>
      </c>
      <c r="X129">
        <v>1.6881221793070795E-2</v>
      </c>
      <c r="Y129">
        <f t="shared" si="25"/>
        <v>0.82123902828705153</v>
      </c>
      <c r="Z129">
        <f t="shared" si="34"/>
        <v>0.49119722273920363</v>
      </c>
      <c r="AA129">
        <f t="shared" si="35"/>
        <v>2.3381352550237322</v>
      </c>
      <c r="AB129">
        <f t="shared" si="42"/>
        <v>1.6466781913537343</v>
      </c>
      <c r="AD129">
        <v>72.084689999999995</v>
      </c>
      <c r="AE129">
        <v>0.3174118619185709</v>
      </c>
      <c r="AF129">
        <f t="shared" si="26"/>
        <v>22.880535668722988</v>
      </c>
      <c r="AG129">
        <f t="shared" si="36"/>
        <v>4.6253652686997215</v>
      </c>
      <c r="AH129">
        <f t="shared" si="37"/>
        <v>1.7960327909367857</v>
      </c>
      <c r="AI129">
        <f t="shared" si="43"/>
        <v>0.46562020804975512</v>
      </c>
      <c r="AL129">
        <f t="shared" si="27"/>
        <v>80.145869728818766</v>
      </c>
      <c r="AM129">
        <f t="shared" si="38"/>
        <v>2.8293324777629358</v>
      </c>
    </row>
    <row r="130" spans="1:39" x14ac:dyDescent="0.35">
      <c r="A130" s="2">
        <v>40391</v>
      </c>
      <c r="B130">
        <v>110.8424</v>
      </c>
      <c r="C130">
        <v>7.9085606361323751E-2</v>
      </c>
      <c r="D130">
        <f t="shared" si="22"/>
        <v>8.7660384145443917</v>
      </c>
      <c r="E130">
        <f t="shared" si="28"/>
        <v>6.7420123380462993</v>
      </c>
      <c r="F130">
        <f t="shared" si="29"/>
        <v>4.6708706546755963</v>
      </c>
      <c r="G130">
        <f t="shared" si="39"/>
        <v>2.2445460212294988</v>
      </c>
      <c r="I130">
        <v>123.9145</v>
      </c>
      <c r="J130">
        <v>0.11676583817890449</v>
      </c>
      <c r="K130">
        <f t="shared" si="23"/>
        <v>14.46898045501986</v>
      </c>
      <c r="L130">
        <f t="shared" si="30"/>
        <v>4.4627961224305679</v>
      </c>
      <c r="M130">
        <f t="shared" si="31"/>
        <v>2.3916544390598649</v>
      </c>
      <c r="N130">
        <f t="shared" si="40"/>
        <v>0.4837335383996777</v>
      </c>
      <c r="P130">
        <v>73.345590000000001</v>
      </c>
      <c r="Q130">
        <v>0.46985547174813003</v>
      </c>
      <c r="R130">
        <f t="shared" si="24"/>
        <v>34.461826790094932</v>
      </c>
      <c r="S130">
        <f t="shared" si="32"/>
        <v>0.23541364046162361</v>
      </c>
      <c r="T130">
        <f t="shared" si="33"/>
        <v>1.8357280429090794</v>
      </c>
      <c r="U130">
        <f t="shared" si="41"/>
        <v>0.54621727961896571</v>
      </c>
      <c r="W130">
        <v>47.877830000000003</v>
      </c>
      <c r="X130">
        <v>1.6881221793070795E-2</v>
      </c>
      <c r="Y130">
        <f t="shared" si="25"/>
        <v>0.80823626720093877</v>
      </c>
      <c r="Z130">
        <f t="shared" si="34"/>
        <v>-1.5833101738033539</v>
      </c>
      <c r="AA130">
        <f t="shared" si="35"/>
        <v>3.654451857174057</v>
      </c>
      <c r="AB130">
        <f t="shared" si="42"/>
        <v>1.3163166021503248</v>
      </c>
      <c r="AD130">
        <v>73.408479999999997</v>
      </c>
      <c r="AE130">
        <v>0.3174118619185709</v>
      </c>
      <c r="AF130">
        <f t="shared" si="26"/>
        <v>23.300722317412173</v>
      </c>
      <c r="AG130">
        <f t="shared" si="36"/>
        <v>1.8364371130679791</v>
      </c>
      <c r="AH130">
        <f t="shared" si="37"/>
        <v>0.23470457030272396</v>
      </c>
      <c r="AI130">
        <f t="shared" si="43"/>
        <v>1.5613282206340617</v>
      </c>
      <c r="AL130">
        <f t="shared" si="27"/>
        <v>81.805804244272309</v>
      </c>
      <c r="AM130">
        <f t="shared" si="38"/>
        <v>2.071141683370703</v>
      </c>
    </row>
    <row r="131" spans="1:39" x14ac:dyDescent="0.35">
      <c r="A131" s="2">
        <v>40422</v>
      </c>
      <c r="B131">
        <v>117.5239</v>
      </c>
      <c r="C131">
        <v>7.9085606361323751E-2</v>
      </c>
      <c r="D131">
        <f t="shared" si="22"/>
        <v>9.2944488934475764</v>
      </c>
      <c r="E131">
        <f t="shared" si="28"/>
        <v>6.0279279409323427</v>
      </c>
      <c r="F131">
        <f t="shared" si="29"/>
        <v>1.3668963088998787</v>
      </c>
      <c r="G131">
        <f t="shared" si="39"/>
        <v>3.3039743457757176</v>
      </c>
      <c r="I131">
        <v>133.05600000000001</v>
      </c>
      <c r="J131">
        <v>0.11676583817890449</v>
      </c>
      <c r="K131">
        <f t="shared" si="23"/>
        <v>15.536395364732316</v>
      </c>
      <c r="L131">
        <f t="shared" si="30"/>
        <v>7.3772641619826551</v>
      </c>
      <c r="M131">
        <f t="shared" si="31"/>
        <v>2.716232529950191</v>
      </c>
      <c r="N131">
        <f t="shared" si="40"/>
        <v>0.32457809089032619</v>
      </c>
      <c r="P131">
        <v>75.000129999999999</v>
      </c>
      <c r="Q131">
        <v>0.46985547174813003</v>
      </c>
      <c r="R131">
        <f t="shared" si="24"/>
        <v>35.239221462321076</v>
      </c>
      <c r="S131">
        <f t="shared" si="32"/>
        <v>2.2558138805618633</v>
      </c>
      <c r="T131">
        <f t="shared" si="33"/>
        <v>2.4052177514706008</v>
      </c>
      <c r="U131">
        <f t="shared" si="41"/>
        <v>0.56948970856152137</v>
      </c>
      <c r="W131">
        <v>46.398090000000003</v>
      </c>
      <c r="X131">
        <v>1.6881221793070795E-2</v>
      </c>
      <c r="Y131">
        <f t="shared" si="25"/>
        <v>0.78325644806486017</v>
      </c>
      <c r="Z131">
        <f t="shared" si="34"/>
        <v>-3.0906580352534796</v>
      </c>
      <c r="AA131">
        <f t="shared" si="35"/>
        <v>7.7516896672859437</v>
      </c>
      <c r="AB131">
        <f t="shared" si="42"/>
        <v>4.0972378101118867</v>
      </c>
      <c r="AD131">
        <v>78.023160000000004</v>
      </c>
      <c r="AE131">
        <v>0.3174118619185709</v>
      </c>
      <c r="AF131">
        <f t="shared" si="26"/>
        <v>24.765476488370567</v>
      </c>
      <c r="AG131">
        <f t="shared" si="36"/>
        <v>6.2863037076915429</v>
      </c>
      <c r="AH131">
        <f t="shared" si="37"/>
        <v>1.6252720756590788</v>
      </c>
      <c r="AI131">
        <f t="shared" si="43"/>
        <v>1.3905675053563549</v>
      </c>
      <c r="AL131">
        <f t="shared" si="27"/>
        <v>85.618798656936406</v>
      </c>
      <c r="AM131">
        <f t="shared" si="38"/>
        <v>4.6610316320324641</v>
      </c>
    </row>
    <row r="132" spans="1:39" x14ac:dyDescent="0.35">
      <c r="A132" s="2">
        <v>40452</v>
      </c>
      <c r="B132">
        <v>118.4224</v>
      </c>
      <c r="C132">
        <v>7.9085606361323751E-2</v>
      </c>
      <c r="D132">
        <f t="shared" ref="D132:D195" si="44">B132*C132</f>
        <v>9.3655073107632258</v>
      </c>
      <c r="E132">
        <f t="shared" si="28"/>
        <v>0.76452534335569311</v>
      </c>
      <c r="F132">
        <f t="shared" si="29"/>
        <v>5.7059616664085544</v>
      </c>
      <c r="G132">
        <f t="shared" si="39"/>
        <v>4.3390653575086757</v>
      </c>
      <c r="I132">
        <v>143.548</v>
      </c>
      <c r="J132">
        <v>0.11676583817890449</v>
      </c>
      <c r="K132">
        <f t="shared" ref="K132:K195" si="45">I132*J132</f>
        <v>16.761502538905383</v>
      </c>
      <c r="L132">
        <f t="shared" si="30"/>
        <v>7.8854016354016343</v>
      </c>
      <c r="M132">
        <f t="shared" si="31"/>
        <v>1.4149146256373868</v>
      </c>
      <c r="N132">
        <f t="shared" si="40"/>
        <v>1.3013179043128043</v>
      </c>
      <c r="P132">
        <v>79.156610000000001</v>
      </c>
      <c r="Q132">
        <v>0.46985547174813003</v>
      </c>
      <c r="R132">
        <f t="shared" ref="R132:R195" si="46">P132*Q132</f>
        <v>37.192166333532747</v>
      </c>
      <c r="S132">
        <f t="shared" si="32"/>
        <v>5.5419637272628774</v>
      </c>
      <c r="T132">
        <f t="shared" si="33"/>
        <v>0.92852328250137006</v>
      </c>
      <c r="U132">
        <f t="shared" si="41"/>
        <v>1.4766944689692307</v>
      </c>
      <c r="W132">
        <v>46.01802</v>
      </c>
      <c r="X132">
        <v>1.6881221793070795E-2</v>
      </c>
      <c r="Y132">
        <f t="shared" ref="Y132:Y195" si="47">W132*X132</f>
        <v>0.77684040209796767</v>
      </c>
      <c r="Z132">
        <f t="shared" si="34"/>
        <v>-0.8191500986355349</v>
      </c>
      <c r="AA132">
        <f t="shared" si="35"/>
        <v>7.2896371083997824</v>
      </c>
      <c r="AB132">
        <f t="shared" si="42"/>
        <v>0.46205255888616126</v>
      </c>
      <c r="AD132">
        <v>85.260630000000006</v>
      </c>
      <c r="AE132">
        <v>0.3174118619185709</v>
      </c>
      <c r="AF132">
        <f t="shared" ref="AF132:AF195" si="48">AD132*AE132</f>
        <v>27.062735316650365</v>
      </c>
      <c r="AG132">
        <f t="shared" si="36"/>
        <v>9.2760534179851195</v>
      </c>
      <c r="AH132">
        <f t="shared" si="37"/>
        <v>2.805566408220872</v>
      </c>
      <c r="AI132">
        <f t="shared" si="43"/>
        <v>1.1802943325617932</v>
      </c>
      <c r="AL132">
        <f t="shared" ref="AL132:AL195" si="49">AF132+Y132+R132+K132+D132</f>
        <v>91.158751901949685</v>
      </c>
      <c r="AM132">
        <f t="shared" si="38"/>
        <v>6.4704870097642475</v>
      </c>
    </row>
    <row r="133" spans="1:39" x14ac:dyDescent="0.35">
      <c r="A133" s="2">
        <v>40483</v>
      </c>
      <c r="B133">
        <v>122.1666</v>
      </c>
      <c r="C133">
        <v>7.9085606361323751E-2</v>
      </c>
      <c r="D133">
        <f t="shared" si="44"/>
        <v>9.6616196381012944</v>
      </c>
      <c r="E133">
        <f t="shared" ref="E133:E196" si="50">((B133/B132)-1)*100</f>
        <v>3.1617329153943885</v>
      </c>
      <c r="F133">
        <f t="shared" ref="F133:F196" si="51">ABS(E133-AM133)</f>
        <v>1.1054706825742944</v>
      </c>
      <c r="G133">
        <f t="shared" si="39"/>
        <v>4.60049098383426</v>
      </c>
      <c r="I133">
        <v>142.37629999999999</v>
      </c>
      <c r="J133">
        <v>0.11676583817890449</v>
      </c>
      <c r="K133">
        <f t="shared" si="45"/>
        <v>16.624688006311157</v>
      </c>
      <c r="L133">
        <f t="shared" ref="L133:L196" si="52">((I133/I132)-1)*100</f>
        <v>-0.8162426505419873</v>
      </c>
      <c r="M133">
        <f t="shared" ref="M133:M196" si="53">ABS(L133-AM133)</f>
        <v>2.8725048833620814</v>
      </c>
      <c r="N133">
        <f t="shared" si="40"/>
        <v>1.4575902577246946</v>
      </c>
      <c r="P133">
        <v>82.784610000000001</v>
      </c>
      <c r="Q133">
        <v>0.46985547174813003</v>
      </c>
      <c r="R133">
        <f t="shared" si="46"/>
        <v>38.896801985034962</v>
      </c>
      <c r="S133">
        <f t="shared" ref="S133:S196" si="54">((P133/P132)-1)*100</f>
        <v>4.583319068363334</v>
      </c>
      <c r="T133">
        <f t="shared" ref="T133:T196" si="55">ABS(S133-AM133)</f>
        <v>2.5270568355432399</v>
      </c>
      <c r="U133">
        <f t="shared" si="41"/>
        <v>1.5985335530418698</v>
      </c>
      <c r="W133">
        <v>45.080390000000001</v>
      </c>
      <c r="X133">
        <v>1.6881221793070795E-2</v>
      </c>
      <c r="Y133">
        <f t="shared" si="47"/>
        <v>0.76101206210813077</v>
      </c>
      <c r="Z133">
        <f t="shared" ref="Z133:Z196" si="56">((W133/W132)-1)*100</f>
        <v>-2.0375279075457775</v>
      </c>
      <c r="AA133">
        <f t="shared" ref="AA133:AA196" si="57">ABS(Z133-AM133)</f>
        <v>4.0937901403658721</v>
      </c>
      <c r="AB133">
        <f t="shared" si="42"/>
        <v>3.1958469680339103</v>
      </c>
      <c r="AD133">
        <v>85.343670000000003</v>
      </c>
      <c r="AE133">
        <v>0.3174118619185709</v>
      </c>
      <c r="AF133">
        <f t="shared" si="48"/>
        <v>27.089093197664084</v>
      </c>
      <c r="AG133">
        <f t="shared" ref="AG133:AG196" si="58">((AD133/AD132)-1)*100</f>
        <v>9.7395480188211536E-2</v>
      </c>
      <c r="AH133">
        <f t="shared" ref="AH133:AH196" si="59">ABS(AG133-AM133)</f>
        <v>1.9588667526318826</v>
      </c>
      <c r="AI133">
        <f t="shared" si="43"/>
        <v>0.84669965558898941</v>
      </c>
      <c r="AL133">
        <f t="shared" si="49"/>
        <v>93.033214889219636</v>
      </c>
      <c r="AM133">
        <f t="shared" ref="AM133:AM196" si="60">((AL133/AL132)-1)*100</f>
        <v>2.0562622328200941</v>
      </c>
    </row>
    <row r="134" spans="1:39" x14ac:dyDescent="0.35">
      <c r="A134" s="2">
        <v>40513</v>
      </c>
      <c r="B134">
        <v>122.0583</v>
      </c>
      <c r="C134">
        <v>7.9085606361323751E-2</v>
      </c>
      <c r="D134">
        <f t="shared" si="44"/>
        <v>9.6530546669323627</v>
      </c>
      <c r="E134">
        <f t="shared" si="50"/>
        <v>-8.8649434460807974E-2</v>
      </c>
      <c r="F134">
        <f t="shared" si="51"/>
        <v>0.68749157015066675</v>
      </c>
      <c r="G134">
        <f t="shared" ref="G134:G197" si="61">ABS(F134-F133)</f>
        <v>0.41797911242362762</v>
      </c>
      <c r="I134">
        <v>142.4648</v>
      </c>
      <c r="J134">
        <v>0.11676583817890449</v>
      </c>
      <c r="K134">
        <f t="shared" si="45"/>
        <v>16.635021782989991</v>
      </c>
      <c r="L134">
        <f t="shared" si="52"/>
        <v>6.2159221724411573E-2</v>
      </c>
      <c r="M134">
        <f t="shared" si="53"/>
        <v>0.53668291396544721</v>
      </c>
      <c r="N134">
        <f t="shared" ref="N134:N197" si="62">ABS(M134-M133)</f>
        <v>2.3358219693966342</v>
      </c>
      <c r="P134">
        <v>86.346710000000002</v>
      </c>
      <c r="Q134">
        <v>0.46985547174813003</v>
      </c>
      <c r="R134">
        <f t="shared" si="46"/>
        <v>40.570474160948976</v>
      </c>
      <c r="S134">
        <f t="shared" si="54"/>
        <v>4.3028529094961021</v>
      </c>
      <c r="T134">
        <f t="shared" si="55"/>
        <v>3.7040107738062433</v>
      </c>
      <c r="U134">
        <f t="shared" ref="U134:U197" si="63">ABS(T134-T133)</f>
        <v>1.1769539382630034</v>
      </c>
      <c r="W134">
        <v>44.463619999999999</v>
      </c>
      <c r="X134">
        <v>1.6881221793070795E-2</v>
      </c>
      <c r="Y134">
        <f t="shared" si="47"/>
        <v>0.75060023094281847</v>
      </c>
      <c r="Z134">
        <f t="shared" si="56"/>
        <v>-1.3681558655548542</v>
      </c>
      <c r="AA134">
        <f t="shared" si="57"/>
        <v>1.966998001244713</v>
      </c>
      <c r="AB134">
        <f t="shared" ref="AB134:AB197" si="64">ABS(AA134-AA133)</f>
        <v>2.1267921391211591</v>
      </c>
      <c r="AD134">
        <v>81.853229999999996</v>
      </c>
      <c r="AE134">
        <v>0.3174118619185709</v>
      </c>
      <c r="AF134">
        <f t="shared" si="48"/>
        <v>25.981186138349024</v>
      </c>
      <c r="AG134">
        <f t="shared" si="58"/>
        <v>-4.0898639582759966</v>
      </c>
      <c r="AH134">
        <f t="shared" si="59"/>
        <v>4.6887060939658554</v>
      </c>
      <c r="AI134">
        <f t="shared" ref="AI134:AI197" si="65">ABS(AH134-AH133)</f>
        <v>2.7298393413339728</v>
      </c>
      <c r="AL134">
        <f t="shared" si="49"/>
        <v>93.590336980163173</v>
      </c>
      <c r="AM134">
        <f t="shared" si="60"/>
        <v>0.59884213568985878</v>
      </c>
    </row>
    <row r="135" spans="1:39" x14ac:dyDescent="0.35">
      <c r="A135" s="2">
        <v>40544</v>
      </c>
      <c r="B135">
        <v>122.0736</v>
      </c>
      <c r="C135">
        <v>7.8842761171392328E-2</v>
      </c>
      <c r="D135">
        <f t="shared" si="44"/>
        <v>9.6246196901320786</v>
      </c>
      <c r="E135">
        <f t="shared" si="50"/>
        <v>1.2534993523583005E-2</v>
      </c>
      <c r="F135">
        <f t="shared" si="51"/>
        <v>0.26072245535178062</v>
      </c>
      <c r="G135">
        <f t="shared" si="61"/>
        <v>0.42676911479888613</v>
      </c>
      <c r="I135">
        <v>138.08949999999999</v>
      </c>
      <c r="J135">
        <v>0.11720069234526045</v>
      </c>
      <c r="K135">
        <f t="shared" si="45"/>
        <v>16.184185005610843</v>
      </c>
      <c r="L135">
        <f t="shared" si="52"/>
        <v>-3.0711445915061142</v>
      </c>
      <c r="M135">
        <f t="shared" si="53"/>
        <v>2.8229571296779166</v>
      </c>
      <c r="N135">
        <f t="shared" si="62"/>
        <v>2.2862742157124694</v>
      </c>
      <c r="P135">
        <v>86.399860000000004</v>
      </c>
      <c r="Q135">
        <v>0.45615446581083685</v>
      </c>
      <c r="R135">
        <f t="shared" si="46"/>
        <v>39.411681984431091</v>
      </c>
      <c r="S135">
        <f t="shared" si="54"/>
        <v>6.1554169232391764E-2</v>
      </c>
      <c r="T135">
        <f t="shared" si="55"/>
        <v>0.30974163106058938</v>
      </c>
      <c r="U135">
        <f t="shared" si="63"/>
        <v>3.3942691427456539</v>
      </c>
      <c r="W135">
        <v>44.506450000000001</v>
      </c>
      <c r="X135">
        <v>1.6540920099061988E-2</v>
      </c>
      <c r="Y135">
        <f t="shared" si="47"/>
        <v>0.73617763334289743</v>
      </c>
      <c r="Z135">
        <f t="shared" si="56"/>
        <v>9.6325940173125346E-2</v>
      </c>
      <c r="AA135">
        <f t="shared" si="57"/>
        <v>0.34451340200132297</v>
      </c>
      <c r="AB135">
        <f t="shared" si="64"/>
        <v>1.6224845992433901</v>
      </c>
      <c r="AD135">
        <v>82.718400000000003</v>
      </c>
      <c r="AE135">
        <v>0.3312611605734484</v>
      </c>
      <c r="AF135">
        <f t="shared" si="48"/>
        <v>27.401393184778733</v>
      </c>
      <c r="AG135">
        <f t="shared" si="58"/>
        <v>1.0569772261888932</v>
      </c>
      <c r="AH135">
        <f t="shared" si="59"/>
        <v>1.3051646880170908</v>
      </c>
      <c r="AI135">
        <f t="shared" si="65"/>
        <v>3.3835414059487645</v>
      </c>
      <c r="AL135">
        <f t="shared" si="49"/>
        <v>93.358057498295651</v>
      </c>
      <c r="AM135">
        <f t="shared" si="60"/>
        <v>-0.24818746182819762</v>
      </c>
    </row>
    <row r="136" spans="1:39" x14ac:dyDescent="0.35">
      <c r="A136" s="2">
        <v>40575</v>
      </c>
      <c r="B136">
        <v>114.102</v>
      </c>
      <c r="C136">
        <v>7.8842761171392328E-2</v>
      </c>
      <c r="D136">
        <f t="shared" si="44"/>
        <v>8.996116735178207</v>
      </c>
      <c r="E136">
        <f t="shared" si="50"/>
        <v>-6.5301588549858458</v>
      </c>
      <c r="F136">
        <f t="shared" si="51"/>
        <v>3.1951367580040579</v>
      </c>
      <c r="G136">
        <f t="shared" si="61"/>
        <v>2.9344143026522773</v>
      </c>
      <c r="I136">
        <v>132.1337</v>
      </c>
      <c r="J136">
        <v>0.11720069234526045</v>
      </c>
      <c r="K136">
        <f t="shared" si="45"/>
        <v>15.486161122140942</v>
      </c>
      <c r="L136">
        <f t="shared" si="52"/>
        <v>-4.3129999022373022</v>
      </c>
      <c r="M136">
        <f t="shared" si="53"/>
        <v>0.97797780525551437</v>
      </c>
      <c r="N136">
        <f t="shared" si="62"/>
        <v>1.8449793244224022</v>
      </c>
      <c r="P136">
        <v>84.637829999999994</v>
      </c>
      <c r="Q136">
        <v>0.45615446581083685</v>
      </c>
      <c r="R136">
        <f t="shared" si="46"/>
        <v>38.607924131038416</v>
      </c>
      <c r="S136">
        <f t="shared" si="54"/>
        <v>-2.0393898786410181</v>
      </c>
      <c r="T136">
        <f t="shared" si="55"/>
        <v>1.2956322183407698</v>
      </c>
      <c r="U136">
        <f t="shared" si="63"/>
        <v>0.98589058728018042</v>
      </c>
      <c r="W136">
        <v>44.16854</v>
      </c>
      <c r="X136">
        <v>1.6540920099061988E-2</v>
      </c>
      <c r="Y136">
        <f t="shared" si="47"/>
        <v>0.73058829103222345</v>
      </c>
      <c r="Z136">
        <f t="shared" si="56"/>
        <v>-0.75923826771175928</v>
      </c>
      <c r="AA136">
        <f t="shared" si="57"/>
        <v>2.5757838292700286</v>
      </c>
      <c r="AB136">
        <f t="shared" si="64"/>
        <v>2.2312704272687056</v>
      </c>
      <c r="AD136">
        <v>79.767139999999998</v>
      </c>
      <c r="AE136">
        <v>0.3312611605734484</v>
      </c>
      <c r="AF136">
        <f t="shared" si="48"/>
        <v>26.423755372024736</v>
      </c>
      <c r="AG136">
        <f t="shared" si="58"/>
        <v>-3.5678398034778347</v>
      </c>
      <c r="AH136">
        <f t="shared" si="59"/>
        <v>0.23281770649604683</v>
      </c>
      <c r="AI136">
        <f t="shared" si="65"/>
        <v>1.072346981521044</v>
      </c>
      <c r="AL136">
        <f t="shared" si="49"/>
        <v>90.244545651414526</v>
      </c>
      <c r="AM136">
        <f t="shared" si="60"/>
        <v>-3.3350220969817879</v>
      </c>
    </row>
    <row r="137" spans="1:39" x14ac:dyDescent="0.35">
      <c r="A137" s="2">
        <v>40603</v>
      </c>
      <c r="B137">
        <v>112.82940000000001</v>
      </c>
      <c r="C137">
        <v>7.8842761171392328E-2</v>
      </c>
      <c r="D137">
        <f t="shared" si="44"/>
        <v>8.895781437311495</v>
      </c>
      <c r="E137">
        <f t="shared" si="50"/>
        <v>-1.1153178734816138</v>
      </c>
      <c r="F137">
        <f t="shared" si="51"/>
        <v>0.19278944555615185</v>
      </c>
      <c r="G137">
        <f t="shared" si="61"/>
        <v>3.0023473124479061</v>
      </c>
      <c r="I137">
        <v>134.3785</v>
      </c>
      <c r="J137">
        <v>0.11720069234526045</v>
      </c>
      <c r="K137">
        <f t="shared" si="45"/>
        <v>15.749253236317582</v>
      </c>
      <c r="L137">
        <f t="shared" si="52"/>
        <v>1.6988852957269707</v>
      </c>
      <c r="M137">
        <f t="shared" si="53"/>
        <v>3.0069926147647363</v>
      </c>
      <c r="N137">
        <f t="shared" si="62"/>
        <v>2.029014809509222</v>
      </c>
      <c r="P137">
        <v>83.011020000000002</v>
      </c>
      <c r="Q137">
        <v>0.45615446581083685</v>
      </c>
      <c r="R137">
        <f t="shared" si="46"/>
        <v>37.865847484512692</v>
      </c>
      <c r="S137">
        <f t="shared" si="54"/>
        <v>-1.922083777431427</v>
      </c>
      <c r="T137">
        <f t="shared" si="55"/>
        <v>0.61397645839366133</v>
      </c>
      <c r="U137">
        <f t="shared" si="63"/>
        <v>0.68165575994710847</v>
      </c>
      <c r="W137">
        <v>42.923900000000003</v>
      </c>
      <c r="X137">
        <v>1.6540920099061988E-2</v>
      </c>
      <c r="Y137">
        <f t="shared" si="47"/>
        <v>0.71000080024012691</v>
      </c>
      <c r="Z137">
        <f t="shared" si="56"/>
        <v>-2.817933307281606</v>
      </c>
      <c r="AA137">
        <f t="shared" si="57"/>
        <v>1.5098259882438403</v>
      </c>
      <c r="AB137">
        <f t="shared" si="64"/>
        <v>1.0659578410261883</v>
      </c>
      <c r="AD137">
        <v>78.014480000000006</v>
      </c>
      <c r="AE137">
        <v>0.3312611605734484</v>
      </c>
      <c r="AF137">
        <f t="shared" si="48"/>
        <v>25.843167186334082</v>
      </c>
      <c r="AG137">
        <f t="shared" si="58"/>
        <v>-2.1972205597442618</v>
      </c>
      <c r="AH137">
        <f t="shared" si="59"/>
        <v>0.88911324070649611</v>
      </c>
      <c r="AI137">
        <f t="shared" si="65"/>
        <v>0.65629553421044928</v>
      </c>
      <c r="AL137">
        <f t="shared" si="49"/>
        <v>89.064050144715992</v>
      </c>
      <c r="AM137">
        <f t="shared" si="60"/>
        <v>-1.3081073190377657</v>
      </c>
    </row>
    <row r="138" spans="1:39" x14ac:dyDescent="0.35">
      <c r="A138" s="2">
        <v>40634</v>
      </c>
      <c r="B138">
        <v>118.5934</v>
      </c>
      <c r="C138">
        <v>7.8842761171392328E-2</v>
      </c>
      <c r="D138">
        <f t="shared" si="44"/>
        <v>9.3502311127033995</v>
      </c>
      <c r="E138">
        <f t="shared" si="50"/>
        <v>5.1085975818359275</v>
      </c>
      <c r="F138">
        <f t="shared" si="51"/>
        <v>1.7453142670867949</v>
      </c>
      <c r="G138">
        <f t="shared" si="61"/>
        <v>1.5525248215306431</v>
      </c>
      <c r="I138">
        <v>131.58670000000001</v>
      </c>
      <c r="J138">
        <v>0.11720069234526045</v>
      </c>
      <c r="K138">
        <f t="shared" si="45"/>
        <v>15.422052343428085</v>
      </c>
      <c r="L138">
        <f t="shared" si="52"/>
        <v>-2.0775644913434754</v>
      </c>
      <c r="M138">
        <f t="shared" si="53"/>
        <v>5.4408478060926075</v>
      </c>
      <c r="N138">
        <f t="shared" si="62"/>
        <v>2.4338551913278712</v>
      </c>
      <c r="P138">
        <v>84.630889999999994</v>
      </c>
      <c r="Q138">
        <v>0.45615446581083685</v>
      </c>
      <c r="R138">
        <f t="shared" si="46"/>
        <v>38.604758419045694</v>
      </c>
      <c r="S138">
        <f t="shared" si="54"/>
        <v>1.9513915140423332</v>
      </c>
      <c r="T138">
        <f t="shared" si="55"/>
        <v>1.4118918007067993</v>
      </c>
      <c r="U138">
        <f t="shared" si="63"/>
        <v>0.79791534231313799</v>
      </c>
      <c r="W138">
        <v>43.020009999999999</v>
      </c>
      <c r="X138">
        <v>1.6540920099061988E-2</v>
      </c>
      <c r="Y138">
        <f t="shared" si="47"/>
        <v>0.71159054807084776</v>
      </c>
      <c r="Z138">
        <f t="shared" si="56"/>
        <v>0.22390789280561929</v>
      </c>
      <c r="AA138">
        <f t="shared" si="57"/>
        <v>3.1393754219435133</v>
      </c>
      <c r="AB138">
        <f t="shared" si="64"/>
        <v>1.629549433699673</v>
      </c>
      <c r="AD138">
        <v>84.43759</v>
      </c>
      <c r="AE138">
        <v>0.3312611605734484</v>
      </c>
      <c r="AF138">
        <f t="shared" si="48"/>
        <v>27.970894059425</v>
      </c>
      <c r="AG138">
        <f t="shared" si="58"/>
        <v>8.2332279853688526</v>
      </c>
      <c r="AH138">
        <f t="shared" si="59"/>
        <v>4.86994467061972</v>
      </c>
      <c r="AI138">
        <f t="shared" si="65"/>
        <v>3.9808314299132239</v>
      </c>
      <c r="AL138">
        <f t="shared" si="49"/>
        <v>92.059526482673022</v>
      </c>
      <c r="AM138">
        <f t="shared" si="60"/>
        <v>3.3632833147491326</v>
      </c>
    </row>
    <row r="139" spans="1:39" x14ac:dyDescent="0.35">
      <c r="A139" s="2">
        <v>40664</v>
      </c>
      <c r="B139">
        <v>121.2557</v>
      </c>
      <c r="C139">
        <v>7.8842761171392328E-2</v>
      </c>
      <c r="D139">
        <f t="shared" si="44"/>
        <v>9.5601341957699972</v>
      </c>
      <c r="E139">
        <f t="shared" si="50"/>
        <v>2.2448972708430714</v>
      </c>
      <c r="F139">
        <f t="shared" si="51"/>
        <v>4.9120992455762291</v>
      </c>
      <c r="G139">
        <f t="shared" si="61"/>
        <v>3.1667849784894342</v>
      </c>
      <c r="I139">
        <v>132.29839999999999</v>
      </c>
      <c r="J139">
        <v>0.11720069234526045</v>
      </c>
      <c r="K139">
        <f t="shared" si="45"/>
        <v>15.505464076170204</v>
      </c>
      <c r="L139">
        <f t="shared" si="52"/>
        <v>0.54086013252097054</v>
      </c>
      <c r="M139">
        <f t="shared" si="53"/>
        <v>3.2080621072541282</v>
      </c>
      <c r="N139">
        <f t="shared" si="62"/>
        <v>2.2327856988384793</v>
      </c>
      <c r="P139">
        <v>80.801100000000005</v>
      </c>
      <c r="Q139">
        <v>0.45615446581083685</v>
      </c>
      <c r="R139">
        <f t="shared" si="46"/>
        <v>36.857782607428014</v>
      </c>
      <c r="S139">
        <f t="shared" si="54"/>
        <v>-4.5252862164157692</v>
      </c>
      <c r="T139">
        <f t="shared" si="55"/>
        <v>1.8580842416826115</v>
      </c>
      <c r="U139">
        <f t="shared" si="63"/>
        <v>0.44619244097581223</v>
      </c>
      <c r="W139">
        <v>46.104599999999998</v>
      </c>
      <c r="X139">
        <v>1.6540920099061988E-2</v>
      </c>
      <c r="Y139">
        <f t="shared" si="47"/>
        <v>0.76261250479921328</v>
      </c>
      <c r="Z139">
        <f t="shared" si="56"/>
        <v>7.1701285053164865</v>
      </c>
      <c r="AA139">
        <f t="shared" si="57"/>
        <v>9.8373304800496442</v>
      </c>
      <c r="AB139">
        <f t="shared" si="64"/>
        <v>6.6979550581061309</v>
      </c>
      <c r="AD139">
        <v>81.259510000000006</v>
      </c>
      <c r="AE139">
        <v>0.3312611605734484</v>
      </c>
      <c r="AF139">
        <f t="shared" si="48"/>
        <v>26.918119590229736</v>
      </c>
      <c r="AG139">
        <f t="shared" si="58"/>
        <v>-3.7638213028107437</v>
      </c>
      <c r="AH139">
        <f t="shared" si="59"/>
        <v>1.096619328077586</v>
      </c>
      <c r="AI139">
        <f t="shared" si="65"/>
        <v>3.773325342542134</v>
      </c>
      <c r="AL139">
        <f t="shared" si="49"/>
        <v>89.604112974397168</v>
      </c>
      <c r="AM139">
        <f t="shared" si="60"/>
        <v>-2.6672019747331577</v>
      </c>
    </row>
    <row r="140" spans="1:39" x14ac:dyDescent="0.35">
      <c r="A140" s="2">
        <v>40695</v>
      </c>
      <c r="B140">
        <v>118.7876</v>
      </c>
      <c r="C140">
        <v>7.8842761171392328E-2</v>
      </c>
      <c r="D140">
        <f t="shared" si="44"/>
        <v>9.3655423769228836</v>
      </c>
      <c r="E140">
        <f t="shared" si="50"/>
        <v>-2.0354507045854398</v>
      </c>
      <c r="F140">
        <f t="shared" si="51"/>
        <v>0.71375696302909963</v>
      </c>
      <c r="G140">
        <f t="shared" si="61"/>
        <v>4.198342282547129</v>
      </c>
      <c r="I140">
        <v>134.10419999999999</v>
      </c>
      <c r="J140">
        <v>0.11720069234526045</v>
      </c>
      <c r="K140">
        <f t="shared" si="45"/>
        <v>15.717105086407276</v>
      </c>
      <c r="L140">
        <f t="shared" si="52"/>
        <v>1.3649447007673565</v>
      </c>
      <c r="M140">
        <f t="shared" si="53"/>
        <v>2.6866384423236966</v>
      </c>
      <c r="N140">
        <f t="shared" si="62"/>
        <v>0.52142366493043157</v>
      </c>
      <c r="P140">
        <v>80.563689999999994</v>
      </c>
      <c r="Q140">
        <v>0.45615446581083685</v>
      </c>
      <c r="R140">
        <f t="shared" si="46"/>
        <v>36.749486975699853</v>
      </c>
      <c r="S140">
        <f t="shared" si="54"/>
        <v>-0.2938202573975035</v>
      </c>
      <c r="T140">
        <f t="shared" si="55"/>
        <v>1.0278734841588366</v>
      </c>
      <c r="U140">
        <f t="shared" si="63"/>
        <v>0.83021075752377493</v>
      </c>
      <c r="W140">
        <v>53.674140000000001</v>
      </c>
      <c r="X140">
        <v>1.6540920099061988E-2</v>
      </c>
      <c r="Y140">
        <f t="shared" si="47"/>
        <v>0.88781966112586708</v>
      </c>
      <c r="Z140">
        <f t="shared" si="56"/>
        <v>16.418188206816687</v>
      </c>
      <c r="AA140">
        <f t="shared" si="57"/>
        <v>17.739881948373029</v>
      </c>
      <c r="AB140">
        <f t="shared" si="64"/>
        <v>7.9025514683233844</v>
      </c>
      <c r="AD140">
        <v>77.581890000000001</v>
      </c>
      <c r="AE140">
        <v>0.3312611605734484</v>
      </c>
      <c r="AF140">
        <f t="shared" si="48"/>
        <v>25.699866920881611</v>
      </c>
      <c r="AG140">
        <f t="shared" si="58"/>
        <v>-4.5257718142775012</v>
      </c>
      <c r="AH140">
        <f t="shared" si="59"/>
        <v>3.2040780727211611</v>
      </c>
      <c r="AI140">
        <f t="shared" si="65"/>
        <v>2.1074587446435751</v>
      </c>
      <c r="AL140">
        <f t="shared" si="49"/>
        <v>88.419821021037492</v>
      </c>
      <c r="AM140">
        <f t="shared" si="60"/>
        <v>-1.3216937415563401</v>
      </c>
    </row>
    <row r="141" spans="1:39" x14ac:dyDescent="0.35">
      <c r="A141" s="2">
        <v>40725</v>
      </c>
      <c r="B141">
        <v>117.61320000000001</v>
      </c>
      <c r="C141">
        <v>7.8842761171392328E-2</v>
      </c>
      <c r="D141">
        <f t="shared" si="44"/>
        <v>9.2729494382032005</v>
      </c>
      <c r="E141">
        <f t="shared" si="50"/>
        <v>-0.98865538153812826</v>
      </c>
      <c r="F141">
        <f t="shared" si="51"/>
        <v>0.82249028307811445</v>
      </c>
      <c r="G141">
        <f t="shared" si="61"/>
        <v>0.10873332004901481</v>
      </c>
      <c r="I141">
        <v>127.7257</v>
      </c>
      <c r="J141">
        <v>0.11720069234526045</v>
      </c>
      <c r="K141">
        <f t="shared" si="45"/>
        <v>14.969540470283034</v>
      </c>
      <c r="L141">
        <f t="shared" si="52"/>
        <v>-4.7563760120861165</v>
      </c>
      <c r="M141">
        <f t="shared" si="53"/>
        <v>4.5902109136261027</v>
      </c>
      <c r="N141">
        <f t="shared" si="62"/>
        <v>1.903572471302406</v>
      </c>
      <c r="P141">
        <v>82.174130000000005</v>
      </c>
      <c r="Q141">
        <v>0.45615446581083685</v>
      </c>
      <c r="R141">
        <f t="shared" si="46"/>
        <v>37.484096373620268</v>
      </c>
      <c r="S141">
        <f t="shared" si="54"/>
        <v>1.9989650424403482</v>
      </c>
      <c r="T141">
        <f t="shared" si="55"/>
        <v>2.165130140900362</v>
      </c>
      <c r="U141">
        <f t="shared" si="63"/>
        <v>1.1372566567415254</v>
      </c>
      <c r="W141">
        <v>55.045160000000003</v>
      </c>
      <c r="X141">
        <v>1.6540920099061988E-2</v>
      </c>
      <c r="Y141">
        <f t="shared" si="47"/>
        <v>0.91049759340008307</v>
      </c>
      <c r="Z141">
        <f t="shared" si="56"/>
        <v>2.55433994843699</v>
      </c>
      <c r="AA141">
        <f t="shared" si="57"/>
        <v>2.7205050468970038</v>
      </c>
      <c r="AB141">
        <f t="shared" si="64"/>
        <v>15.019376901476026</v>
      </c>
      <c r="AD141">
        <v>77.388530000000003</v>
      </c>
      <c r="AE141">
        <v>0.3312611605734484</v>
      </c>
      <c r="AF141">
        <f t="shared" si="48"/>
        <v>25.635814262873129</v>
      </c>
      <c r="AG141">
        <f t="shared" si="58"/>
        <v>-0.2492334229032056</v>
      </c>
      <c r="AH141">
        <f t="shared" si="59"/>
        <v>8.3068324443191788E-2</v>
      </c>
      <c r="AI141">
        <f t="shared" si="65"/>
        <v>3.1210097482779693</v>
      </c>
      <c r="AL141">
        <f t="shared" si="49"/>
        <v>88.272898138379716</v>
      </c>
      <c r="AM141">
        <f t="shared" si="60"/>
        <v>-0.16616509846001382</v>
      </c>
    </row>
    <row r="142" spans="1:39" x14ac:dyDescent="0.35">
      <c r="A142" s="2">
        <v>40756</v>
      </c>
      <c r="B142">
        <v>106.3116</v>
      </c>
      <c r="C142">
        <v>7.8842761171392328E-2</v>
      </c>
      <c r="D142">
        <f t="shared" si="44"/>
        <v>8.3819000885485924</v>
      </c>
      <c r="E142">
        <f t="shared" si="50"/>
        <v>-9.6091255063207264</v>
      </c>
      <c r="F142">
        <f t="shared" si="51"/>
        <v>2.0268920660593057</v>
      </c>
      <c r="G142">
        <f t="shared" si="61"/>
        <v>1.2044017829811913</v>
      </c>
      <c r="I142">
        <v>124.86239999999999</v>
      </c>
      <c r="J142">
        <v>0.11720069234526045</v>
      </c>
      <c r="K142">
        <f t="shared" si="45"/>
        <v>14.633959727890849</v>
      </c>
      <c r="L142">
        <f t="shared" si="52"/>
        <v>-2.2417571404971803</v>
      </c>
      <c r="M142">
        <f t="shared" si="53"/>
        <v>5.3404762997642408</v>
      </c>
      <c r="N142">
        <f t="shared" si="62"/>
        <v>0.75026538613813809</v>
      </c>
      <c r="P142">
        <v>77.294160000000005</v>
      </c>
      <c r="Q142">
        <v>0.45615446581083685</v>
      </c>
      <c r="R142">
        <f t="shared" si="46"/>
        <v>35.258076265097358</v>
      </c>
      <c r="S142">
        <f t="shared" si="54"/>
        <v>-5.938572151600507</v>
      </c>
      <c r="T142">
        <f t="shared" si="55"/>
        <v>1.6436612886609137</v>
      </c>
      <c r="U142">
        <f t="shared" si="63"/>
        <v>0.52146885223944839</v>
      </c>
      <c r="W142">
        <v>55.122639999999997</v>
      </c>
      <c r="X142">
        <v>1.6540920099061988E-2</v>
      </c>
      <c r="Y142">
        <f t="shared" si="47"/>
        <v>0.9117791838893583</v>
      </c>
      <c r="Z142">
        <f t="shared" si="56"/>
        <v>0.14075715285410961</v>
      </c>
      <c r="AA142">
        <f t="shared" si="57"/>
        <v>7.7229905931155303</v>
      </c>
      <c r="AB142">
        <f t="shared" si="64"/>
        <v>5.0024855462185265</v>
      </c>
      <c r="AD142">
        <v>67.602630000000005</v>
      </c>
      <c r="AE142">
        <v>0.3312611605734484</v>
      </c>
      <c r="AF142">
        <f t="shared" si="48"/>
        <v>22.39412567161742</v>
      </c>
      <c r="AG142">
        <f t="shared" si="58"/>
        <v>-12.645155554705589</v>
      </c>
      <c r="AH142">
        <f t="shared" si="59"/>
        <v>5.0629221144441683</v>
      </c>
      <c r="AI142">
        <f t="shared" si="65"/>
        <v>4.9798537900009769</v>
      </c>
      <c r="AL142">
        <f t="shared" si="49"/>
        <v>81.579840937043585</v>
      </c>
      <c r="AM142">
        <f t="shared" si="60"/>
        <v>-7.5822334402614207</v>
      </c>
    </row>
    <row r="143" spans="1:39" x14ac:dyDescent="0.35">
      <c r="A143" s="2">
        <v>40787</v>
      </c>
      <c r="B143">
        <v>103.0646</v>
      </c>
      <c r="C143">
        <v>7.8842761171392328E-2</v>
      </c>
      <c r="D143">
        <f t="shared" si="44"/>
        <v>8.1258976430250822</v>
      </c>
      <c r="E143">
        <f t="shared" si="50"/>
        <v>-3.0542292656680958</v>
      </c>
      <c r="F143">
        <f t="shared" si="51"/>
        <v>4.6107965784770055</v>
      </c>
      <c r="G143">
        <f t="shared" si="61"/>
        <v>2.5839045124176998</v>
      </c>
      <c r="I143">
        <v>126.6861</v>
      </c>
      <c r="J143">
        <v>0.11720069234526045</v>
      </c>
      <c r="K143">
        <f t="shared" si="45"/>
        <v>14.847698630520901</v>
      </c>
      <c r="L143">
        <f t="shared" si="52"/>
        <v>1.4605677930265681</v>
      </c>
      <c r="M143">
        <f t="shared" si="53"/>
        <v>9.5999519782341558E-2</v>
      </c>
      <c r="N143">
        <f t="shared" si="62"/>
        <v>5.2444767799818992</v>
      </c>
      <c r="P143">
        <v>77.847319999999996</v>
      </c>
      <c r="Q143">
        <v>0.45615446581083685</v>
      </c>
      <c r="R143">
        <f t="shared" si="46"/>
        <v>35.510402669405273</v>
      </c>
      <c r="S143">
        <f t="shared" si="54"/>
        <v>0.71565562003648164</v>
      </c>
      <c r="T143">
        <f t="shared" si="55"/>
        <v>0.84091169277242805</v>
      </c>
      <c r="U143">
        <f t="shared" si="63"/>
        <v>0.8027495958884856</v>
      </c>
      <c r="W143">
        <v>54.65231</v>
      </c>
      <c r="X143">
        <v>1.6540920099061988E-2</v>
      </c>
      <c r="Y143">
        <f t="shared" si="47"/>
        <v>0.90399949293916648</v>
      </c>
      <c r="Z143">
        <f t="shared" si="56"/>
        <v>-0.85324287806244348</v>
      </c>
      <c r="AA143">
        <f t="shared" si="57"/>
        <v>2.4098101908713532</v>
      </c>
      <c r="AB143">
        <f t="shared" si="64"/>
        <v>5.3131804022441766</v>
      </c>
      <c r="AD143">
        <v>70.82535</v>
      </c>
      <c r="AE143">
        <v>0.3312611605734484</v>
      </c>
      <c r="AF143">
        <f t="shared" si="48"/>
        <v>23.461687639020685</v>
      </c>
      <c r="AG143">
        <f t="shared" si="58"/>
        <v>4.767151810513881</v>
      </c>
      <c r="AH143">
        <f t="shared" si="59"/>
        <v>3.2105844977049713</v>
      </c>
      <c r="AI143">
        <f t="shared" si="65"/>
        <v>1.8523376167391969</v>
      </c>
      <c r="AL143">
        <f t="shared" si="49"/>
        <v>82.849686074911105</v>
      </c>
      <c r="AM143">
        <f t="shared" si="60"/>
        <v>1.5565673128089097</v>
      </c>
    </row>
    <row r="144" spans="1:39" x14ac:dyDescent="0.35">
      <c r="A144" s="2">
        <v>40817</v>
      </c>
      <c r="B144">
        <v>102.7666</v>
      </c>
      <c r="C144">
        <v>7.8842761171392328E-2</v>
      </c>
      <c r="D144">
        <f t="shared" si="44"/>
        <v>8.1024025001960069</v>
      </c>
      <c r="E144">
        <f t="shared" si="50"/>
        <v>-0.28913904483207631</v>
      </c>
      <c r="F144">
        <f t="shared" si="51"/>
        <v>0.68655297608559707</v>
      </c>
      <c r="G144">
        <f t="shared" si="61"/>
        <v>3.9242436023914085</v>
      </c>
      <c r="I144">
        <v>125.0155</v>
      </c>
      <c r="J144">
        <v>0.11720069234526045</v>
      </c>
      <c r="K144">
        <f t="shared" si="45"/>
        <v>14.65190315388891</v>
      </c>
      <c r="L144">
        <f t="shared" si="52"/>
        <v>-1.3186924216626705</v>
      </c>
      <c r="M144">
        <f t="shared" si="53"/>
        <v>1.7161063529161913</v>
      </c>
      <c r="N144">
        <f t="shared" si="62"/>
        <v>1.6201068331338497</v>
      </c>
      <c r="P144">
        <v>78.712339999999998</v>
      </c>
      <c r="Q144">
        <v>0.45615446581083685</v>
      </c>
      <c r="R144">
        <f t="shared" si="46"/>
        <v>35.904985405420966</v>
      </c>
      <c r="S144">
        <f t="shared" si="54"/>
        <v>1.1111750539389176</v>
      </c>
      <c r="T144">
        <f t="shared" si="55"/>
        <v>0.71376112268539682</v>
      </c>
      <c r="U144">
        <f t="shared" si="63"/>
        <v>0.12715057008703123</v>
      </c>
      <c r="W144">
        <v>54.180109999999999</v>
      </c>
      <c r="X144">
        <v>1.6540920099061988E-2</v>
      </c>
      <c r="Y144">
        <f t="shared" si="47"/>
        <v>0.89618887046838946</v>
      </c>
      <c r="Z144">
        <f t="shared" si="56"/>
        <v>-0.86400739511285352</v>
      </c>
      <c r="AA144">
        <f t="shared" si="57"/>
        <v>1.2614213263663743</v>
      </c>
      <c r="AB144">
        <f t="shared" si="64"/>
        <v>1.1483888645049789</v>
      </c>
      <c r="AD144">
        <v>71.31371</v>
      </c>
      <c r="AE144">
        <v>0.3312611605734484</v>
      </c>
      <c r="AF144">
        <f t="shared" si="48"/>
        <v>23.623462339398333</v>
      </c>
      <c r="AG144">
        <f t="shared" si="58"/>
        <v>0.68952712552778905</v>
      </c>
      <c r="AH144">
        <f t="shared" si="59"/>
        <v>0.2921131942742683</v>
      </c>
      <c r="AI144">
        <f t="shared" si="65"/>
        <v>2.918471303430703</v>
      </c>
      <c r="AL144">
        <f t="shared" si="49"/>
        <v>83.178942269372612</v>
      </c>
      <c r="AM144">
        <f t="shared" si="60"/>
        <v>0.39741393125352076</v>
      </c>
    </row>
    <row r="145" spans="1:39" x14ac:dyDescent="0.35">
      <c r="A145" s="2">
        <v>40848</v>
      </c>
      <c r="B145">
        <v>107.8064</v>
      </c>
      <c r="C145">
        <v>7.8842761171392328E-2</v>
      </c>
      <c r="D145">
        <f t="shared" si="44"/>
        <v>8.4997542479475889</v>
      </c>
      <c r="E145">
        <f t="shared" si="50"/>
        <v>4.904122545652001</v>
      </c>
      <c r="F145">
        <f t="shared" si="51"/>
        <v>4.3627122237639648</v>
      </c>
      <c r="G145">
        <f t="shared" si="61"/>
        <v>3.6761592476783678</v>
      </c>
      <c r="I145">
        <v>121.1763</v>
      </c>
      <c r="J145">
        <v>0.11720069234526045</v>
      </c>
      <c r="K145">
        <f t="shared" si="45"/>
        <v>14.201946255836985</v>
      </c>
      <c r="L145">
        <f t="shared" si="52"/>
        <v>-3.0709791985793822</v>
      </c>
      <c r="M145">
        <f t="shared" si="53"/>
        <v>3.6123895204674183</v>
      </c>
      <c r="N145">
        <f t="shared" si="62"/>
        <v>1.8962831675512271</v>
      </c>
      <c r="P145">
        <v>82.733080000000001</v>
      </c>
      <c r="Q145">
        <v>0.45615446581083685</v>
      </c>
      <c r="R145">
        <f t="shared" si="46"/>
        <v>37.739063912285232</v>
      </c>
      <c r="S145">
        <f t="shared" si="54"/>
        <v>5.1081444154754019</v>
      </c>
      <c r="T145">
        <f t="shared" si="55"/>
        <v>4.5667340935873657</v>
      </c>
      <c r="U145">
        <f t="shared" si="63"/>
        <v>3.8529729709019689</v>
      </c>
      <c r="W145">
        <v>52.096879999999999</v>
      </c>
      <c r="X145">
        <v>1.6540920099061988E-2</v>
      </c>
      <c r="Y145">
        <f t="shared" si="47"/>
        <v>0.8617303294904205</v>
      </c>
      <c r="Z145">
        <f t="shared" si="56"/>
        <v>-3.8450088048916808</v>
      </c>
      <c r="AA145">
        <f t="shared" si="57"/>
        <v>4.3864191267797175</v>
      </c>
      <c r="AB145">
        <f t="shared" si="64"/>
        <v>3.1249978004133432</v>
      </c>
      <c r="AD145">
        <v>67.399349999999998</v>
      </c>
      <c r="AE145">
        <v>0.3312611605734484</v>
      </c>
      <c r="AF145">
        <f t="shared" si="48"/>
        <v>22.32678690289605</v>
      </c>
      <c r="AG145">
        <f t="shared" si="58"/>
        <v>-5.4889305296274777</v>
      </c>
      <c r="AH145">
        <f t="shared" si="59"/>
        <v>6.0303408515155139</v>
      </c>
      <c r="AI145">
        <f t="shared" si="65"/>
        <v>5.7382276572412456</v>
      </c>
      <c r="AL145">
        <f t="shared" si="49"/>
        <v>83.629281648456285</v>
      </c>
      <c r="AM145">
        <f t="shared" si="60"/>
        <v>0.54141032188803617</v>
      </c>
    </row>
    <row r="146" spans="1:39" x14ac:dyDescent="0.35">
      <c r="A146" s="2">
        <v>40878</v>
      </c>
      <c r="B146">
        <v>106.3252</v>
      </c>
      <c r="C146">
        <v>7.8842761171392328E-2</v>
      </c>
      <c r="D146">
        <f t="shared" si="44"/>
        <v>8.3829723501005233</v>
      </c>
      <c r="E146">
        <f t="shared" si="50"/>
        <v>-1.3739444040428039</v>
      </c>
      <c r="F146">
        <f t="shared" si="51"/>
        <v>1.055352706485424</v>
      </c>
      <c r="G146">
        <f t="shared" si="61"/>
        <v>3.3073595172785408</v>
      </c>
      <c r="I146">
        <v>122.38379999999999</v>
      </c>
      <c r="J146">
        <v>0.11720069234526045</v>
      </c>
      <c r="K146">
        <f t="shared" si="45"/>
        <v>14.343466091843885</v>
      </c>
      <c r="L146">
        <f t="shared" si="52"/>
        <v>0.99648198533870413</v>
      </c>
      <c r="M146">
        <f t="shared" si="53"/>
        <v>1.3150736828960841</v>
      </c>
      <c r="N146">
        <f t="shared" si="62"/>
        <v>2.2973158375713343</v>
      </c>
      <c r="P146">
        <v>83.668329999999997</v>
      </c>
      <c r="Q146">
        <v>0.45615446581083685</v>
      </c>
      <c r="R146">
        <f t="shared" si="46"/>
        <v>38.165682376434816</v>
      </c>
      <c r="S146">
        <f t="shared" si="54"/>
        <v>1.1304426234342912</v>
      </c>
      <c r="T146">
        <f t="shared" si="55"/>
        <v>1.4490343209916712</v>
      </c>
      <c r="U146">
        <f t="shared" si="63"/>
        <v>3.1176997725956945</v>
      </c>
      <c r="W146">
        <v>50.851869999999998</v>
      </c>
      <c r="X146">
        <v>1.6540920099061988E-2</v>
      </c>
      <c r="Y146">
        <f t="shared" si="47"/>
        <v>0.8411367185578873</v>
      </c>
      <c r="Z146">
        <f t="shared" si="56"/>
        <v>-2.3897976231973983</v>
      </c>
      <c r="AA146">
        <f t="shared" si="57"/>
        <v>2.0712059256400184</v>
      </c>
      <c r="AB146">
        <f t="shared" si="64"/>
        <v>2.3152132011396991</v>
      </c>
      <c r="AD146">
        <v>65.294669999999996</v>
      </c>
      <c r="AE146">
        <v>0.3312611605734484</v>
      </c>
      <c r="AF146">
        <f t="shared" si="48"/>
        <v>21.629588163460323</v>
      </c>
      <c r="AG146">
        <f t="shared" si="58"/>
        <v>-3.1227007382118699</v>
      </c>
      <c r="AH146">
        <f t="shared" si="59"/>
        <v>2.80410904065449</v>
      </c>
      <c r="AI146">
        <f t="shared" si="65"/>
        <v>3.226231810861024</v>
      </c>
      <c r="AL146">
        <f t="shared" si="49"/>
        <v>83.362845700397429</v>
      </c>
      <c r="AM146">
        <f t="shared" si="60"/>
        <v>-0.31859169755737993</v>
      </c>
    </row>
    <row r="147" spans="1:39" x14ac:dyDescent="0.35">
      <c r="A147" s="2">
        <v>40909</v>
      </c>
      <c r="B147">
        <v>107.81229999999999</v>
      </c>
      <c r="C147">
        <v>8.0297849319447126E-2</v>
      </c>
      <c r="D147">
        <f t="shared" si="44"/>
        <v>8.657095820183029</v>
      </c>
      <c r="E147">
        <f t="shared" si="50"/>
        <v>1.3986336258948961</v>
      </c>
      <c r="F147">
        <f t="shared" si="51"/>
        <v>2.0940181982465056E-2</v>
      </c>
      <c r="G147">
        <f t="shared" si="61"/>
        <v>1.034412524502959</v>
      </c>
      <c r="I147">
        <v>124.5641</v>
      </c>
      <c r="J147">
        <v>0.11684194569778882</v>
      </c>
      <c r="K147">
        <f t="shared" si="45"/>
        <v>14.554311808093935</v>
      </c>
      <c r="L147">
        <f t="shared" si="52"/>
        <v>1.7815266399637819</v>
      </c>
      <c r="M147">
        <f t="shared" si="53"/>
        <v>0.36195283208642071</v>
      </c>
      <c r="N147">
        <f t="shared" si="62"/>
        <v>0.95312085080966336</v>
      </c>
      <c r="P147">
        <v>84.65701</v>
      </c>
      <c r="Q147">
        <v>0.45318522504568071</v>
      </c>
      <c r="R147">
        <f t="shared" si="46"/>
        <v>38.365306128544439</v>
      </c>
      <c r="S147">
        <f t="shared" si="54"/>
        <v>1.1816657509478246</v>
      </c>
      <c r="T147">
        <f t="shared" si="55"/>
        <v>0.23790805692953665</v>
      </c>
      <c r="U147">
        <f t="shared" si="63"/>
        <v>1.2111262640621345</v>
      </c>
      <c r="W147">
        <v>52.878709999999998</v>
      </c>
      <c r="X147">
        <v>1.6644215088531058E-2</v>
      </c>
      <c r="Y147">
        <f t="shared" si="47"/>
        <v>0.88012462284405812</v>
      </c>
      <c r="Z147">
        <f t="shared" si="56"/>
        <v>3.9857727945894705</v>
      </c>
      <c r="AA147">
        <f t="shared" si="57"/>
        <v>2.5661989867121093</v>
      </c>
      <c r="AB147">
        <f t="shared" si="64"/>
        <v>0.49499306107209096</v>
      </c>
      <c r="AD147">
        <v>66.328419999999994</v>
      </c>
      <c r="AE147">
        <v>0.33303076484855232</v>
      </c>
      <c r="AF147">
        <f t="shared" si="48"/>
        <v>22.089404443796013</v>
      </c>
      <c r="AG147">
        <f t="shared" si="58"/>
        <v>1.5832073276425218</v>
      </c>
      <c r="AH147">
        <f t="shared" si="59"/>
        <v>0.16363351976516061</v>
      </c>
      <c r="AI147">
        <f t="shared" si="65"/>
        <v>2.6404755208893294</v>
      </c>
      <c r="AL147">
        <f t="shared" si="49"/>
        <v>84.546242823461483</v>
      </c>
      <c r="AM147">
        <f t="shared" si="60"/>
        <v>1.4195738078773612</v>
      </c>
    </row>
    <row r="148" spans="1:39" x14ac:dyDescent="0.35">
      <c r="A148" s="2">
        <v>40940</v>
      </c>
      <c r="B148">
        <v>112.38339999999999</v>
      </c>
      <c r="C148">
        <v>8.0297849319447126E-2</v>
      </c>
      <c r="D148">
        <f t="shared" si="44"/>
        <v>9.0241453192071539</v>
      </c>
      <c r="E148">
        <f t="shared" si="50"/>
        <v>4.2398687348289554</v>
      </c>
      <c r="F148">
        <f t="shared" si="51"/>
        <v>1.3523765464385828</v>
      </c>
      <c r="G148">
        <f t="shared" si="61"/>
        <v>1.3314363644561178</v>
      </c>
      <c r="I148">
        <v>130.65899999999999</v>
      </c>
      <c r="J148">
        <v>0.11684194569778882</v>
      </c>
      <c r="K148">
        <f t="shared" si="45"/>
        <v>15.266451782927389</v>
      </c>
      <c r="L148">
        <f t="shared" si="52"/>
        <v>4.892982809653823</v>
      </c>
      <c r="M148">
        <f t="shared" si="53"/>
        <v>0.69926247161371524</v>
      </c>
      <c r="N148">
        <f t="shared" si="62"/>
        <v>0.33730963952729454</v>
      </c>
      <c r="P148">
        <v>86.558940000000007</v>
      </c>
      <c r="Q148">
        <v>0.45318522504568071</v>
      </c>
      <c r="R148">
        <f t="shared" si="46"/>
        <v>39.227232703615577</v>
      </c>
      <c r="S148">
        <f t="shared" si="54"/>
        <v>2.2466302554271733</v>
      </c>
      <c r="T148">
        <f t="shared" si="55"/>
        <v>3.345615025840365</v>
      </c>
      <c r="U148">
        <f t="shared" si="63"/>
        <v>3.1077069689108283</v>
      </c>
      <c r="W148">
        <v>53.507539999999999</v>
      </c>
      <c r="X148">
        <v>1.6644215088531058E-2</v>
      </c>
      <c r="Y148">
        <f t="shared" si="47"/>
        <v>0.89059100461817908</v>
      </c>
      <c r="Z148">
        <f t="shared" si="56"/>
        <v>1.1891931554306012</v>
      </c>
      <c r="AA148">
        <f t="shared" si="57"/>
        <v>4.4030521258369371</v>
      </c>
      <c r="AB148">
        <f t="shared" si="64"/>
        <v>1.8368531391248277</v>
      </c>
      <c r="AD148">
        <v>74.66534</v>
      </c>
      <c r="AE148">
        <v>0.33303076484855232</v>
      </c>
      <c r="AF148">
        <f t="shared" si="48"/>
        <v>24.865855287877206</v>
      </c>
      <c r="AG148">
        <f t="shared" si="58"/>
        <v>12.569152107045522</v>
      </c>
      <c r="AH148">
        <f t="shared" si="59"/>
        <v>6.9769068257779834</v>
      </c>
      <c r="AI148">
        <f t="shared" si="65"/>
        <v>6.8132733060128228</v>
      </c>
      <c r="AL148">
        <f t="shared" si="49"/>
        <v>89.274276098245508</v>
      </c>
      <c r="AM148">
        <f t="shared" si="60"/>
        <v>5.5922452812675383</v>
      </c>
    </row>
    <row r="149" spans="1:39" x14ac:dyDescent="0.35">
      <c r="A149" s="2">
        <v>40969</v>
      </c>
      <c r="B149">
        <v>115.5652</v>
      </c>
      <c r="C149">
        <v>8.0297849319447126E-2</v>
      </c>
      <c r="D149">
        <f t="shared" si="44"/>
        <v>9.2796370161717707</v>
      </c>
      <c r="E149">
        <f t="shared" si="50"/>
        <v>2.8312010492652862</v>
      </c>
      <c r="F149">
        <f t="shared" si="51"/>
        <v>1.4111530289449448</v>
      </c>
      <c r="G149">
        <f t="shared" si="61"/>
        <v>5.8776482506361916E-2</v>
      </c>
      <c r="I149">
        <v>134.38319999999999</v>
      </c>
      <c r="J149">
        <v>0.11684194569778882</v>
      </c>
      <c r="K149">
        <f t="shared" si="45"/>
        <v>15.701594557095092</v>
      </c>
      <c r="L149">
        <f t="shared" si="52"/>
        <v>2.8503202994053289</v>
      </c>
      <c r="M149">
        <f t="shared" si="53"/>
        <v>1.4302722790849876</v>
      </c>
      <c r="N149">
        <f t="shared" si="62"/>
        <v>0.73100980747127231</v>
      </c>
      <c r="P149">
        <v>87.172749999999994</v>
      </c>
      <c r="Q149">
        <v>0.45318522504568071</v>
      </c>
      <c r="R149">
        <f t="shared" si="46"/>
        <v>39.505402326600858</v>
      </c>
      <c r="S149">
        <f t="shared" si="54"/>
        <v>0.70912374851168636</v>
      </c>
      <c r="T149">
        <f t="shared" si="55"/>
        <v>0.71092427180865503</v>
      </c>
      <c r="U149">
        <f t="shared" si="63"/>
        <v>2.6346907540317099</v>
      </c>
      <c r="W149">
        <v>51.949559999999998</v>
      </c>
      <c r="X149">
        <v>1.6644215088531058E-2</v>
      </c>
      <c r="Y149">
        <f t="shared" si="47"/>
        <v>0.86465965039454951</v>
      </c>
      <c r="Z149">
        <f t="shared" si="56"/>
        <v>-2.9117017900654796</v>
      </c>
      <c r="AA149">
        <f t="shared" si="57"/>
        <v>4.331749810385821</v>
      </c>
      <c r="AB149">
        <f t="shared" si="64"/>
        <v>7.1302315451116094E-2</v>
      </c>
      <c r="AD149">
        <v>75.640820000000005</v>
      </c>
      <c r="AE149">
        <v>0.33303076484855232</v>
      </c>
      <c r="AF149">
        <f t="shared" si="48"/>
        <v>25.190720138371674</v>
      </c>
      <c r="AG149">
        <f t="shared" si="58"/>
        <v>1.3064696417373955</v>
      </c>
      <c r="AH149">
        <f t="shared" si="59"/>
        <v>0.11357837858294584</v>
      </c>
      <c r="AI149">
        <f t="shared" si="65"/>
        <v>6.8633284471950375</v>
      </c>
      <c r="AL149">
        <f t="shared" si="49"/>
        <v>90.542013688633958</v>
      </c>
      <c r="AM149">
        <f t="shared" si="60"/>
        <v>1.4200480203203414</v>
      </c>
    </row>
    <row r="150" spans="1:39" x14ac:dyDescent="0.35">
      <c r="A150" s="2">
        <v>41000</v>
      </c>
      <c r="B150">
        <v>116.01909999999999</v>
      </c>
      <c r="C150">
        <v>8.0297849319447126E-2</v>
      </c>
      <c r="D150">
        <f t="shared" si="44"/>
        <v>9.316084209977868</v>
      </c>
      <c r="E150">
        <f t="shared" si="50"/>
        <v>0.39276529612719546</v>
      </c>
      <c r="F150">
        <f t="shared" si="51"/>
        <v>0.97681753544864858</v>
      </c>
      <c r="G150">
        <f t="shared" si="61"/>
        <v>0.43433549349629619</v>
      </c>
      <c r="I150">
        <v>136.2278</v>
      </c>
      <c r="J150">
        <v>0.11684194569778882</v>
      </c>
      <c r="K150">
        <f t="shared" si="45"/>
        <v>15.917121210129235</v>
      </c>
      <c r="L150">
        <f t="shared" si="52"/>
        <v>1.3726418183225286</v>
      </c>
      <c r="M150">
        <f t="shared" si="53"/>
        <v>3.0589867466845888E-3</v>
      </c>
      <c r="N150">
        <f t="shared" si="62"/>
        <v>1.427213292338303</v>
      </c>
      <c r="P150">
        <v>89.556359999999998</v>
      </c>
      <c r="Q150">
        <v>0.45318522504568071</v>
      </c>
      <c r="R150">
        <f t="shared" si="46"/>
        <v>40.585619160872</v>
      </c>
      <c r="S150">
        <f t="shared" si="54"/>
        <v>2.7343521914818592</v>
      </c>
      <c r="T150">
        <f t="shared" si="55"/>
        <v>1.3647693599060151</v>
      </c>
      <c r="U150">
        <f t="shared" si="63"/>
        <v>0.65384508809736008</v>
      </c>
      <c r="W150">
        <v>51.770490000000002</v>
      </c>
      <c r="X150">
        <v>1.6644215088531058E-2</v>
      </c>
      <c r="Y150">
        <f t="shared" si="47"/>
        <v>0.86167917079864631</v>
      </c>
      <c r="Z150">
        <f t="shared" si="56"/>
        <v>-0.34469974336643894</v>
      </c>
      <c r="AA150">
        <f t="shared" si="57"/>
        <v>1.714282574942283</v>
      </c>
      <c r="AB150">
        <f t="shared" si="64"/>
        <v>2.617467235443538</v>
      </c>
      <c r="AD150">
        <v>75.373090000000005</v>
      </c>
      <c r="AE150">
        <v>0.33303076484855232</v>
      </c>
      <c r="AF150">
        <f t="shared" si="48"/>
        <v>25.101557811698772</v>
      </c>
      <c r="AG150">
        <f t="shared" si="58"/>
        <v>-0.35394909785483319</v>
      </c>
      <c r="AH150">
        <f t="shared" si="59"/>
        <v>1.7235319294306772</v>
      </c>
      <c r="AI150">
        <f t="shared" si="65"/>
        <v>1.6099535508477314</v>
      </c>
      <c r="AL150">
        <f t="shared" si="49"/>
        <v>91.782061563476532</v>
      </c>
      <c r="AM150">
        <f t="shared" si="60"/>
        <v>1.369582831575844</v>
      </c>
    </row>
    <row r="151" spans="1:39" x14ac:dyDescent="0.35">
      <c r="A151" s="2">
        <v>41030</v>
      </c>
      <c r="B151">
        <v>111.8575</v>
      </c>
      <c r="C151">
        <v>8.0297849319447126E-2</v>
      </c>
      <c r="D151">
        <f t="shared" si="44"/>
        <v>8.9819166802500572</v>
      </c>
      <c r="E151">
        <f t="shared" si="50"/>
        <v>-3.586995589519304</v>
      </c>
      <c r="F151">
        <f t="shared" si="51"/>
        <v>0.50005225943738907</v>
      </c>
      <c r="G151">
        <f t="shared" si="61"/>
        <v>0.47676527601125951</v>
      </c>
      <c r="I151">
        <v>135.91390000000001</v>
      </c>
      <c r="J151">
        <v>0.11684194569778882</v>
      </c>
      <c r="K151">
        <f t="shared" si="45"/>
        <v>15.880444523374701</v>
      </c>
      <c r="L151">
        <f t="shared" si="52"/>
        <v>-0.23042286523013988</v>
      </c>
      <c r="M151">
        <f t="shared" si="53"/>
        <v>2.856520464851775</v>
      </c>
      <c r="N151">
        <f t="shared" si="62"/>
        <v>2.8534614781050904</v>
      </c>
      <c r="P151">
        <v>87.322999999999993</v>
      </c>
      <c r="Q151">
        <v>0.45318522504568071</v>
      </c>
      <c r="R151">
        <f t="shared" si="46"/>
        <v>39.573493406663971</v>
      </c>
      <c r="S151">
        <f t="shared" si="54"/>
        <v>-2.4938039018111091</v>
      </c>
      <c r="T151">
        <f t="shared" si="55"/>
        <v>0.59313942827080579</v>
      </c>
      <c r="U151">
        <f t="shared" si="63"/>
        <v>0.77162993163520932</v>
      </c>
      <c r="W151">
        <v>51.687179999999998</v>
      </c>
      <c r="X151">
        <v>1.6644215088531058E-2</v>
      </c>
      <c r="Y151">
        <f t="shared" si="47"/>
        <v>0.86029254123962073</v>
      </c>
      <c r="Z151">
        <f t="shared" si="56"/>
        <v>-0.16092179154573172</v>
      </c>
      <c r="AA151">
        <f t="shared" si="57"/>
        <v>2.9260215385361832</v>
      </c>
      <c r="AB151">
        <f t="shared" si="64"/>
        <v>1.2117389635939002</v>
      </c>
      <c r="AD151">
        <v>71.02243</v>
      </c>
      <c r="AE151">
        <v>0.33303076484855232</v>
      </c>
      <c r="AF151">
        <f t="shared" si="48"/>
        <v>23.652654184302769</v>
      </c>
      <c r="AG151">
        <f t="shared" si="58"/>
        <v>-5.7721661669967395</v>
      </c>
      <c r="AH151">
        <f t="shared" si="59"/>
        <v>2.6852228369148246</v>
      </c>
      <c r="AI151">
        <f t="shared" si="65"/>
        <v>0.96169090748414732</v>
      </c>
      <c r="AL151">
        <f t="shared" si="49"/>
        <v>88.948801335831121</v>
      </c>
      <c r="AM151">
        <f t="shared" si="60"/>
        <v>-3.0869433300819149</v>
      </c>
    </row>
    <row r="152" spans="1:39" x14ac:dyDescent="0.35">
      <c r="A152" s="2">
        <v>41061</v>
      </c>
      <c r="B152">
        <v>110.0872</v>
      </c>
      <c r="C152">
        <v>8.0297849319447126E-2</v>
      </c>
      <c r="D152">
        <f t="shared" si="44"/>
        <v>8.8397653975998391</v>
      </c>
      <c r="E152">
        <f t="shared" si="50"/>
        <v>-1.5826386250363256</v>
      </c>
      <c r="F152">
        <f t="shared" si="51"/>
        <v>0.76824452024991663</v>
      </c>
      <c r="G152">
        <f t="shared" si="61"/>
        <v>0.26819226081252756</v>
      </c>
      <c r="I152">
        <v>128.22380000000001</v>
      </c>
      <c r="J152">
        <v>0.11684194569778882</v>
      </c>
      <c r="K152">
        <f t="shared" si="45"/>
        <v>14.981918276764135</v>
      </c>
      <c r="L152">
        <f t="shared" si="52"/>
        <v>-5.6580673499914251</v>
      </c>
      <c r="M152">
        <f t="shared" si="53"/>
        <v>4.8436732452050162</v>
      </c>
      <c r="N152">
        <f t="shared" si="62"/>
        <v>1.9871527803532412</v>
      </c>
      <c r="P152">
        <v>86.889439999999993</v>
      </c>
      <c r="Q152">
        <v>0.45318522504568071</v>
      </c>
      <c r="R152">
        <f t="shared" si="46"/>
        <v>39.377010420493171</v>
      </c>
      <c r="S152">
        <f t="shared" si="54"/>
        <v>-0.49650149445162883</v>
      </c>
      <c r="T152">
        <f t="shared" si="55"/>
        <v>0.31789261033478011</v>
      </c>
      <c r="U152">
        <f t="shared" si="63"/>
        <v>0.27524681793602568</v>
      </c>
      <c r="W152">
        <v>50.675089999999997</v>
      </c>
      <c r="X152">
        <v>1.6644215088531058E-2</v>
      </c>
      <c r="Y152">
        <f t="shared" si="47"/>
        <v>0.84344709759066927</v>
      </c>
      <c r="Z152">
        <f t="shared" si="56"/>
        <v>-1.9581064395465142</v>
      </c>
      <c r="AA152">
        <f t="shared" si="57"/>
        <v>1.1437123347601053</v>
      </c>
      <c r="AB152">
        <f t="shared" si="64"/>
        <v>1.7823092037760779</v>
      </c>
      <c r="AD152">
        <v>72.612710000000007</v>
      </c>
      <c r="AE152">
        <v>0.33303076484855232</v>
      </c>
      <c r="AF152">
        <f t="shared" si="48"/>
        <v>24.182266349026126</v>
      </c>
      <c r="AG152">
        <f t="shared" si="58"/>
        <v>2.2391236120758107</v>
      </c>
      <c r="AH152">
        <f t="shared" si="59"/>
        <v>3.0535177168622196</v>
      </c>
      <c r="AI152">
        <f t="shared" si="65"/>
        <v>0.36829487994739507</v>
      </c>
      <c r="AL152">
        <f t="shared" si="49"/>
        <v>88.224407541473937</v>
      </c>
      <c r="AM152">
        <f t="shared" si="60"/>
        <v>-0.81439410478640895</v>
      </c>
    </row>
    <row r="153" spans="1:39" x14ac:dyDescent="0.35">
      <c r="A153" s="2">
        <v>41091</v>
      </c>
      <c r="B153">
        <v>110.952</v>
      </c>
      <c r="C153">
        <v>8.0297849319447126E-2</v>
      </c>
      <c r="D153">
        <f t="shared" si="44"/>
        <v>8.9092069776912979</v>
      </c>
      <c r="E153">
        <f t="shared" si="50"/>
        <v>0.78555908407154096</v>
      </c>
      <c r="F153">
        <f t="shared" si="51"/>
        <v>4.2262562629122646</v>
      </c>
      <c r="G153">
        <f t="shared" si="61"/>
        <v>3.458011742662348</v>
      </c>
      <c r="I153">
        <v>129.23240000000001</v>
      </c>
      <c r="J153">
        <v>0.11684194569778882</v>
      </c>
      <c r="K153">
        <f t="shared" si="45"/>
        <v>15.099765063194925</v>
      </c>
      <c r="L153">
        <f t="shared" si="52"/>
        <v>0.78659344053131353</v>
      </c>
      <c r="M153">
        <f t="shared" si="53"/>
        <v>4.2252219064524921</v>
      </c>
      <c r="N153">
        <f t="shared" si="62"/>
        <v>0.61845133875252412</v>
      </c>
      <c r="P153">
        <v>92.455889999999997</v>
      </c>
      <c r="Q153">
        <v>0.45318522504568071</v>
      </c>
      <c r="R153">
        <f t="shared" si="46"/>
        <v>41.899643316448696</v>
      </c>
      <c r="S153">
        <f t="shared" si="54"/>
        <v>6.4063596220668595</v>
      </c>
      <c r="T153">
        <f t="shared" si="55"/>
        <v>1.3945442750830539</v>
      </c>
      <c r="U153">
        <f t="shared" si="63"/>
        <v>1.0766516647482738</v>
      </c>
      <c r="W153">
        <v>51.659219999999998</v>
      </c>
      <c r="X153">
        <v>1.6644215088531058E-2</v>
      </c>
      <c r="Y153">
        <f t="shared" si="47"/>
        <v>0.8598271689857454</v>
      </c>
      <c r="Z153">
        <f t="shared" si="56"/>
        <v>1.942038978125149</v>
      </c>
      <c r="AA153">
        <f t="shared" si="57"/>
        <v>3.0697763688586566</v>
      </c>
      <c r="AB153">
        <f t="shared" si="64"/>
        <v>1.9260640340985513</v>
      </c>
      <c r="AD153">
        <v>77.703360000000004</v>
      </c>
      <c r="AE153">
        <v>0.33303076484855232</v>
      </c>
      <c r="AF153">
        <f t="shared" si="48"/>
        <v>25.877609412102409</v>
      </c>
      <c r="AG153">
        <f t="shared" si="58"/>
        <v>7.0106872474529514</v>
      </c>
      <c r="AH153">
        <f t="shared" si="59"/>
        <v>1.9988719004691458</v>
      </c>
      <c r="AI153">
        <f t="shared" si="65"/>
        <v>1.0546458163930739</v>
      </c>
      <c r="AL153">
        <f t="shared" si="49"/>
        <v>92.646051938423071</v>
      </c>
      <c r="AM153">
        <f t="shared" si="60"/>
        <v>5.0118153469838056</v>
      </c>
    </row>
    <row r="154" spans="1:39" x14ac:dyDescent="0.35">
      <c r="A154" s="2">
        <v>41122</v>
      </c>
      <c r="B154">
        <v>107.5633</v>
      </c>
      <c r="C154">
        <v>8.0297849319447126E-2</v>
      </c>
      <c r="D154">
        <f t="shared" si="44"/>
        <v>8.6371016557024873</v>
      </c>
      <c r="E154">
        <f t="shared" si="50"/>
        <v>-3.05420361958324</v>
      </c>
      <c r="F154">
        <f t="shared" si="51"/>
        <v>3.818057966466526</v>
      </c>
      <c r="G154">
        <f t="shared" si="61"/>
        <v>0.40819829644573868</v>
      </c>
      <c r="I154">
        <v>129.41419999999999</v>
      </c>
      <c r="J154">
        <v>0.11684194569778882</v>
      </c>
      <c r="K154">
        <f t="shared" si="45"/>
        <v>15.12100692892278</v>
      </c>
      <c r="L154">
        <f t="shared" si="52"/>
        <v>0.14067679622136176</v>
      </c>
      <c r="M154">
        <f t="shared" si="53"/>
        <v>0.62317755066192415</v>
      </c>
      <c r="N154">
        <f t="shared" si="62"/>
        <v>3.6020443557905679</v>
      </c>
      <c r="P154">
        <v>92.105220000000003</v>
      </c>
      <c r="Q154">
        <v>0.45318522504568071</v>
      </c>
      <c r="R154">
        <f t="shared" si="46"/>
        <v>41.740724853581931</v>
      </c>
      <c r="S154">
        <f t="shared" si="54"/>
        <v>-0.37928356971090871</v>
      </c>
      <c r="T154">
        <f t="shared" si="55"/>
        <v>1.1431379165941946</v>
      </c>
      <c r="U154">
        <f t="shared" si="63"/>
        <v>0.25140635848885928</v>
      </c>
      <c r="W154">
        <v>52.082689999999999</v>
      </c>
      <c r="X154">
        <v>1.6644215088531058E-2</v>
      </c>
      <c r="Y154">
        <f t="shared" si="47"/>
        <v>0.8668754947492856</v>
      </c>
      <c r="Z154">
        <f t="shared" si="56"/>
        <v>0.81973750281170155</v>
      </c>
      <c r="AA154">
        <f t="shared" si="57"/>
        <v>5.588315592841564E-2</v>
      </c>
      <c r="AB154">
        <f t="shared" si="64"/>
        <v>3.0138932129302409</v>
      </c>
      <c r="AD154">
        <v>81.037629999999993</v>
      </c>
      <c r="AE154">
        <v>0.33303076484855232</v>
      </c>
      <c r="AF154">
        <f t="shared" si="48"/>
        <v>26.988023900413985</v>
      </c>
      <c r="AG154">
        <f t="shared" si="58"/>
        <v>4.291024223405504</v>
      </c>
      <c r="AH154">
        <f t="shared" si="59"/>
        <v>3.5271698765222181</v>
      </c>
      <c r="AI154">
        <f t="shared" si="65"/>
        <v>1.5282979760530724</v>
      </c>
      <c r="AL154">
        <f t="shared" si="49"/>
        <v>93.353732833370458</v>
      </c>
      <c r="AM154">
        <f t="shared" si="60"/>
        <v>0.76385434688328591</v>
      </c>
    </row>
    <row r="155" spans="1:39" x14ac:dyDescent="0.35">
      <c r="A155" s="2">
        <v>41153</v>
      </c>
      <c r="B155">
        <v>108.0008</v>
      </c>
      <c r="C155">
        <v>8.0297849319447126E-2</v>
      </c>
      <c r="D155">
        <f t="shared" si="44"/>
        <v>8.6722319647797459</v>
      </c>
      <c r="E155">
        <f t="shared" si="50"/>
        <v>0.40673724216344631</v>
      </c>
      <c r="F155">
        <f t="shared" si="51"/>
        <v>0.65091953828535498</v>
      </c>
      <c r="G155">
        <f t="shared" si="61"/>
        <v>3.167138428181171</v>
      </c>
      <c r="I155">
        <v>131.0412</v>
      </c>
      <c r="J155">
        <v>0.11684194569778882</v>
      </c>
      <c r="K155">
        <f t="shared" si="45"/>
        <v>15.311108774573084</v>
      </c>
      <c r="L155">
        <f t="shared" si="52"/>
        <v>1.2572036144410825</v>
      </c>
      <c r="M155">
        <f t="shared" si="53"/>
        <v>0.19954683399228124</v>
      </c>
      <c r="N155">
        <f t="shared" si="62"/>
        <v>0.42363071666964291</v>
      </c>
      <c r="P155">
        <v>91.837850000000003</v>
      </c>
      <c r="Q155">
        <v>0.45318522504568071</v>
      </c>
      <c r="R155">
        <f t="shared" si="46"/>
        <v>41.619556719961466</v>
      </c>
      <c r="S155">
        <f t="shared" si="54"/>
        <v>-0.29028756459188454</v>
      </c>
      <c r="T155">
        <f t="shared" si="55"/>
        <v>1.3479443450406858</v>
      </c>
      <c r="U155">
        <f t="shared" si="63"/>
        <v>0.20480642844649122</v>
      </c>
      <c r="W155">
        <v>52.84666</v>
      </c>
      <c r="X155">
        <v>1.6644215088531058E-2</v>
      </c>
      <c r="Y155">
        <f t="shared" si="47"/>
        <v>0.87959117575047074</v>
      </c>
      <c r="Z155">
        <f t="shared" si="56"/>
        <v>1.4668405184140809</v>
      </c>
      <c r="AA155">
        <f t="shared" si="57"/>
        <v>0.40918373796527963</v>
      </c>
      <c r="AB155">
        <f t="shared" si="64"/>
        <v>0.35330058203686399</v>
      </c>
      <c r="AD155">
        <v>83.651750000000007</v>
      </c>
      <c r="AE155">
        <v>0.33303076484855232</v>
      </c>
      <c r="AF155">
        <f t="shared" si="48"/>
        <v>27.858606283419888</v>
      </c>
      <c r="AG155">
        <f t="shared" si="58"/>
        <v>3.2258100341779672</v>
      </c>
      <c r="AH155">
        <f t="shared" si="59"/>
        <v>2.1681532537291659</v>
      </c>
      <c r="AI155">
        <f t="shared" si="65"/>
        <v>1.3590166227930522</v>
      </c>
      <c r="AL155">
        <f t="shared" si="49"/>
        <v>94.341094918484657</v>
      </c>
      <c r="AM155">
        <f t="shared" si="60"/>
        <v>1.0576567804488013</v>
      </c>
    </row>
    <row r="156" spans="1:39" x14ac:dyDescent="0.35">
      <c r="A156" s="2">
        <v>41183</v>
      </c>
      <c r="B156">
        <v>110.464</v>
      </c>
      <c r="C156">
        <v>8.0297849319447126E-2</v>
      </c>
      <c r="D156">
        <f t="shared" si="44"/>
        <v>8.8700216272234069</v>
      </c>
      <c r="E156">
        <f t="shared" si="50"/>
        <v>2.2807238464900292</v>
      </c>
      <c r="F156">
        <f t="shared" si="51"/>
        <v>1.1063487844025666</v>
      </c>
      <c r="G156">
        <f t="shared" si="61"/>
        <v>0.45542924611721158</v>
      </c>
      <c r="I156">
        <v>136.0359</v>
      </c>
      <c r="J156">
        <v>0.11684194569778882</v>
      </c>
      <c r="K156">
        <f t="shared" si="45"/>
        <v>15.89469924074983</v>
      </c>
      <c r="L156">
        <f t="shared" si="52"/>
        <v>3.8115493447862248</v>
      </c>
      <c r="M156">
        <f t="shared" si="53"/>
        <v>0.42447671389362895</v>
      </c>
      <c r="N156">
        <f t="shared" si="62"/>
        <v>0.22492987990134772</v>
      </c>
      <c r="P156">
        <v>95.302030000000002</v>
      </c>
      <c r="Q156">
        <v>0.45318522504568071</v>
      </c>
      <c r="R156">
        <f t="shared" si="46"/>
        <v>43.189471912860213</v>
      </c>
      <c r="S156">
        <f t="shared" si="54"/>
        <v>3.7720613015221893</v>
      </c>
      <c r="T156">
        <f t="shared" si="55"/>
        <v>0.38498867062959352</v>
      </c>
      <c r="U156">
        <f t="shared" si="63"/>
        <v>0.96295567441109231</v>
      </c>
      <c r="W156">
        <v>52.644750000000002</v>
      </c>
      <c r="X156">
        <v>1.6644215088531058E-2</v>
      </c>
      <c r="Y156">
        <f t="shared" si="47"/>
        <v>0.87623054228194541</v>
      </c>
      <c r="Z156">
        <f t="shared" si="56"/>
        <v>-0.38206766520343383</v>
      </c>
      <c r="AA156">
        <f t="shared" si="57"/>
        <v>3.7691402960960296</v>
      </c>
      <c r="AB156">
        <f t="shared" si="64"/>
        <v>3.35995655813075</v>
      </c>
      <c r="AD156">
        <v>86.196460000000002</v>
      </c>
      <c r="AE156">
        <v>0.33303076484855232</v>
      </c>
      <c r="AF156">
        <f t="shared" si="48"/>
        <v>28.706073001037648</v>
      </c>
      <c r="AG156">
        <f t="shared" si="58"/>
        <v>3.0420284094474948</v>
      </c>
      <c r="AH156">
        <f t="shared" si="59"/>
        <v>0.34504422144510105</v>
      </c>
      <c r="AI156">
        <f t="shared" si="65"/>
        <v>1.8231090322840648</v>
      </c>
      <c r="AL156">
        <f t="shared" si="49"/>
        <v>97.536496324153049</v>
      </c>
      <c r="AM156">
        <f t="shared" si="60"/>
        <v>3.3870726308925958</v>
      </c>
    </row>
    <row r="157" spans="1:39" x14ac:dyDescent="0.35">
      <c r="A157" s="2">
        <v>41214</v>
      </c>
      <c r="B157">
        <v>109.1875</v>
      </c>
      <c r="C157">
        <v>8.0297849319447126E-2</v>
      </c>
      <c r="D157">
        <f t="shared" si="44"/>
        <v>8.7675214225671336</v>
      </c>
      <c r="E157">
        <f t="shared" si="50"/>
        <v>-1.1555800984936249</v>
      </c>
      <c r="F157">
        <f t="shared" si="51"/>
        <v>1.418027813498568</v>
      </c>
      <c r="G157">
        <f t="shared" si="61"/>
        <v>0.31167902909600143</v>
      </c>
      <c r="I157">
        <v>135.422</v>
      </c>
      <c r="J157">
        <v>0.11684194569778882</v>
      </c>
      <c r="K157">
        <f t="shared" si="45"/>
        <v>15.822969970285957</v>
      </c>
      <c r="L157">
        <f t="shared" si="52"/>
        <v>-0.45127793472163891</v>
      </c>
      <c r="M157">
        <f t="shared" si="53"/>
        <v>0.71372564972658203</v>
      </c>
      <c r="N157">
        <f t="shared" si="62"/>
        <v>0.28924893583295308</v>
      </c>
      <c r="P157">
        <v>94.305589999999995</v>
      </c>
      <c r="Q157">
        <v>0.45318522504568071</v>
      </c>
      <c r="R157">
        <f t="shared" si="46"/>
        <v>42.737900027215694</v>
      </c>
      <c r="S157">
        <f t="shared" si="54"/>
        <v>-1.0455600998215964</v>
      </c>
      <c r="T157">
        <f t="shared" si="55"/>
        <v>1.3080078148265395</v>
      </c>
      <c r="U157">
        <f t="shared" si="63"/>
        <v>0.92301914419694597</v>
      </c>
      <c r="W157">
        <v>53.764330000000001</v>
      </c>
      <c r="X157">
        <v>1.6644215088531058E-2</v>
      </c>
      <c r="Y157">
        <f t="shared" si="47"/>
        <v>0.89486507261076298</v>
      </c>
      <c r="Z157">
        <f t="shared" si="56"/>
        <v>2.1266698008823193</v>
      </c>
      <c r="AA157">
        <f t="shared" si="57"/>
        <v>1.8642220858773761</v>
      </c>
      <c r="AB157">
        <f t="shared" si="64"/>
        <v>1.9049182102186535</v>
      </c>
      <c r="AD157">
        <v>88.788259999999994</v>
      </c>
      <c r="AE157">
        <v>0.33303076484855232</v>
      </c>
      <c r="AF157">
        <f t="shared" si="48"/>
        <v>29.569222137372122</v>
      </c>
      <c r="AG157">
        <f t="shared" si="58"/>
        <v>3.006852021533124</v>
      </c>
      <c r="AH157">
        <f t="shared" si="59"/>
        <v>2.7444043065281809</v>
      </c>
      <c r="AI157">
        <f t="shared" si="65"/>
        <v>2.3993600850830799</v>
      </c>
      <c r="AL157">
        <f t="shared" si="49"/>
        <v>97.792478630051662</v>
      </c>
      <c r="AM157">
        <f t="shared" si="60"/>
        <v>0.26244771500494313</v>
      </c>
    </row>
    <row r="158" spans="1:39" x14ac:dyDescent="0.35">
      <c r="A158" s="2">
        <v>41244</v>
      </c>
      <c r="B158">
        <v>110.1644</v>
      </c>
      <c r="C158">
        <v>8.0297849319447126E-2</v>
      </c>
      <c r="D158">
        <f t="shared" si="44"/>
        <v>8.8459643915673016</v>
      </c>
      <c r="E158">
        <f t="shared" si="50"/>
        <v>0.8946994848311407</v>
      </c>
      <c r="F158">
        <f t="shared" si="51"/>
        <v>3.9547175670874068</v>
      </c>
      <c r="G158">
        <f t="shared" si="61"/>
        <v>2.5366897535888389</v>
      </c>
      <c r="I158">
        <v>140.56819999999999</v>
      </c>
      <c r="J158">
        <v>0.11684194569778882</v>
      </c>
      <c r="K158">
        <f t="shared" si="45"/>
        <v>16.424261991235916</v>
      </c>
      <c r="L158">
        <f t="shared" si="52"/>
        <v>3.8001211029227155</v>
      </c>
      <c r="M158">
        <f t="shared" si="53"/>
        <v>1.049295948995832</v>
      </c>
      <c r="N158">
        <f t="shared" si="62"/>
        <v>0.33557029926924997</v>
      </c>
      <c r="P158">
        <v>98.455470000000005</v>
      </c>
      <c r="Q158">
        <v>0.45318522504568071</v>
      </c>
      <c r="R158">
        <f t="shared" si="46"/>
        <v>44.618564328928265</v>
      </c>
      <c r="S158">
        <f t="shared" si="54"/>
        <v>4.4004602484327915</v>
      </c>
      <c r="T158">
        <f t="shared" si="55"/>
        <v>0.44895680348575606</v>
      </c>
      <c r="U158">
        <f t="shared" si="63"/>
        <v>0.85905101134078343</v>
      </c>
      <c r="W158">
        <v>53.710999999999999</v>
      </c>
      <c r="X158">
        <v>1.6644215088531058E-2</v>
      </c>
      <c r="Y158">
        <f t="shared" si="47"/>
        <v>0.89397743662009166</v>
      </c>
      <c r="Z158">
        <f t="shared" si="56"/>
        <v>-9.919215956006866E-2</v>
      </c>
      <c r="AA158">
        <f t="shared" si="57"/>
        <v>4.9486092114786162</v>
      </c>
      <c r="AB158">
        <f t="shared" si="64"/>
        <v>3.0843871256012401</v>
      </c>
      <c r="AD158">
        <v>95.342770000000002</v>
      </c>
      <c r="AE158">
        <v>0.33303076484855232</v>
      </c>
      <c r="AF158">
        <f t="shared" si="48"/>
        <v>31.752075615879608</v>
      </c>
      <c r="AG158">
        <f t="shared" si="58"/>
        <v>7.3821809324791543</v>
      </c>
      <c r="AH158">
        <f t="shared" si="59"/>
        <v>2.5327638805606068</v>
      </c>
      <c r="AI158">
        <f t="shared" si="65"/>
        <v>0.21164042596757415</v>
      </c>
      <c r="AL158">
        <f t="shared" si="49"/>
        <v>102.53484376423118</v>
      </c>
      <c r="AM158">
        <f t="shared" si="60"/>
        <v>4.8494170519185475</v>
      </c>
    </row>
    <row r="159" spans="1:39" x14ac:dyDescent="0.35">
      <c r="A159" s="2">
        <v>41275</v>
      </c>
      <c r="B159">
        <v>115.4906</v>
      </c>
      <c r="C159">
        <v>7.9672594332318963E-2</v>
      </c>
      <c r="D159">
        <f t="shared" si="44"/>
        <v>9.2014357229961163</v>
      </c>
      <c r="E159">
        <f t="shared" si="50"/>
        <v>4.8347742101804148</v>
      </c>
      <c r="F159">
        <f t="shared" si="51"/>
        <v>9.9330125674157443E-2</v>
      </c>
      <c r="G159">
        <f t="shared" si="61"/>
        <v>3.8553874414132494</v>
      </c>
      <c r="I159">
        <v>143.61089999999999</v>
      </c>
      <c r="J159">
        <v>0.117980680568935</v>
      </c>
      <c r="K159">
        <f t="shared" si="45"/>
        <v>16.943311719117265</v>
      </c>
      <c r="L159">
        <f t="shared" si="52"/>
        <v>2.1645720724886575</v>
      </c>
      <c r="M159">
        <f t="shared" si="53"/>
        <v>2.5708720120175999</v>
      </c>
      <c r="N159">
        <f t="shared" si="62"/>
        <v>1.5215760630217678</v>
      </c>
      <c r="P159">
        <v>102.54</v>
      </c>
      <c r="Q159">
        <v>0.43896475344869018</v>
      </c>
      <c r="R159">
        <f t="shared" si="46"/>
        <v>45.011445818628694</v>
      </c>
      <c r="S159">
        <f t="shared" si="54"/>
        <v>4.1486064715347881</v>
      </c>
      <c r="T159">
        <f t="shared" si="55"/>
        <v>0.58683761297146919</v>
      </c>
      <c r="U159">
        <f t="shared" si="63"/>
        <v>0.13788080948571313</v>
      </c>
      <c r="W159">
        <v>55.777349999999998</v>
      </c>
      <c r="X159">
        <v>1.6384529075861212E-2</v>
      </c>
      <c r="Y159">
        <f t="shared" si="47"/>
        <v>0.91388561284948733</v>
      </c>
      <c r="Z159">
        <f t="shared" si="56"/>
        <v>3.847163523300634</v>
      </c>
      <c r="AA159">
        <f t="shared" si="57"/>
        <v>0.88828056120562326</v>
      </c>
      <c r="AB159">
        <f t="shared" si="64"/>
        <v>4.0603286502729929</v>
      </c>
      <c r="AD159">
        <v>101.7882</v>
      </c>
      <c r="AE159">
        <v>0.34699744257419463</v>
      </c>
      <c r="AF159">
        <f t="shared" si="48"/>
        <v>35.320245084230642</v>
      </c>
      <c r="AG159">
        <f t="shared" si="58"/>
        <v>6.7602713871224962</v>
      </c>
      <c r="AH159">
        <f t="shared" si="59"/>
        <v>2.0248273026162389</v>
      </c>
      <c r="AI159">
        <f t="shared" si="65"/>
        <v>0.50793657794436786</v>
      </c>
      <c r="AL159">
        <f t="shared" si="49"/>
        <v>107.3903239578222</v>
      </c>
      <c r="AM159">
        <f t="shared" si="60"/>
        <v>4.7354440845062573</v>
      </c>
    </row>
    <row r="160" spans="1:39" x14ac:dyDescent="0.35">
      <c r="A160" s="2">
        <v>41306</v>
      </c>
      <c r="B160">
        <v>117.9911</v>
      </c>
      <c r="C160">
        <v>7.9672594332318963E-2</v>
      </c>
      <c r="D160">
        <f t="shared" si="44"/>
        <v>9.4006570451240794</v>
      </c>
      <c r="E160">
        <f t="shared" si="50"/>
        <v>2.1651112731252642</v>
      </c>
      <c r="F160">
        <f t="shared" si="51"/>
        <v>3.7026020610164356</v>
      </c>
      <c r="G160">
        <f t="shared" si="61"/>
        <v>3.6032719353422782</v>
      </c>
      <c r="I160">
        <v>144.66069999999999</v>
      </c>
      <c r="J160">
        <v>0.117980680568935</v>
      </c>
      <c r="K160">
        <f t="shared" si="45"/>
        <v>17.067167837578534</v>
      </c>
      <c r="L160">
        <f t="shared" si="52"/>
        <v>0.73100300882453784</v>
      </c>
      <c r="M160">
        <f t="shared" si="53"/>
        <v>2.2684937967157093</v>
      </c>
      <c r="N160">
        <f t="shared" si="62"/>
        <v>0.30237821530189057</v>
      </c>
      <c r="P160">
        <v>101.4859</v>
      </c>
      <c r="Q160">
        <v>0.43896475344869018</v>
      </c>
      <c r="R160">
        <f t="shared" si="46"/>
        <v>44.548733072018429</v>
      </c>
      <c r="S160">
        <f t="shared" si="54"/>
        <v>-1.0279890774332001</v>
      </c>
      <c r="T160">
        <f t="shared" si="55"/>
        <v>0.50950171045797132</v>
      </c>
      <c r="U160">
        <f t="shared" si="63"/>
        <v>7.7335902513497867E-2</v>
      </c>
      <c r="W160">
        <v>62.492049999999999</v>
      </c>
      <c r="X160">
        <v>1.6384529075861212E-2</v>
      </c>
      <c r="Y160">
        <f t="shared" si="47"/>
        <v>1.0239028102351726</v>
      </c>
      <c r="Z160">
        <f t="shared" si="56"/>
        <v>12.038399099275953</v>
      </c>
      <c r="AA160">
        <f t="shared" si="57"/>
        <v>13.575889887167124</v>
      </c>
      <c r="AB160">
        <f t="shared" si="64"/>
        <v>12.6876093259615</v>
      </c>
      <c r="AD160">
        <v>97.115260000000006</v>
      </c>
      <c r="AE160">
        <v>0.34699744257419463</v>
      </c>
      <c r="AF160">
        <f t="shared" si="48"/>
        <v>33.698746854927982</v>
      </c>
      <c r="AG160">
        <f t="shared" si="58"/>
        <v>-4.5908464831876383</v>
      </c>
      <c r="AH160">
        <f t="shared" si="59"/>
        <v>3.0533556952964669</v>
      </c>
      <c r="AI160">
        <f t="shared" si="65"/>
        <v>1.028528392680228</v>
      </c>
      <c r="AL160">
        <f t="shared" si="49"/>
        <v>105.7392076198842</v>
      </c>
      <c r="AM160">
        <f t="shared" si="60"/>
        <v>-1.5374907878911714</v>
      </c>
    </row>
    <row r="161" spans="1:39" x14ac:dyDescent="0.35">
      <c r="A161" s="2">
        <v>41334</v>
      </c>
      <c r="B161">
        <v>116.1665</v>
      </c>
      <c r="C161">
        <v>7.9672594332318963E-2</v>
      </c>
      <c r="D161">
        <f t="shared" si="44"/>
        <v>9.2552864295053308</v>
      </c>
      <c r="E161">
        <f t="shared" si="50"/>
        <v>-1.5463878207763182</v>
      </c>
      <c r="F161">
        <f t="shared" si="51"/>
        <v>1.6167340761200855</v>
      </c>
      <c r="G161">
        <f t="shared" si="61"/>
        <v>2.0858679848963502</v>
      </c>
      <c r="I161">
        <v>139.13919999999999</v>
      </c>
      <c r="J161">
        <v>0.117980680568935</v>
      </c>
      <c r="K161">
        <f t="shared" si="45"/>
        <v>16.415737509817159</v>
      </c>
      <c r="L161">
        <f t="shared" si="52"/>
        <v>-3.8168624927157113</v>
      </c>
      <c r="M161">
        <f t="shared" si="53"/>
        <v>3.8872087480594786</v>
      </c>
      <c r="N161">
        <f t="shared" si="62"/>
        <v>1.6187149513437693</v>
      </c>
      <c r="P161">
        <v>99.016109999999998</v>
      </c>
      <c r="Q161">
        <v>0.43896475344869018</v>
      </c>
      <c r="R161">
        <f t="shared" si="46"/>
        <v>43.464582313598385</v>
      </c>
      <c r="S161">
        <f t="shared" si="54"/>
        <v>-2.4336287109835042</v>
      </c>
      <c r="T161">
        <f t="shared" si="55"/>
        <v>2.5039749663272715</v>
      </c>
      <c r="U161">
        <f t="shared" si="63"/>
        <v>1.9944732558693001</v>
      </c>
      <c r="W161">
        <v>66.013450000000006</v>
      </c>
      <c r="X161">
        <v>1.6384529075861212E-2</v>
      </c>
      <c r="Y161">
        <f t="shared" si="47"/>
        <v>1.0815992909229104</v>
      </c>
      <c r="Z161">
        <f t="shared" si="56"/>
        <v>5.6349567665007205</v>
      </c>
      <c r="AA161">
        <f t="shared" si="57"/>
        <v>5.5646105111569533</v>
      </c>
      <c r="AB161">
        <f t="shared" si="64"/>
        <v>8.0112793760101706</v>
      </c>
      <c r="AD161">
        <v>102.584</v>
      </c>
      <c r="AE161">
        <v>0.34699744257419463</v>
      </c>
      <c r="AF161">
        <f t="shared" si="48"/>
        <v>35.596385649031184</v>
      </c>
      <c r="AG161">
        <f t="shared" si="58"/>
        <v>5.6311850475404102</v>
      </c>
      <c r="AH161">
        <f t="shared" si="59"/>
        <v>5.5608387921966429</v>
      </c>
      <c r="AI161">
        <f t="shared" si="65"/>
        <v>2.507483096900176</v>
      </c>
      <c r="AL161">
        <f t="shared" si="49"/>
        <v>105.81359119287497</v>
      </c>
      <c r="AM161">
        <f t="shared" si="60"/>
        <v>7.0346255343767261E-2</v>
      </c>
    </row>
    <row r="162" spans="1:39" x14ac:dyDescent="0.35">
      <c r="A162" s="2">
        <v>41365</v>
      </c>
      <c r="B162">
        <v>112.3128</v>
      </c>
      <c r="C162">
        <v>7.9672594332318963E-2</v>
      </c>
      <c r="D162">
        <f t="shared" si="44"/>
        <v>8.948252152726873</v>
      </c>
      <c r="E162">
        <f t="shared" si="50"/>
        <v>-3.3173935687138778</v>
      </c>
      <c r="F162">
        <f t="shared" si="51"/>
        <v>2.8510528874502894</v>
      </c>
      <c r="G162">
        <f t="shared" si="61"/>
        <v>1.2343188113302039</v>
      </c>
      <c r="I162">
        <v>134.07239999999999</v>
      </c>
      <c r="J162">
        <v>0.117980680568935</v>
      </c>
      <c r="K162">
        <f t="shared" si="45"/>
        <v>15.81795299751048</v>
      </c>
      <c r="L162">
        <f t="shared" si="52"/>
        <v>-3.6415330834157489</v>
      </c>
      <c r="M162">
        <f t="shared" si="53"/>
        <v>3.1751924021521605</v>
      </c>
      <c r="N162">
        <f t="shared" si="62"/>
        <v>0.7120163459073181</v>
      </c>
      <c r="P162">
        <v>98.354849999999999</v>
      </c>
      <c r="Q162">
        <v>0.43896475344869018</v>
      </c>
      <c r="R162">
        <f t="shared" si="46"/>
        <v>43.174312480732908</v>
      </c>
      <c r="S162">
        <f t="shared" si="54"/>
        <v>-0.6678307196677391</v>
      </c>
      <c r="T162">
        <f t="shared" si="55"/>
        <v>0.2014900384041507</v>
      </c>
      <c r="U162">
        <f t="shared" si="63"/>
        <v>2.3024849279231208</v>
      </c>
      <c r="W162">
        <v>69.01491</v>
      </c>
      <c r="X162">
        <v>1.6384529075861212E-2</v>
      </c>
      <c r="Y162">
        <f t="shared" si="47"/>
        <v>1.1307767995629447</v>
      </c>
      <c r="Z162">
        <f t="shared" si="56"/>
        <v>4.5467400961470616</v>
      </c>
      <c r="AA162">
        <f t="shared" si="57"/>
        <v>5.0130807774106501</v>
      </c>
      <c r="AB162">
        <f t="shared" si="64"/>
        <v>0.55152973374630321</v>
      </c>
      <c r="AD162">
        <v>104.46429999999999</v>
      </c>
      <c r="AE162">
        <v>0.34699744257419463</v>
      </c>
      <c r="AF162">
        <f t="shared" si="48"/>
        <v>36.248844940303435</v>
      </c>
      <c r="AG162">
        <f t="shared" si="58"/>
        <v>1.8329369102394022</v>
      </c>
      <c r="AH162">
        <f t="shared" si="59"/>
        <v>2.2992775915029906</v>
      </c>
      <c r="AI162">
        <f t="shared" si="65"/>
        <v>3.2615612006936523</v>
      </c>
      <c r="AL162">
        <f t="shared" si="49"/>
        <v>105.32013937083664</v>
      </c>
      <c r="AM162">
        <f t="shared" si="60"/>
        <v>-0.46634068126358841</v>
      </c>
    </row>
    <row r="163" spans="1:39" x14ac:dyDescent="0.35">
      <c r="A163" s="2">
        <v>41395</v>
      </c>
      <c r="B163">
        <v>111.0519</v>
      </c>
      <c r="C163">
        <v>7.9672594332318963E-2</v>
      </c>
      <c r="D163">
        <f t="shared" si="44"/>
        <v>8.8477929785332528</v>
      </c>
      <c r="E163">
        <f t="shared" si="50"/>
        <v>-1.1226681197512578</v>
      </c>
      <c r="F163">
        <f t="shared" si="51"/>
        <v>1.407392394618534</v>
      </c>
      <c r="G163">
        <f t="shared" si="61"/>
        <v>1.4436604928317553</v>
      </c>
      <c r="I163">
        <v>131.2013</v>
      </c>
      <c r="J163">
        <v>0.117980680568935</v>
      </c>
      <c r="K163">
        <f t="shared" si="45"/>
        <v>15.479218665529013</v>
      </c>
      <c r="L163">
        <f t="shared" si="52"/>
        <v>-2.1414549154039064</v>
      </c>
      <c r="M163">
        <f t="shared" si="53"/>
        <v>2.4261791902711827</v>
      </c>
      <c r="N163">
        <f t="shared" si="62"/>
        <v>0.7490132118809778</v>
      </c>
      <c r="P163">
        <v>94.409949999999995</v>
      </c>
      <c r="Q163">
        <v>0.43896475344869018</v>
      </c>
      <c r="R163">
        <f t="shared" si="46"/>
        <v>41.442640424853167</v>
      </c>
      <c r="S163">
        <f t="shared" si="54"/>
        <v>-4.0108850758249321</v>
      </c>
      <c r="T163">
        <f t="shared" si="55"/>
        <v>4.2956093506922084</v>
      </c>
      <c r="U163">
        <f t="shared" si="63"/>
        <v>4.0941193122880577</v>
      </c>
      <c r="W163">
        <v>71.836579999999998</v>
      </c>
      <c r="X163">
        <v>1.6384529075861212E-2</v>
      </c>
      <c r="Y163">
        <f t="shared" si="47"/>
        <v>1.1770085337204299</v>
      </c>
      <c r="Z163">
        <f t="shared" si="56"/>
        <v>4.0884933415112679</v>
      </c>
      <c r="AA163">
        <f t="shared" si="57"/>
        <v>3.8037690666439916</v>
      </c>
      <c r="AB163">
        <f t="shared" si="64"/>
        <v>1.2093117107666584</v>
      </c>
      <c r="AD163">
        <v>111.45140000000001</v>
      </c>
      <c r="AE163">
        <v>0.34699744257419463</v>
      </c>
      <c r="AF163">
        <f t="shared" si="48"/>
        <v>38.673350771313601</v>
      </c>
      <c r="AG163">
        <f t="shared" si="58"/>
        <v>6.6885050682386371</v>
      </c>
      <c r="AH163">
        <f t="shared" si="59"/>
        <v>6.4037807933713609</v>
      </c>
      <c r="AI163">
        <f t="shared" si="65"/>
        <v>4.1045032018683703</v>
      </c>
      <c r="AL163">
        <f t="shared" si="49"/>
        <v>105.62001137394947</v>
      </c>
      <c r="AM163">
        <f t="shared" si="60"/>
        <v>0.28472427486727625</v>
      </c>
    </row>
    <row r="164" spans="1:39" x14ac:dyDescent="0.35">
      <c r="A164" s="2">
        <v>41426</v>
      </c>
      <c r="B164">
        <v>105.1371</v>
      </c>
      <c r="C164">
        <v>7.9672594332318963E-2</v>
      </c>
      <c r="D164">
        <f t="shared" si="44"/>
        <v>8.3765455175764529</v>
      </c>
      <c r="E164">
        <f t="shared" si="50"/>
        <v>-5.3261583097632741</v>
      </c>
      <c r="F164">
        <f t="shared" si="51"/>
        <v>2.9037301749910913</v>
      </c>
      <c r="G164">
        <f t="shared" si="61"/>
        <v>1.4963377803725573</v>
      </c>
      <c r="I164">
        <v>126.5416</v>
      </c>
      <c r="J164">
        <v>0.117980680568935</v>
      </c>
      <c r="K164">
        <f t="shared" si="45"/>
        <v>14.929464088281945</v>
      </c>
      <c r="L164">
        <f t="shared" si="52"/>
        <v>-3.5515654189402057</v>
      </c>
      <c r="M164">
        <f t="shared" si="53"/>
        <v>4.6783230658141601</v>
      </c>
      <c r="N164">
        <f t="shared" si="62"/>
        <v>2.2521438755429775</v>
      </c>
      <c r="P164">
        <v>89.968609999999998</v>
      </c>
      <c r="Q164">
        <v>0.43896475344869018</v>
      </c>
      <c r="R164">
        <f t="shared" si="46"/>
        <v>39.493048706771361</v>
      </c>
      <c r="S164">
        <f t="shared" si="54"/>
        <v>-4.7043134754334641</v>
      </c>
      <c r="T164">
        <f t="shared" si="55"/>
        <v>3.5255750093209013</v>
      </c>
      <c r="U164">
        <f t="shared" si="63"/>
        <v>0.77003434137130711</v>
      </c>
      <c r="W164">
        <v>79.730959999999996</v>
      </c>
      <c r="X164">
        <v>1.6384529075861212E-2</v>
      </c>
      <c r="Y164">
        <f t="shared" si="47"/>
        <v>1.3063542323663271</v>
      </c>
      <c r="Z164">
        <f t="shared" si="56"/>
        <v>10.989359460041115</v>
      </c>
      <c r="AA164">
        <f t="shared" si="57"/>
        <v>19.21924794479548</v>
      </c>
      <c r="AB164">
        <f t="shared" si="64"/>
        <v>15.41547887815149</v>
      </c>
      <c r="AD164">
        <v>94.58914</v>
      </c>
      <c r="AE164">
        <v>0.34699744257419463</v>
      </c>
      <c r="AF164">
        <f t="shared" si="48"/>
        <v>32.822189675292456</v>
      </c>
      <c r="AG164">
        <f t="shared" si="58"/>
        <v>-15.129697787555841</v>
      </c>
      <c r="AH164">
        <f t="shared" si="59"/>
        <v>6.8998093028014758</v>
      </c>
      <c r="AI164">
        <f t="shared" si="65"/>
        <v>0.49602850943011489</v>
      </c>
      <c r="AL164">
        <f t="shared" si="49"/>
        <v>96.927602220288549</v>
      </c>
      <c r="AM164">
        <f t="shared" si="60"/>
        <v>-8.2298884847543654</v>
      </c>
    </row>
    <row r="165" spans="1:39" x14ac:dyDescent="0.35">
      <c r="A165" s="2">
        <v>41456</v>
      </c>
      <c r="B165">
        <v>100.6416</v>
      </c>
      <c r="C165">
        <v>7.9672594332318963E-2</v>
      </c>
      <c r="D165">
        <f t="shared" si="44"/>
        <v>8.0183773697555125</v>
      </c>
      <c r="E165">
        <f t="shared" si="50"/>
        <v>-4.2758455388250294</v>
      </c>
      <c r="F165">
        <f t="shared" si="51"/>
        <v>4.291925948620845</v>
      </c>
      <c r="G165">
        <f t="shared" si="61"/>
        <v>1.3881957736297537</v>
      </c>
      <c r="I165">
        <v>127.7397</v>
      </c>
      <c r="J165">
        <v>0.117980680568935</v>
      </c>
      <c r="K165">
        <f t="shared" si="45"/>
        <v>15.070816741671587</v>
      </c>
      <c r="L165">
        <f t="shared" si="52"/>
        <v>0.94680326469713805</v>
      </c>
      <c r="M165">
        <f t="shared" si="53"/>
        <v>0.93072285490132245</v>
      </c>
      <c r="N165">
        <f t="shared" si="62"/>
        <v>3.7476002109128377</v>
      </c>
      <c r="P165">
        <v>92.226389999999995</v>
      </c>
      <c r="Q165">
        <v>0.43896475344869018</v>
      </c>
      <c r="R165">
        <f t="shared" si="46"/>
        <v>40.484134547812744</v>
      </c>
      <c r="S165">
        <f t="shared" si="54"/>
        <v>2.5095197091518973</v>
      </c>
      <c r="T165">
        <f t="shared" si="55"/>
        <v>2.4934392993560817</v>
      </c>
      <c r="U165">
        <f t="shared" si="63"/>
        <v>1.0321357099648196</v>
      </c>
      <c r="W165">
        <v>84.903450000000007</v>
      </c>
      <c r="X165">
        <v>1.6384529075861212E-2</v>
      </c>
      <c r="Y165">
        <f t="shared" si="47"/>
        <v>1.3911030451659288</v>
      </c>
      <c r="Z165">
        <f t="shared" si="56"/>
        <v>6.4874297261691138</v>
      </c>
      <c r="AA165">
        <f t="shared" si="57"/>
        <v>6.4713493163732982</v>
      </c>
      <c r="AB165">
        <f t="shared" si="64"/>
        <v>12.747898628422181</v>
      </c>
      <c r="AD165">
        <v>92.158479999999997</v>
      </c>
      <c r="AE165">
        <v>0.34699744257419463</v>
      </c>
      <c r="AF165">
        <f t="shared" si="48"/>
        <v>31.978756871525064</v>
      </c>
      <c r="AG165">
        <f t="shared" si="58"/>
        <v>-2.5697030335617876</v>
      </c>
      <c r="AH165">
        <f t="shared" si="59"/>
        <v>2.5857834433576032</v>
      </c>
      <c r="AI165">
        <f t="shared" si="65"/>
        <v>4.3140258594438725</v>
      </c>
      <c r="AL165">
        <f t="shared" si="49"/>
        <v>96.943188575930833</v>
      </c>
      <c r="AM165">
        <f t="shared" si="60"/>
        <v>1.6080409795815598E-2</v>
      </c>
    </row>
    <row r="166" spans="1:39" x14ac:dyDescent="0.35">
      <c r="A166" s="2">
        <v>41487</v>
      </c>
      <c r="B166">
        <v>97.103859999999997</v>
      </c>
      <c r="C166">
        <v>7.9672594332318963E-2</v>
      </c>
      <c r="D166">
        <f t="shared" si="44"/>
        <v>7.7365164458822937</v>
      </c>
      <c r="E166">
        <f t="shared" si="50"/>
        <v>-3.5151865630117185</v>
      </c>
      <c r="F166">
        <f t="shared" si="51"/>
        <v>3.8295866838515713</v>
      </c>
      <c r="G166">
        <f t="shared" si="61"/>
        <v>0.46233926476927367</v>
      </c>
      <c r="I166">
        <v>133.9325</v>
      </c>
      <c r="J166">
        <v>0.117980680568935</v>
      </c>
      <c r="K166">
        <f t="shared" si="45"/>
        <v>15.801447500298888</v>
      </c>
      <c r="L166">
        <f t="shared" si="52"/>
        <v>4.8479838296160205</v>
      </c>
      <c r="M166">
        <f t="shared" si="53"/>
        <v>4.5335837087761677</v>
      </c>
      <c r="N166">
        <f t="shared" si="62"/>
        <v>3.6028608538748452</v>
      </c>
      <c r="P166">
        <v>94.352810000000005</v>
      </c>
      <c r="Q166">
        <v>0.43896475344869018</v>
      </c>
      <c r="R166">
        <f t="shared" si="46"/>
        <v>41.41755797884111</v>
      </c>
      <c r="S166">
        <f t="shared" si="54"/>
        <v>2.3056524276836798</v>
      </c>
      <c r="T166">
        <f t="shared" si="55"/>
        <v>1.991252306843827</v>
      </c>
      <c r="U166">
        <f t="shared" si="63"/>
        <v>0.50218699251225463</v>
      </c>
      <c r="W166">
        <v>92.569320000000005</v>
      </c>
      <c r="X166">
        <v>1.6384529075861212E-2</v>
      </c>
      <c r="Y166">
        <f t="shared" si="47"/>
        <v>1.5167047150727009</v>
      </c>
      <c r="Z166">
        <f t="shared" si="56"/>
        <v>9.0289263863835956</v>
      </c>
      <c r="AA166">
        <f t="shared" si="57"/>
        <v>8.7145262655437428</v>
      </c>
      <c r="AB166">
        <f t="shared" si="64"/>
        <v>2.2431769491704445</v>
      </c>
      <c r="AD166">
        <v>88.691580000000002</v>
      </c>
      <c r="AE166">
        <v>0.34699744257419463</v>
      </c>
      <c r="AF166">
        <f t="shared" si="48"/>
        <v>30.775751437864589</v>
      </c>
      <c r="AG166">
        <f t="shared" si="58"/>
        <v>-3.7618893019936928</v>
      </c>
      <c r="AH166">
        <f t="shared" si="59"/>
        <v>4.0762894228335451</v>
      </c>
      <c r="AI166">
        <f t="shared" si="65"/>
        <v>1.4905059794759419</v>
      </c>
      <c r="AL166">
        <f t="shared" si="49"/>
        <v>97.247978077959573</v>
      </c>
      <c r="AM166">
        <f t="shared" si="60"/>
        <v>0.3144001208398528</v>
      </c>
    </row>
    <row r="167" spans="1:39" x14ac:dyDescent="0.35">
      <c r="A167" s="2">
        <v>41518</v>
      </c>
      <c r="B167">
        <v>99.67192</v>
      </c>
      <c r="C167">
        <v>7.9672594332318963E-2</v>
      </c>
      <c r="D167">
        <f t="shared" si="44"/>
        <v>7.9411204484833489</v>
      </c>
      <c r="E167">
        <f t="shared" si="50"/>
        <v>2.644652849021667</v>
      </c>
      <c r="F167">
        <f t="shared" si="51"/>
        <v>2.0734074863135055</v>
      </c>
      <c r="G167">
        <f t="shared" si="61"/>
        <v>1.7561791975380658</v>
      </c>
      <c r="I167">
        <v>136.73830000000001</v>
      </c>
      <c r="J167">
        <v>0.117980680568935</v>
      </c>
      <c r="K167">
        <f t="shared" si="45"/>
        <v>16.132477693839206</v>
      </c>
      <c r="L167">
        <f t="shared" si="52"/>
        <v>2.0949358818808106</v>
      </c>
      <c r="M167">
        <f t="shared" si="53"/>
        <v>1.5236905191726491</v>
      </c>
      <c r="N167">
        <f t="shared" si="62"/>
        <v>3.0098931896035186</v>
      </c>
      <c r="P167">
        <v>93.197370000000006</v>
      </c>
      <c r="Q167">
        <v>0.43896475344869018</v>
      </c>
      <c r="R167">
        <f t="shared" si="46"/>
        <v>40.910360544116358</v>
      </c>
      <c r="S167">
        <f t="shared" si="54"/>
        <v>-1.2245952187327491</v>
      </c>
      <c r="T167">
        <f t="shared" si="55"/>
        <v>1.7958405814409106</v>
      </c>
      <c r="U167">
        <f t="shared" si="63"/>
        <v>0.1954117254029164</v>
      </c>
      <c r="W167">
        <v>91.13843</v>
      </c>
      <c r="X167">
        <v>1.6384529075861212E-2</v>
      </c>
      <c r="Y167">
        <f t="shared" si="47"/>
        <v>1.4932602562633417</v>
      </c>
      <c r="Z167">
        <f t="shared" si="56"/>
        <v>-1.5457497149163557</v>
      </c>
      <c r="AA167">
        <f t="shared" si="57"/>
        <v>2.1169950776245172</v>
      </c>
      <c r="AB167">
        <f t="shared" si="64"/>
        <v>6.5975311879192251</v>
      </c>
      <c r="AD167">
        <v>90.278139999999993</v>
      </c>
      <c r="AE167">
        <v>0.34699744257419463</v>
      </c>
      <c r="AF167">
        <f t="shared" si="48"/>
        <v>31.326283700355102</v>
      </c>
      <c r="AG167">
        <f t="shared" si="58"/>
        <v>1.7888507567460188</v>
      </c>
      <c r="AH167">
        <f t="shared" si="59"/>
        <v>1.2176053940378573</v>
      </c>
      <c r="AI167">
        <f t="shared" si="65"/>
        <v>2.8586840287956878</v>
      </c>
      <c r="AL167">
        <f t="shared" si="49"/>
        <v>97.803502643057357</v>
      </c>
      <c r="AM167">
        <f t="shared" si="60"/>
        <v>0.57124536270816151</v>
      </c>
    </row>
    <row r="168" spans="1:39" x14ac:dyDescent="0.35">
      <c r="A168" s="2">
        <v>41548</v>
      </c>
      <c r="B168">
        <v>100.7342</v>
      </c>
      <c r="C168">
        <v>7.9672594332318963E-2</v>
      </c>
      <c r="D168">
        <f t="shared" si="44"/>
        <v>8.0257550519906857</v>
      </c>
      <c r="E168">
        <f t="shared" si="50"/>
        <v>1.0657765998688618</v>
      </c>
      <c r="F168">
        <f t="shared" si="51"/>
        <v>0.63266485363249192</v>
      </c>
      <c r="G168">
        <f t="shared" si="61"/>
        <v>1.4407426326810135</v>
      </c>
      <c r="I168">
        <v>137.01410000000001</v>
      </c>
      <c r="J168">
        <v>0.117980680568935</v>
      </c>
      <c r="K168">
        <f t="shared" si="45"/>
        <v>16.16501676554012</v>
      </c>
      <c r="L168">
        <f t="shared" si="52"/>
        <v>0.20169915817294104</v>
      </c>
      <c r="M168">
        <f t="shared" si="53"/>
        <v>1.4967422953284126</v>
      </c>
      <c r="N168">
        <f t="shared" si="62"/>
        <v>2.6948223844236452E-2</v>
      </c>
      <c r="P168">
        <v>92.640469999999993</v>
      </c>
      <c r="Q168">
        <v>0.43896475344869018</v>
      </c>
      <c r="R168">
        <f t="shared" si="46"/>
        <v>40.665901072920775</v>
      </c>
      <c r="S168">
        <f t="shared" si="54"/>
        <v>-0.59754905100863898</v>
      </c>
      <c r="T168">
        <f t="shared" si="55"/>
        <v>2.2959905045099926</v>
      </c>
      <c r="U168">
        <f t="shared" si="63"/>
        <v>0.50014992306908201</v>
      </c>
      <c r="W168">
        <v>88.647199999999998</v>
      </c>
      <c r="X168">
        <v>1.6384529075861212E-2</v>
      </c>
      <c r="Y168">
        <f t="shared" si="47"/>
        <v>1.452442625893684</v>
      </c>
      <c r="Z168">
        <f t="shared" si="56"/>
        <v>-2.7334572254536282</v>
      </c>
      <c r="AA168">
        <f t="shared" si="57"/>
        <v>4.4318986789549815</v>
      </c>
      <c r="AB168">
        <f t="shared" si="64"/>
        <v>2.3149036013304642</v>
      </c>
      <c r="AD168">
        <v>95.549760000000006</v>
      </c>
      <c r="AE168">
        <v>0.34699744257419463</v>
      </c>
      <c r="AF168">
        <f t="shared" si="48"/>
        <v>33.155522358578082</v>
      </c>
      <c r="AG168">
        <f t="shared" si="58"/>
        <v>5.8393094939705348</v>
      </c>
      <c r="AH168">
        <f t="shared" si="59"/>
        <v>4.1408680404691811</v>
      </c>
      <c r="AI168">
        <f t="shared" si="65"/>
        <v>2.9232626464313238</v>
      </c>
      <c r="AL168">
        <f t="shared" si="49"/>
        <v>99.464637874923341</v>
      </c>
      <c r="AM168">
        <f t="shared" si="60"/>
        <v>1.6984414535013537</v>
      </c>
    </row>
    <row r="169" spans="1:39" x14ac:dyDescent="0.35">
      <c r="A169" s="2">
        <v>41579</v>
      </c>
      <c r="B169">
        <v>99.240920000000003</v>
      </c>
      <c r="C169">
        <v>7.9672594332318963E-2</v>
      </c>
      <c r="D169">
        <f t="shared" si="44"/>
        <v>7.9067815603261202</v>
      </c>
      <c r="E169">
        <f t="shared" si="50"/>
        <v>-1.4823962467563123</v>
      </c>
      <c r="F169">
        <f t="shared" si="51"/>
        <v>0.38436350219769322</v>
      </c>
      <c r="G169">
        <f t="shared" si="61"/>
        <v>0.2483013514347987</v>
      </c>
      <c r="I169">
        <v>129.66050000000001</v>
      </c>
      <c r="J169">
        <v>0.117980680568935</v>
      </c>
      <c r="K169">
        <f t="shared" si="45"/>
        <v>15.297434032908399</v>
      </c>
      <c r="L169">
        <f t="shared" si="52"/>
        <v>-5.3670388668027647</v>
      </c>
      <c r="M169">
        <f t="shared" si="53"/>
        <v>3.5002791178487591</v>
      </c>
      <c r="N169">
        <f t="shared" si="62"/>
        <v>2.0035368225203465</v>
      </c>
      <c r="P169">
        <v>92.872669999999999</v>
      </c>
      <c r="Q169">
        <v>0.43896475344869018</v>
      </c>
      <c r="R169">
        <f t="shared" si="46"/>
        <v>40.767828688671564</v>
      </c>
      <c r="S169">
        <f t="shared" si="54"/>
        <v>0.250646396763754</v>
      </c>
      <c r="T169">
        <f t="shared" si="55"/>
        <v>2.1174061457177595</v>
      </c>
      <c r="U169">
        <f t="shared" si="63"/>
        <v>0.17858435879223311</v>
      </c>
      <c r="W169">
        <v>89.323449999999994</v>
      </c>
      <c r="X169">
        <v>1.6384529075861212E-2</v>
      </c>
      <c r="Y169">
        <f t="shared" si="47"/>
        <v>1.4635226636812351</v>
      </c>
      <c r="Z169">
        <f t="shared" si="56"/>
        <v>0.76285545397936083</v>
      </c>
      <c r="AA169">
        <f t="shared" si="57"/>
        <v>2.6296152029333664</v>
      </c>
      <c r="AB169">
        <f t="shared" si="64"/>
        <v>1.8022834760216151</v>
      </c>
      <c r="AD169">
        <v>92.716260000000005</v>
      </c>
      <c r="AE169">
        <v>0.34699744257419463</v>
      </c>
      <c r="AF169">
        <f t="shared" si="48"/>
        <v>32.172305105044103</v>
      </c>
      <c r="AG169">
        <f t="shared" si="58"/>
        <v>-2.96547055691192</v>
      </c>
      <c r="AH169">
        <f t="shared" si="59"/>
        <v>1.0987108079579144</v>
      </c>
      <c r="AI169">
        <f t="shared" si="65"/>
        <v>3.0421572325112667</v>
      </c>
      <c r="AL169">
        <f t="shared" si="49"/>
        <v>97.607872050631414</v>
      </c>
      <c r="AM169">
        <f t="shared" si="60"/>
        <v>-1.8667597489540055</v>
      </c>
    </row>
    <row r="170" spans="1:39" x14ac:dyDescent="0.35">
      <c r="A170" s="2">
        <v>41609</v>
      </c>
      <c r="B170">
        <v>96.573009999999996</v>
      </c>
      <c r="C170">
        <v>7.9672594332318963E-2</v>
      </c>
      <c r="D170">
        <f t="shared" si="44"/>
        <v>7.6942222491809824</v>
      </c>
      <c r="E170">
        <f t="shared" si="50"/>
        <v>-2.6883164726808295</v>
      </c>
      <c r="F170">
        <f t="shared" si="51"/>
        <v>1.8188939796573433</v>
      </c>
      <c r="G170">
        <f t="shared" si="61"/>
        <v>1.4345304774596501</v>
      </c>
      <c r="I170">
        <v>125.4592</v>
      </c>
      <c r="J170">
        <v>0.117980680568935</v>
      </c>
      <c r="K170">
        <f t="shared" si="45"/>
        <v>14.80176179963413</v>
      </c>
      <c r="L170">
        <f t="shared" si="52"/>
        <v>-3.2402312192225224</v>
      </c>
      <c r="M170">
        <f t="shared" si="53"/>
        <v>2.3708087261990363</v>
      </c>
      <c r="N170">
        <f t="shared" si="62"/>
        <v>1.1294703916497228</v>
      </c>
      <c r="P170">
        <v>96.310760000000002</v>
      </c>
      <c r="Q170">
        <v>0.43896475344869018</v>
      </c>
      <c r="R170">
        <f t="shared" si="46"/>
        <v>42.277029017855973</v>
      </c>
      <c r="S170">
        <f t="shared" si="54"/>
        <v>3.7019394403111194</v>
      </c>
      <c r="T170">
        <f t="shared" si="55"/>
        <v>4.5713619333346056</v>
      </c>
      <c r="U170">
        <f t="shared" si="63"/>
        <v>2.4539557876168461</v>
      </c>
      <c r="W170">
        <v>91.730009999999993</v>
      </c>
      <c r="X170">
        <v>1.6384529075861212E-2</v>
      </c>
      <c r="Y170">
        <f t="shared" si="47"/>
        <v>1.5029530159740396</v>
      </c>
      <c r="Z170">
        <f t="shared" si="56"/>
        <v>2.6942085197112275</v>
      </c>
      <c r="AA170">
        <f t="shared" si="57"/>
        <v>3.5636310127347137</v>
      </c>
      <c r="AB170">
        <f t="shared" si="64"/>
        <v>0.93401580980134735</v>
      </c>
      <c r="AD170">
        <v>87.84872</v>
      </c>
      <c r="AE170">
        <v>0.34699744257419463</v>
      </c>
      <c r="AF170">
        <f t="shared" si="48"/>
        <v>30.483281173416504</v>
      </c>
      <c r="AG170">
        <f t="shared" si="58"/>
        <v>-5.2499313496899074</v>
      </c>
      <c r="AH170">
        <f t="shared" si="59"/>
        <v>4.3805088566664212</v>
      </c>
      <c r="AI170">
        <f t="shared" si="65"/>
        <v>3.2817980487085068</v>
      </c>
      <c r="AL170">
        <f t="shared" si="49"/>
        <v>96.759247256061641</v>
      </c>
      <c r="AM170">
        <f t="shared" si="60"/>
        <v>-0.86942249302348618</v>
      </c>
    </row>
    <row r="171" spans="1:39" x14ac:dyDescent="0.35">
      <c r="A171" s="2">
        <v>41640</v>
      </c>
      <c r="B171">
        <v>95.001080000000002</v>
      </c>
      <c r="C171">
        <v>7.8324407413799757E-2</v>
      </c>
      <c r="D171">
        <f t="shared" si="44"/>
        <v>7.4409032946709841</v>
      </c>
      <c r="E171">
        <f t="shared" si="50"/>
        <v>-1.6277115107005469</v>
      </c>
      <c r="F171">
        <f t="shared" si="51"/>
        <v>2.0150693182711676</v>
      </c>
      <c r="G171">
        <f t="shared" si="61"/>
        <v>0.1961753386138243</v>
      </c>
      <c r="I171">
        <v>118.7225</v>
      </c>
      <c r="J171">
        <v>0.11906795552277548</v>
      </c>
      <c r="K171">
        <f t="shared" si="45"/>
        <v>14.136045349552711</v>
      </c>
      <c r="L171">
        <f t="shared" si="52"/>
        <v>-5.3696341121256985</v>
      </c>
      <c r="M171">
        <f t="shared" si="53"/>
        <v>1.726853283153984</v>
      </c>
      <c r="N171">
        <f t="shared" si="62"/>
        <v>0.64395544304505226</v>
      </c>
      <c r="P171">
        <v>95.042240000000007</v>
      </c>
      <c r="Q171">
        <v>0.43455144813721419</v>
      </c>
      <c r="R171">
        <f t="shared" si="46"/>
        <v>41.300743026204664</v>
      </c>
      <c r="S171">
        <f t="shared" si="54"/>
        <v>-1.3171114006368501</v>
      </c>
      <c r="T171">
        <f t="shared" si="55"/>
        <v>2.3256694283348645</v>
      </c>
      <c r="U171">
        <f t="shared" si="63"/>
        <v>2.2456925049997412</v>
      </c>
      <c r="W171">
        <v>94.762069999999994</v>
      </c>
      <c r="X171">
        <v>1.6384104680366347E-2</v>
      </c>
      <c r="Y171">
        <f t="shared" si="47"/>
        <v>1.5525916746082034</v>
      </c>
      <c r="Z171">
        <f t="shared" si="56"/>
        <v>3.3054177144426378</v>
      </c>
      <c r="AA171">
        <f t="shared" si="57"/>
        <v>6.9481985434143523</v>
      </c>
      <c r="AB171">
        <f t="shared" si="64"/>
        <v>3.3845675306796386</v>
      </c>
      <c r="AD171">
        <v>81.90652</v>
      </c>
      <c r="AE171">
        <v>0.35167208424584417</v>
      </c>
      <c r="AF171">
        <f t="shared" si="48"/>
        <v>28.804236601723922</v>
      </c>
      <c r="AG171">
        <f t="shared" si="58"/>
        <v>-6.7641281512126783</v>
      </c>
      <c r="AH171">
        <f t="shared" si="59"/>
        <v>3.1213473222409638</v>
      </c>
      <c r="AI171">
        <f t="shared" si="65"/>
        <v>1.2591615344254574</v>
      </c>
      <c r="AL171">
        <f t="shared" si="49"/>
        <v>93.234519946760486</v>
      </c>
      <c r="AM171">
        <f t="shared" si="60"/>
        <v>-3.6427808289717145</v>
      </c>
    </row>
    <row r="172" spans="1:39" x14ac:dyDescent="0.35">
      <c r="A172" s="2">
        <v>41671</v>
      </c>
      <c r="B172">
        <v>94.189220000000006</v>
      </c>
      <c r="C172">
        <v>7.8324407413799757E-2</v>
      </c>
      <c r="D172">
        <f t="shared" si="44"/>
        <v>7.3773148412680172</v>
      </c>
      <c r="E172">
        <f t="shared" si="50"/>
        <v>-0.85457975846169321</v>
      </c>
      <c r="F172">
        <f t="shared" si="51"/>
        <v>2.4447622472298258</v>
      </c>
      <c r="G172">
        <f t="shared" si="61"/>
        <v>0.42969292895865818</v>
      </c>
      <c r="I172">
        <v>116.9051</v>
      </c>
      <c r="J172">
        <v>0.11906795552277548</v>
      </c>
      <c r="K172">
        <f t="shared" si="45"/>
        <v>13.91965124718562</v>
      </c>
      <c r="L172">
        <f t="shared" si="52"/>
        <v>-1.530796605529694</v>
      </c>
      <c r="M172">
        <f t="shared" si="53"/>
        <v>1.768545400161825</v>
      </c>
      <c r="N172">
        <f t="shared" si="62"/>
        <v>4.1692117007841034E-2</v>
      </c>
      <c r="P172">
        <v>91.116150000000005</v>
      </c>
      <c r="Q172">
        <v>0.43455144813721419</v>
      </c>
      <c r="R172">
        <f t="shared" si="46"/>
        <v>39.594654931187634</v>
      </c>
      <c r="S172">
        <f t="shared" si="54"/>
        <v>-4.1308895918278026</v>
      </c>
      <c r="T172">
        <f t="shared" si="55"/>
        <v>0.83154758613628355</v>
      </c>
      <c r="U172">
        <f t="shared" si="63"/>
        <v>1.4941218421985809</v>
      </c>
      <c r="W172">
        <v>96.44605</v>
      </c>
      <c r="X172">
        <v>1.6384104680366347E-2</v>
      </c>
      <c r="Y172">
        <f t="shared" si="47"/>
        <v>1.5801821792078468</v>
      </c>
      <c r="Z172">
        <f t="shared" si="56"/>
        <v>1.7770612229133453</v>
      </c>
      <c r="AA172">
        <f t="shared" si="57"/>
        <v>5.0764032286048639</v>
      </c>
      <c r="AB172">
        <f t="shared" si="64"/>
        <v>1.8717953148094884</v>
      </c>
      <c r="AD172">
        <v>78.728430000000003</v>
      </c>
      <c r="AE172">
        <v>0.35167208424584417</v>
      </c>
      <c r="AF172">
        <f t="shared" si="48"/>
        <v>27.686591067503048</v>
      </c>
      <c r="AG172">
        <f t="shared" si="58"/>
        <v>-3.8801428750727007</v>
      </c>
      <c r="AH172">
        <f t="shared" si="59"/>
        <v>0.58080086938118169</v>
      </c>
      <c r="AI172">
        <f t="shared" si="65"/>
        <v>2.5405464528597821</v>
      </c>
      <c r="AL172">
        <f t="shared" si="49"/>
        <v>90.158394266352175</v>
      </c>
      <c r="AM172">
        <f t="shared" si="60"/>
        <v>-3.299342005691519</v>
      </c>
    </row>
    <row r="173" spans="1:39" x14ac:dyDescent="0.35">
      <c r="A173" s="2">
        <v>41699</v>
      </c>
      <c r="B173">
        <v>96.495429999999999</v>
      </c>
      <c r="C173">
        <v>7.8324407413799757E-2</v>
      </c>
      <c r="D173">
        <f t="shared" si="44"/>
        <v>7.557947372889795</v>
      </c>
      <c r="E173">
        <f t="shared" si="50"/>
        <v>2.4484861431063987</v>
      </c>
      <c r="F173">
        <f t="shared" si="51"/>
        <v>1.6696441797414252</v>
      </c>
      <c r="G173">
        <f t="shared" si="61"/>
        <v>0.77511806748840062</v>
      </c>
      <c r="I173">
        <v>124.3605</v>
      </c>
      <c r="J173">
        <v>0.11906795552277548</v>
      </c>
      <c r="K173">
        <f t="shared" si="45"/>
        <v>14.80735048279012</v>
      </c>
      <c r="L173">
        <f t="shared" si="52"/>
        <v>6.3773094586976997</v>
      </c>
      <c r="M173">
        <f t="shared" si="53"/>
        <v>5.5984674953327263</v>
      </c>
      <c r="N173">
        <f t="shared" si="62"/>
        <v>3.8299220951709012</v>
      </c>
      <c r="P173">
        <v>89.144300000000001</v>
      </c>
      <c r="Q173">
        <v>0.43455144813721419</v>
      </c>
      <c r="R173">
        <f t="shared" si="46"/>
        <v>38.737784658178263</v>
      </c>
      <c r="S173">
        <f t="shared" si="54"/>
        <v>-2.1641059241418792</v>
      </c>
      <c r="T173">
        <f t="shared" si="55"/>
        <v>2.9429478875068527</v>
      </c>
      <c r="U173">
        <f t="shared" si="63"/>
        <v>2.1114003013705691</v>
      </c>
      <c r="W173">
        <v>96.307370000000006</v>
      </c>
      <c r="X173">
        <v>1.6384104680366347E-2</v>
      </c>
      <c r="Y173">
        <f t="shared" si="47"/>
        <v>1.5779100315707735</v>
      </c>
      <c r="Z173">
        <f t="shared" si="56"/>
        <v>-0.14379023298517479</v>
      </c>
      <c r="AA173">
        <f t="shared" si="57"/>
        <v>0.92263219635014826</v>
      </c>
      <c r="AB173">
        <f t="shared" si="64"/>
        <v>4.1537710322547152</v>
      </c>
      <c r="AD173">
        <v>80.130309999999994</v>
      </c>
      <c r="AE173">
        <v>0.35167208424584417</v>
      </c>
      <c r="AF173">
        <f t="shared" si="48"/>
        <v>28.179593128965607</v>
      </c>
      <c r="AG173">
        <f t="shared" si="58"/>
        <v>1.7806528086486528</v>
      </c>
      <c r="AH173">
        <f t="shared" si="59"/>
        <v>1.0018108452836794</v>
      </c>
      <c r="AI173">
        <f t="shared" si="65"/>
        <v>0.42100997590249767</v>
      </c>
      <c r="AL173">
        <f t="shared" si="49"/>
        <v>90.860585674394571</v>
      </c>
      <c r="AM173">
        <f t="shared" si="60"/>
        <v>0.77884196336497347</v>
      </c>
    </row>
    <row r="174" spans="1:39" x14ac:dyDescent="0.35">
      <c r="A174" s="2">
        <v>41730</v>
      </c>
      <c r="B174">
        <v>100.3129</v>
      </c>
      <c r="C174">
        <v>7.8324407413799757E-2</v>
      </c>
      <c r="D174">
        <f t="shared" si="44"/>
        <v>7.8569484484597538</v>
      </c>
      <c r="E174">
        <f t="shared" si="50"/>
        <v>3.9561148128983925</v>
      </c>
      <c r="F174">
        <f t="shared" si="51"/>
        <v>2.5221691947106883</v>
      </c>
      <c r="G174">
        <f t="shared" si="61"/>
        <v>0.85252501496926314</v>
      </c>
      <c r="I174">
        <v>129.95959999999999</v>
      </c>
      <c r="J174">
        <v>0.11906795552277548</v>
      </c>
      <c r="K174">
        <f t="shared" si="45"/>
        <v>15.474023872557691</v>
      </c>
      <c r="L174">
        <f t="shared" si="52"/>
        <v>4.5023138375931193</v>
      </c>
      <c r="M174">
        <f t="shared" si="53"/>
        <v>1.9759701700159615</v>
      </c>
      <c r="N174">
        <f t="shared" si="62"/>
        <v>3.6224973253167647</v>
      </c>
      <c r="P174">
        <v>92.479320000000001</v>
      </c>
      <c r="Q174">
        <v>0.43455144813721419</v>
      </c>
      <c r="R174">
        <f t="shared" si="46"/>
        <v>40.187022428744832</v>
      </c>
      <c r="S174">
        <f t="shared" si="54"/>
        <v>3.7411477794990766</v>
      </c>
      <c r="T174">
        <f t="shared" si="55"/>
        <v>2.7371362281100042</v>
      </c>
      <c r="U174">
        <f t="shared" si="63"/>
        <v>0.20581165939684842</v>
      </c>
      <c r="W174">
        <v>95.389939999999996</v>
      </c>
      <c r="X174">
        <v>1.6384104680366347E-2</v>
      </c>
      <c r="Y174">
        <f t="shared" si="47"/>
        <v>1.5628787624138649</v>
      </c>
      <c r="Z174">
        <f t="shared" si="56"/>
        <v>-0.95260622317898669</v>
      </c>
      <c r="AA174">
        <f t="shared" si="57"/>
        <v>7.4308902307880675</v>
      </c>
      <c r="AB174">
        <f t="shared" si="64"/>
        <v>6.5082580344379188</v>
      </c>
      <c r="AD174">
        <v>90.043880000000001</v>
      </c>
      <c r="AE174">
        <v>0.35167208424584417</v>
      </c>
      <c r="AF174">
        <f t="shared" si="48"/>
        <v>31.665918953182683</v>
      </c>
      <c r="AG174">
        <f t="shared" si="58"/>
        <v>12.371810367387837</v>
      </c>
      <c r="AH174">
        <f t="shared" si="59"/>
        <v>5.8935263597787566</v>
      </c>
      <c r="AI174">
        <f t="shared" si="65"/>
        <v>4.8917155144950772</v>
      </c>
      <c r="AL174">
        <f t="shared" si="49"/>
        <v>96.746792465358823</v>
      </c>
      <c r="AM174">
        <f t="shared" si="60"/>
        <v>6.4782840076090809</v>
      </c>
    </row>
    <row r="175" spans="1:39" x14ac:dyDescent="0.35">
      <c r="A175" s="2">
        <v>41760</v>
      </c>
      <c r="B175">
        <v>101.9748</v>
      </c>
      <c r="C175">
        <v>7.8324407413799757E-2</v>
      </c>
      <c r="D175">
        <f t="shared" si="44"/>
        <v>7.9871157811407478</v>
      </c>
      <c r="E175">
        <f t="shared" si="50"/>
        <v>1.6567161352129212</v>
      </c>
      <c r="F175">
        <f t="shared" si="51"/>
        <v>1.3326523181962813</v>
      </c>
      <c r="G175">
        <f t="shared" si="61"/>
        <v>1.1895168765144071</v>
      </c>
      <c r="I175">
        <v>129.732</v>
      </c>
      <c r="J175">
        <v>0.11906795552277548</v>
      </c>
      <c r="K175">
        <f t="shared" si="45"/>
        <v>15.446924005880708</v>
      </c>
      <c r="L175">
        <f t="shared" si="52"/>
        <v>-0.17513134851138146</v>
      </c>
      <c r="M175">
        <f t="shared" si="53"/>
        <v>3.1644998019205839</v>
      </c>
      <c r="N175">
        <f t="shared" si="62"/>
        <v>1.1885296319046224</v>
      </c>
      <c r="P175">
        <v>95.047579999999996</v>
      </c>
      <c r="Q175">
        <v>0.43455144813721419</v>
      </c>
      <c r="R175">
        <f t="shared" si="46"/>
        <v>41.303063530937713</v>
      </c>
      <c r="S175">
        <f t="shared" si="54"/>
        <v>2.7771181708516002</v>
      </c>
      <c r="T175">
        <f t="shared" si="55"/>
        <v>0.21225028255760225</v>
      </c>
      <c r="U175">
        <f t="shared" si="63"/>
        <v>2.524885945552402</v>
      </c>
      <c r="W175">
        <v>99.967609999999993</v>
      </c>
      <c r="X175">
        <v>1.6384104680366347E-2</v>
      </c>
      <c r="Y175">
        <f t="shared" si="47"/>
        <v>1.6378797868860375</v>
      </c>
      <c r="Z175">
        <f t="shared" si="56"/>
        <v>4.798902274181116</v>
      </c>
      <c r="AA175">
        <f t="shared" si="57"/>
        <v>1.8095338207719136</v>
      </c>
      <c r="AB175">
        <f t="shared" si="64"/>
        <v>5.6213564100161539</v>
      </c>
      <c r="AD175">
        <v>94.587909999999994</v>
      </c>
      <c r="AE175">
        <v>0.35167208424584417</v>
      </c>
      <c r="AF175">
        <f t="shared" si="48"/>
        <v>33.263927454158328</v>
      </c>
      <c r="AG175">
        <f t="shared" si="58"/>
        <v>5.0464617917397536</v>
      </c>
      <c r="AH175">
        <f t="shared" si="59"/>
        <v>2.0570933383305512</v>
      </c>
      <c r="AI175">
        <f t="shared" si="65"/>
        <v>3.8364330214482054</v>
      </c>
      <c r="AL175">
        <f t="shared" si="49"/>
        <v>99.638910559003534</v>
      </c>
      <c r="AM175">
        <f t="shared" si="60"/>
        <v>2.9893684534092024</v>
      </c>
    </row>
    <row r="176" spans="1:39" x14ac:dyDescent="0.35">
      <c r="A176" s="2">
        <v>41791</v>
      </c>
      <c r="B176">
        <v>100.78530000000001</v>
      </c>
      <c r="C176">
        <v>7.8324407413799757E-2</v>
      </c>
      <c r="D176">
        <f t="shared" si="44"/>
        <v>7.8939488985220327</v>
      </c>
      <c r="E176">
        <f t="shared" si="50"/>
        <v>-1.1664646559738201</v>
      </c>
      <c r="F176">
        <f t="shared" si="51"/>
        <v>3.6453060968504647</v>
      </c>
      <c r="G176">
        <f t="shared" si="61"/>
        <v>2.3126537786541834</v>
      </c>
      <c r="I176">
        <v>132.6831</v>
      </c>
      <c r="J176">
        <v>0.11906795552277548</v>
      </c>
      <c r="K176">
        <f t="shared" si="45"/>
        <v>15.798305449423971</v>
      </c>
      <c r="L176">
        <f t="shared" si="52"/>
        <v>2.2747664415872615</v>
      </c>
      <c r="M176">
        <f t="shared" si="53"/>
        <v>0.20407499928938311</v>
      </c>
      <c r="N176">
        <f t="shared" si="62"/>
        <v>2.9604248026312008</v>
      </c>
      <c r="P176">
        <v>97.137420000000006</v>
      </c>
      <c r="Q176">
        <v>0.43455144813721419</v>
      </c>
      <c r="R176">
        <f t="shared" si="46"/>
        <v>42.211206529312797</v>
      </c>
      <c r="S176">
        <f t="shared" si="54"/>
        <v>2.1987303622038601</v>
      </c>
      <c r="T176">
        <f t="shared" si="55"/>
        <v>0.28011107867278451</v>
      </c>
      <c r="U176">
        <f t="shared" si="63"/>
        <v>6.7860796115182254E-2</v>
      </c>
      <c r="W176">
        <v>106.8171</v>
      </c>
      <c r="X176">
        <v>1.6384104680366347E-2</v>
      </c>
      <c r="Y176">
        <f t="shared" si="47"/>
        <v>1.75010254805316</v>
      </c>
      <c r="Z176">
        <f t="shared" si="56"/>
        <v>6.8517092686321224</v>
      </c>
      <c r="AA176">
        <f t="shared" si="57"/>
        <v>4.3728678277554778</v>
      </c>
      <c r="AB176">
        <f t="shared" si="64"/>
        <v>2.5633340069835642</v>
      </c>
      <c r="AD176">
        <v>97.975470000000001</v>
      </c>
      <c r="AE176">
        <v>0.35167208424584417</v>
      </c>
      <c r="AF176">
        <f t="shared" si="48"/>
        <v>34.455237739866178</v>
      </c>
      <c r="AG176">
        <f t="shared" si="58"/>
        <v>3.5813879384796632</v>
      </c>
      <c r="AH176">
        <f t="shared" si="59"/>
        <v>1.1025464976030186</v>
      </c>
      <c r="AI176">
        <f t="shared" si="65"/>
        <v>0.9545468407275326</v>
      </c>
      <c r="AL176">
        <f t="shared" si="49"/>
        <v>102.10880116517812</v>
      </c>
      <c r="AM176">
        <f t="shared" si="60"/>
        <v>2.4788414408766446</v>
      </c>
    </row>
    <row r="177" spans="1:39" x14ac:dyDescent="0.35">
      <c r="A177" s="2">
        <v>41821</v>
      </c>
      <c r="B177">
        <v>101.44710000000001</v>
      </c>
      <c r="C177">
        <v>7.8324407413799757E-2</v>
      </c>
      <c r="D177">
        <f t="shared" si="44"/>
        <v>7.9457839913484856</v>
      </c>
      <c r="E177">
        <f t="shared" si="50"/>
        <v>0.65664337954047802</v>
      </c>
      <c r="F177">
        <f t="shared" si="51"/>
        <v>1.257507551411674</v>
      </c>
      <c r="G177">
        <f t="shared" si="61"/>
        <v>2.3877985454387907</v>
      </c>
      <c r="I177">
        <v>131.69</v>
      </c>
      <c r="J177">
        <v>0.11906795552277548</v>
      </c>
      <c r="K177">
        <f t="shared" si="45"/>
        <v>15.680059062794303</v>
      </c>
      <c r="L177">
        <f t="shared" si="52"/>
        <v>-0.7484751260710687</v>
      </c>
      <c r="M177">
        <f t="shared" si="53"/>
        <v>2.6626260570232207</v>
      </c>
      <c r="N177">
        <f t="shared" si="62"/>
        <v>2.4585510577338376</v>
      </c>
      <c r="P177">
        <v>99.992829999999998</v>
      </c>
      <c r="Q177">
        <v>0.43455144813721419</v>
      </c>
      <c r="R177">
        <f t="shared" si="46"/>
        <v>43.452029079838276</v>
      </c>
      <c r="S177">
        <f t="shared" si="54"/>
        <v>2.9395571758030981</v>
      </c>
      <c r="T177">
        <f t="shared" si="55"/>
        <v>1.025406244850946</v>
      </c>
      <c r="U177">
        <f t="shared" si="63"/>
        <v>0.74529516617816149</v>
      </c>
      <c r="W177">
        <v>101.965</v>
      </c>
      <c r="X177">
        <v>1.6384104680366347E-2</v>
      </c>
      <c r="Y177">
        <f t="shared" si="47"/>
        <v>1.6706052337335546</v>
      </c>
      <c r="Z177">
        <f t="shared" si="56"/>
        <v>-4.5424374936222645</v>
      </c>
      <c r="AA177">
        <f t="shared" si="57"/>
        <v>6.4565884245744165</v>
      </c>
      <c r="AB177">
        <f t="shared" si="64"/>
        <v>2.0837205968189387</v>
      </c>
      <c r="AD177">
        <v>100.4198</v>
      </c>
      <c r="AE177">
        <v>0.35167208424584417</v>
      </c>
      <c r="AF177">
        <f t="shared" si="48"/>
        <v>35.314840365550822</v>
      </c>
      <c r="AG177">
        <f t="shared" si="58"/>
        <v>2.4948387591302135</v>
      </c>
      <c r="AH177">
        <f t="shared" si="59"/>
        <v>0.58068782817806142</v>
      </c>
      <c r="AI177">
        <f t="shared" si="65"/>
        <v>0.52185866942495718</v>
      </c>
      <c r="AL177">
        <f t="shared" si="49"/>
        <v>104.06331773326545</v>
      </c>
      <c r="AM177">
        <f t="shared" si="60"/>
        <v>1.9141509309521521</v>
      </c>
    </row>
    <row r="178" spans="1:39" x14ac:dyDescent="0.35">
      <c r="A178" s="2">
        <v>41852</v>
      </c>
      <c r="B178">
        <v>101.943</v>
      </c>
      <c r="C178">
        <v>7.8324407413799757E-2</v>
      </c>
      <c r="D178">
        <f t="shared" si="44"/>
        <v>7.9846250649849884</v>
      </c>
      <c r="E178">
        <f t="shared" si="50"/>
        <v>0.48882619611598788</v>
      </c>
      <c r="F178">
        <f t="shared" si="51"/>
        <v>0.12843242509177344</v>
      </c>
      <c r="G178">
        <f t="shared" si="61"/>
        <v>1.1290751263199006</v>
      </c>
      <c r="I178">
        <v>134.91929999999999</v>
      </c>
      <c r="J178">
        <v>0.11906795552277548</v>
      </c>
      <c r="K178">
        <f t="shared" si="45"/>
        <v>16.064565211564002</v>
      </c>
      <c r="L178">
        <f t="shared" si="52"/>
        <v>2.4521983445971562</v>
      </c>
      <c r="M178">
        <f t="shared" si="53"/>
        <v>1.8349397233893949</v>
      </c>
      <c r="N178">
        <f t="shared" si="62"/>
        <v>0.82768633363382582</v>
      </c>
      <c r="P178">
        <v>102.2812</v>
      </c>
      <c r="Q178">
        <v>0.43455144813721419</v>
      </c>
      <c r="R178">
        <f t="shared" si="46"/>
        <v>44.44644357721203</v>
      </c>
      <c r="S178">
        <f t="shared" si="54"/>
        <v>2.2885340878941118</v>
      </c>
      <c r="T178">
        <f t="shared" si="55"/>
        <v>1.6712754666863505</v>
      </c>
      <c r="U178">
        <f t="shared" si="63"/>
        <v>0.64586922183540452</v>
      </c>
      <c r="W178">
        <v>101.8352</v>
      </c>
      <c r="X178">
        <v>1.6384104680366347E-2</v>
      </c>
      <c r="Y178">
        <f t="shared" si="47"/>
        <v>1.6684785769460431</v>
      </c>
      <c r="Z178">
        <f t="shared" si="56"/>
        <v>-0.12729858284705742</v>
      </c>
      <c r="AA178">
        <f t="shared" si="57"/>
        <v>0.74455720405481873</v>
      </c>
      <c r="AB178">
        <f t="shared" si="64"/>
        <v>5.7120312205195978</v>
      </c>
      <c r="AD178">
        <v>98.220889999999997</v>
      </c>
      <c r="AE178">
        <v>0.35167208424584417</v>
      </c>
      <c r="AF178">
        <f t="shared" si="48"/>
        <v>34.541545102781789</v>
      </c>
      <c r="AG178">
        <f t="shared" si="58"/>
        <v>-2.1897175656593548</v>
      </c>
      <c r="AH178">
        <f t="shared" si="59"/>
        <v>2.8069761868671161</v>
      </c>
      <c r="AI178">
        <f t="shared" si="65"/>
        <v>2.2262883586890547</v>
      </c>
      <c r="AL178">
        <f t="shared" si="49"/>
        <v>104.70565753348885</v>
      </c>
      <c r="AM178">
        <f t="shared" si="60"/>
        <v>0.61725862120776132</v>
      </c>
    </row>
    <row r="179" spans="1:39" x14ac:dyDescent="0.35">
      <c r="A179" s="2">
        <v>41883</v>
      </c>
      <c r="B179">
        <v>103.48139999999999</v>
      </c>
      <c r="C179">
        <v>7.8324407413799757E-2</v>
      </c>
      <c r="D179">
        <f t="shared" si="44"/>
        <v>8.1051193333503768</v>
      </c>
      <c r="E179">
        <f t="shared" si="50"/>
        <v>1.5090786027485814</v>
      </c>
      <c r="F179">
        <f t="shared" si="51"/>
        <v>1.0768414788117964</v>
      </c>
      <c r="G179">
        <f t="shared" si="61"/>
        <v>0.94840905372002293</v>
      </c>
      <c r="I179">
        <v>134.422</v>
      </c>
      <c r="J179">
        <v>0.11906795552277548</v>
      </c>
      <c r="K179">
        <f t="shared" si="45"/>
        <v>16.005352717282523</v>
      </c>
      <c r="L179">
        <f t="shared" si="52"/>
        <v>-0.36859070570333108</v>
      </c>
      <c r="M179">
        <f t="shared" si="53"/>
        <v>0.80082782964011612</v>
      </c>
      <c r="N179">
        <f t="shared" si="62"/>
        <v>1.0341118937492788</v>
      </c>
      <c r="P179">
        <v>103.98569999999999</v>
      </c>
      <c r="Q179">
        <v>0.43455144813721419</v>
      </c>
      <c r="R179">
        <f t="shared" si="46"/>
        <v>45.187136520561914</v>
      </c>
      <c r="S179">
        <f t="shared" si="54"/>
        <v>1.6664841632675342</v>
      </c>
      <c r="T179">
        <f t="shared" si="55"/>
        <v>1.2342470393307492</v>
      </c>
      <c r="U179">
        <f t="shared" si="63"/>
        <v>0.43702842735560132</v>
      </c>
      <c r="W179">
        <v>104.6669</v>
      </c>
      <c r="X179">
        <v>1.6384104680366347E-2</v>
      </c>
      <c r="Y179">
        <f t="shared" si="47"/>
        <v>1.7148734461694364</v>
      </c>
      <c r="Z179">
        <f t="shared" si="56"/>
        <v>2.7806691595833266</v>
      </c>
      <c r="AA179">
        <f t="shared" si="57"/>
        <v>2.3484320356465416</v>
      </c>
      <c r="AB179">
        <f t="shared" si="64"/>
        <v>1.6038748315917228</v>
      </c>
      <c r="AD179">
        <v>97.095429999999993</v>
      </c>
      <c r="AE179">
        <v>0.35167208424584417</v>
      </c>
      <c r="AF179">
        <f t="shared" si="48"/>
        <v>34.145752238846462</v>
      </c>
      <c r="AG179">
        <f t="shared" si="58"/>
        <v>-1.1458458582486952</v>
      </c>
      <c r="AH179">
        <f t="shared" si="59"/>
        <v>1.5780829821854803</v>
      </c>
      <c r="AI179">
        <f t="shared" si="65"/>
        <v>1.2288932046816359</v>
      </c>
      <c r="AL179">
        <f t="shared" si="49"/>
        <v>105.1582342562107</v>
      </c>
      <c r="AM179">
        <f t="shared" si="60"/>
        <v>0.43223712393678504</v>
      </c>
    </row>
    <row r="180" spans="1:39" x14ac:dyDescent="0.35">
      <c r="A180" s="2">
        <v>41913</v>
      </c>
      <c r="B180">
        <v>99.955359999999999</v>
      </c>
      <c r="C180">
        <v>7.8324407413799757E-2</v>
      </c>
      <c r="D180">
        <f t="shared" si="44"/>
        <v>7.8289443398330238</v>
      </c>
      <c r="E180">
        <f t="shared" si="50"/>
        <v>-3.4074142792811069</v>
      </c>
      <c r="F180">
        <f t="shared" si="51"/>
        <v>0.23106947190453253</v>
      </c>
      <c r="G180">
        <f t="shared" si="61"/>
        <v>0.84577200690726384</v>
      </c>
      <c r="I180">
        <v>126.16079999999999</v>
      </c>
      <c r="J180">
        <v>0.11906795552277548</v>
      </c>
      <c r="K180">
        <f t="shared" si="45"/>
        <v>15.021708523117772</v>
      </c>
      <c r="L180">
        <f t="shared" si="52"/>
        <v>-6.1457201946110036</v>
      </c>
      <c r="M180">
        <f t="shared" si="53"/>
        <v>2.5072364434253642</v>
      </c>
      <c r="N180">
        <f t="shared" si="62"/>
        <v>1.7064086137852481</v>
      </c>
      <c r="P180">
        <v>99.988159999999993</v>
      </c>
      <c r="Q180">
        <v>0.43455144813721419</v>
      </c>
      <c r="R180">
        <f t="shared" si="46"/>
        <v>43.44999972457547</v>
      </c>
      <c r="S180">
        <f t="shared" si="54"/>
        <v>-3.8443170551335393</v>
      </c>
      <c r="T180">
        <f t="shared" si="55"/>
        <v>0.20583330394789989</v>
      </c>
      <c r="U180">
        <f t="shared" si="63"/>
        <v>1.0284137353828493</v>
      </c>
      <c r="W180">
        <v>105.2444</v>
      </c>
      <c r="X180">
        <v>1.6384104680366347E-2</v>
      </c>
      <c r="Y180">
        <f t="shared" si="47"/>
        <v>1.7243352666223479</v>
      </c>
      <c r="Z180">
        <f t="shared" si="56"/>
        <v>0.55175036233996444</v>
      </c>
      <c r="AA180">
        <f t="shared" si="57"/>
        <v>4.1902341135256034</v>
      </c>
      <c r="AB180">
        <f t="shared" si="64"/>
        <v>1.8418020778790618</v>
      </c>
      <c r="AD180">
        <v>94.710620000000006</v>
      </c>
      <c r="AE180">
        <v>0.35167208424584417</v>
      </c>
      <c r="AF180">
        <f t="shared" si="48"/>
        <v>33.307081135616137</v>
      </c>
      <c r="AG180">
        <f t="shared" si="58"/>
        <v>-2.4561506138857325</v>
      </c>
      <c r="AH180">
        <f t="shared" si="59"/>
        <v>1.1823331372999069</v>
      </c>
      <c r="AI180">
        <f t="shared" si="65"/>
        <v>0.39574984488557341</v>
      </c>
      <c r="AL180">
        <f t="shared" si="49"/>
        <v>101.33206898976475</v>
      </c>
      <c r="AM180">
        <f t="shared" si="60"/>
        <v>-3.6384837511856394</v>
      </c>
    </row>
    <row r="181" spans="1:39" x14ac:dyDescent="0.35">
      <c r="A181" s="2">
        <v>41944</v>
      </c>
      <c r="B181">
        <v>101.8425</v>
      </c>
      <c r="C181">
        <v>7.8324407413799757E-2</v>
      </c>
      <c r="D181">
        <f t="shared" si="44"/>
        <v>7.9767534620399019</v>
      </c>
      <c r="E181">
        <f t="shared" si="50"/>
        <v>1.8879827955199158</v>
      </c>
      <c r="F181">
        <f t="shared" si="51"/>
        <v>0.52873681224903102</v>
      </c>
      <c r="G181">
        <f t="shared" si="61"/>
        <v>0.29766734034449849</v>
      </c>
      <c r="I181">
        <v>124.19499999999999</v>
      </c>
      <c r="J181">
        <v>0.11906795552277548</v>
      </c>
      <c r="K181">
        <f t="shared" si="45"/>
        <v>14.787644736151099</v>
      </c>
      <c r="L181">
        <f t="shared" si="52"/>
        <v>-1.5581702081787663</v>
      </c>
      <c r="M181">
        <f t="shared" si="53"/>
        <v>3.9748898159477131</v>
      </c>
      <c r="N181">
        <f t="shared" si="62"/>
        <v>1.4676533725223488</v>
      </c>
      <c r="P181">
        <v>101.00579999999999</v>
      </c>
      <c r="Q181">
        <v>0.43455144813721419</v>
      </c>
      <c r="R181">
        <f t="shared" si="46"/>
        <v>43.892216660257823</v>
      </c>
      <c r="S181">
        <f t="shared" si="54"/>
        <v>1.0177605028435455</v>
      </c>
      <c r="T181">
        <f t="shared" si="55"/>
        <v>1.3989591049254013</v>
      </c>
      <c r="U181">
        <f t="shared" si="63"/>
        <v>1.1931258009775014</v>
      </c>
      <c r="W181">
        <v>105.123</v>
      </c>
      <c r="X181">
        <v>1.6384104680366347E-2</v>
      </c>
      <c r="Y181">
        <f t="shared" si="47"/>
        <v>1.7223462363141515</v>
      </c>
      <c r="Z181">
        <f t="shared" si="56"/>
        <v>-0.11535055546897377</v>
      </c>
      <c r="AA181">
        <f t="shared" si="57"/>
        <v>2.5320701632379206</v>
      </c>
      <c r="AB181">
        <f t="shared" si="64"/>
        <v>1.6581639502876828</v>
      </c>
      <c r="AD181">
        <v>100.6677</v>
      </c>
      <c r="AE181">
        <v>0.35167208424584417</v>
      </c>
      <c r="AF181">
        <f t="shared" si="48"/>
        <v>35.402019875235368</v>
      </c>
      <c r="AG181">
        <f t="shared" si="58"/>
        <v>6.2897698272907476</v>
      </c>
      <c r="AH181">
        <f t="shared" si="59"/>
        <v>3.8730502195218008</v>
      </c>
      <c r="AI181">
        <f t="shared" si="65"/>
        <v>2.690717082221894</v>
      </c>
      <c r="AL181">
        <f t="shared" si="49"/>
        <v>103.78098096999835</v>
      </c>
      <c r="AM181">
        <f t="shared" si="60"/>
        <v>2.4167196077689468</v>
      </c>
    </row>
    <row r="182" spans="1:39" x14ac:dyDescent="0.35">
      <c r="A182" s="2">
        <v>41974</v>
      </c>
      <c r="B182">
        <v>100.19119999999999</v>
      </c>
      <c r="C182">
        <v>7.8324407413799757E-2</v>
      </c>
      <c r="D182">
        <f t="shared" si="44"/>
        <v>7.8474163680774938</v>
      </c>
      <c r="E182">
        <f t="shared" si="50"/>
        <v>-1.6214252399538553</v>
      </c>
      <c r="F182">
        <f t="shared" si="51"/>
        <v>0.18856128692007479</v>
      </c>
      <c r="G182">
        <f t="shared" si="61"/>
        <v>0.34017552532895623</v>
      </c>
      <c r="I182">
        <v>114.3386</v>
      </c>
      <c r="J182">
        <v>0.11906795552277548</v>
      </c>
      <c r="K182">
        <f t="shared" si="45"/>
        <v>13.614063339336417</v>
      </c>
      <c r="L182">
        <f t="shared" si="52"/>
        <v>-7.9362293168001923</v>
      </c>
      <c r="M182">
        <f t="shared" si="53"/>
        <v>6.1262427899262626</v>
      </c>
      <c r="N182">
        <f t="shared" si="62"/>
        <v>2.1513529739785495</v>
      </c>
      <c r="P182">
        <v>96.729839999999996</v>
      </c>
      <c r="Q182">
        <v>0.43455144813721419</v>
      </c>
      <c r="R182">
        <f t="shared" si="46"/>
        <v>42.034092050081028</v>
      </c>
      <c r="S182">
        <f t="shared" si="54"/>
        <v>-4.2333806573483841</v>
      </c>
      <c r="T182">
        <f t="shared" si="55"/>
        <v>2.423394130474454</v>
      </c>
      <c r="U182">
        <f t="shared" si="63"/>
        <v>1.0244350255490526</v>
      </c>
      <c r="W182">
        <v>104.62949999999999</v>
      </c>
      <c r="X182">
        <v>1.6384104680366347E-2</v>
      </c>
      <c r="Y182">
        <f t="shared" si="47"/>
        <v>1.7142606806543905</v>
      </c>
      <c r="Z182">
        <f t="shared" si="56"/>
        <v>-0.4694500727719042</v>
      </c>
      <c r="AA182">
        <f t="shared" si="57"/>
        <v>1.3405364541020259</v>
      </c>
      <c r="AB182">
        <f t="shared" si="64"/>
        <v>1.1915337091358946</v>
      </c>
      <c r="AD182">
        <v>104.3379</v>
      </c>
      <c r="AE182">
        <v>0.35167208424584417</v>
      </c>
      <c r="AF182">
        <f t="shared" si="48"/>
        <v>36.692726758834468</v>
      </c>
      <c r="AG182">
        <f t="shared" si="58"/>
        <v>3.6458566153791283</v>
      </c>
      <c r="AH182">
        <f t="shared" si="59"/>
        <v>5.4558431422530589</v>
      </c>
      <c r="AI182">
        <f t="shared" si="65"/>
        <v>1.582792922731258</v>
      </c>
      <c r="AL182">
        <f t="shared" si="49"/>
        <v>101.90255919698379</v>
      </c>
      <c r="AM182">
        <f t="shared" si="60"/>
        <v>-1.8099865268739301</v>
      </c>
    </row>
    <row r="183" spans="1:39" x14ac:dyDescent="0.35">
      <c r="A183" s="2">
        <v>42005</v>
      </c>
      <c r="B183">
        <v>99.004649999999998</v>
      </c>
      <c r="C183">
        <v>7.7010808868158628E-2</v>
      </c>
      <c r="D183">
        <f t="shared" si="44"/>
        <v>7.6244281782089409</v>
      </c>
      <c r="E183">
        <f t="shared" si="50"/>
        <v>-1.1842856458451401</v>
      </c>
      <c r="F183">
        <f t="shared" si="51"/>
        <v>1.9040495070289154</v>
      </c>
      <c r="G183">
        <f t="shared" si="61"/>
        <v>1.7154882201088406</v>
      </c>
      <c r="I183">
        <v>109.53279999999999</v>
      </c>
      <c r="J183">
        <v>0.11799241209463555</v>
      </c>
      <c r="K183">
        <f t="shared" si="45"/>
        <v>12.924039275479297</v>
      </c>
      <c r="L183">
        <f t="shared" si="52"/>
        <v>-4.2031300015917701</v>
      </c>
      <c r="M183">
        <f t="shared" si="53"/>
        <v>4.9228938627755454</v>
      </c>
      <c r="N183">
        <f t="shared" si="62"/>
        <v>1.2033489271507172</v>
      </c>
      <c r="P183">
        <v>95.534729999999996</v>
      </c>
      <c r="Q183">
        <v>0.42956551348286137</v>
      </c>
      <c r="R183">
        <f t="shared" si="46"/>
        <v>41.038425347896521</v>
      </c>
      <c r="S183">
        <f t="shared" si="54"/>
        <v>-1.2355132604375263</v>
      </c>
      <c r="T183">
        <f t="shared" si="55"/>
        <v>1.9552771216213016</v>
      </c>
      <c r="U183">
        <f t="shared" si="63"/>
        <v>0.46811700885315233</v>
      </c>
      <c r="W183">
        <v>103.7958</v>
      </c>
      <c r="X183">
        <v>1.6345893965469996E-2</v>
      </c>
      <c r="Y183">
        <f t="shared" si="47"/>
        <v>1.6966351408611307</v>
      </c>
      <c r="Z183">
        <f t="shared" si="56"/>
        <v>-0.79681160666924544</v>
      </c>
      <c r="AA183">
        <f t="shared" si="57"/>
        <v>1.5165754678530208</v>
      </c>
      <c r="AB183">
        <f t="shared" si="64"/>
        <v>0.17603901375099484</v>
      </c>
      <c r="AD183">
        <v>109.5909</v>
      </c>
      <c r="AE183">
        <v>0.35908537158887444</v>
      </c>
      <c r="AF183">
        <f t="shared" si="48"/>
        <v>39.352489049259184</v>
      </c>
      <c r="AG183">
        <f t="shared" si="58"/>
        <v>5.0346039166975665</v>
      </c>
      <c r="AH183">
        <f t="shared" si="59"/>
        <v>4.3148400555137911</v>
      </c>
      <c r="AI183">
        <f t="shared" si="65"/>
        <v>1.1410030867392678</v>
      </c>
      <c r="AL183">
        <f t="shared" si="49"/>
        <v>102.63601699170509</v>
      </c>
      <c r="AM183">
        <f t="shared" si="60"/>
        <v>0.71976386118377533</v>
      </c>
    </row>
    <row r="184" spans="1:39" x14ac:dyDescent="0.35">
      <c r="A184" s="2">
        <v>42036</v>
      </c>
      <c r="B184">
        <v>102.245</v>
      </c>
      <c r="C184">
        <v>7.7010808868158628E-2</v>
      </c>
      <c r="D184">
        <f t="shared" si="44"/>
        <v>7.8739701527248789</v>
      </c>
      <c r="E184">
        <f t="shared" si="50"/>
        <v>3.2729270796876708</v>
      </c>
      <c r="F184">
        <f t="shared" si="51"/>
        <v>3.3689579464120989</v>
      </c>
      <c r="G184">
        <f t="shared" si="61"/>
        <v>1.4649084393831835</v>
      </c>
      <c r="I184">
        <v>108.45820000000001</v>
      </c>
      <c r="J184">
        <v>0.11799241209463555</v>
      </c>
      <c r="K184">
        <f t="shared" si="45"/>
        <v>12.797244629442403</v>
      </c>
      <c r="L184">
        <f t="shared" si="52"/>
        <v>-0.98107598819713315</v>
      </c>
      <c r="M184">
        <f t="shared" si="53"/>
        <v>0.88504512147270509</v>
      </c>
      <c r="N184">
        <f t="shared" si="62"/>
        <v>4.0378487413028399</v>
      </c>
      <c r="P184">
        <v>97.842029999999994</v>
      </c>
      <c r="Q184">
        <v>0.42956551348286137</v>
      </c>
      <c r="R184">
        <f t="shared" si="46"/>
        <v>42.029561857155521</v>
      </c>
      <c r="S184">
        <f t="shared" si="54"/>
        <v>2.4151426397499565</v>
      </c>
      <c r="T184">
        <f t="shared" si="55"/>
        <v>2.5111735064743845</v>
      </c>
      <c r="U184">
        <f t="shared" si="63"/>
        <v>0.5558963848530829</v>
      </c>
      <c r="W184">
        <v>102.8691</v>
      </c>
      <c r="X184">
        <v>1.6345893965469996E-2</v>
      </c>
      <c r="Y184">
        <f t="shared" si="47"/>
        <v>1.6814874009233296</v>
      </c>
      <c r="Z184">
        <f t="shared" si="56"/>
        <v>-0.89281069176209149</v>
      </c>
      <c r="AA184">
        <f t="shared" si="57"/>
        <v>0.79677982503766343</v>
      </c>
      <c r="AB184">
        <f t="shared" si="64"/>
        <v>0.71979564281535735</v>
      </c>
      <c r="AD184">
        <v>106.25660000000001</v>
      </c>
      <c r="AE184">
        <v>0.35908537158887444</v>
      </c>
      <c r="AF184">
        <f t="shared" si="48"/>
        <v>38.155190694770397</v>
      </c>
      <c r="AG184">
        <f t="shared" si="58"/>
        <v>-3.0424971416422308</v>
      </c>
      <c r="AH184">
        <f t="shared" si="59"/>
        <v>2.9464662749178028</v>
      </c>
      <c r="AI184">
        <f t="shared" si="65"/>
        <v>1.3683737805959884</v>
      </c>
      <c r="AL184">
        <f t="shared" si="49"/>
        <v>102.53745473501652</v>
      </c>
      <c r="AM184">
        <f t="shared" si="60"/>
        <v>-9.6030866724428066E-2</v>
      </c>
    </row>
    <row r="185" spans="1:39" x14ac:dyDescent="0.35">
      <c r="A185" s="2">
        <v>42064</v>
      </c>
      <c r="B185">
        <v>100.7247</v>
      </c>
      <c r="C185">
        <v>7.7010808868158628E-2</v>
      </c>
      <c r="D185">
        <f t="shared" si="44"/>
        <v>7.7568906200026175</v>
      </c>
      <c r="E185">
        <f t="shared" si="50"/>
        <v>-1.4869186757298758</v>
      </c>
      <c r="F185">
        <f t="shared" si="51"/>
        <v>0.91523343554860137</v>
      </c>
      <c r="G185">
        <f t="shared" si="61"/>
        <v>2.4537245108634975</v>
      </c>
      <c r="I185">
        <v>100.3967</v>
      </c>
      <c r="J185">
        <v>0.11799241209463555</v>
      </c>
      <c r="K185">
        <f t="shared" si="45"/>
        <v>11.846048799341498</v>
      </c>
      <c r="L185">
        <f t="shared" si="52"/>
        <v>-7.4328174356572463</v>
      </c>
      <c r="M185">
        <f t="shared" si="53"/>
        <v>5.0306653243787691</v>
      </c>
      <c r="N185">
        <f t="shared" si="62"/>
        <v>4.1456202029060645</v>
      </c>
      <c r="P185">
        <v>99.560910000000007</v>
      </c>
      <c r="Q185">
        <v>0.42956551348286137</v>
      </c>
      <c r="R185">
        <f t="shared" si="46"/>
        <v>42.767933426970949</v>
      </c>
      <c r="S185">
        <f t="shared" si="54"/>
        <v>1.7567910232443085</v>
      </c>
      <c r="T185">
        <f t="shared" si="55"/>
        <v>4.1589431345227856</v>
      </c>
      <c r="U185">
        <f t="shared" si="63"/>
        <v>1.6477696280484011</v>
      </c>
      <c r="W185">
        <v>103.9092</v>
      </c>
      <c r="X185">
        <v>1.6345893965469996E-2</v>
      </c>
      <c r="Y185">
        <f t="shared" si="47"/>
        <v>1.6984887652368148</v>
      </c>
      <c r="Z185">
        <f t="shared" si="56"/>
        <v>1.0110907940285241</v>
      </c>
      <c r="AA185">
        <f t="shared" si="57"/>
        <v>3.4132429053070013</v>
      </c>
      <c r="AB185">
        <f t="shared" si="64"/>
        <v>2.6164630802693378</v>
      </c>
      <c r="AD185">
        <v>100.26860000000001</v>
      </c>
      <c r="AE185">
        <v>0.35908537158887444</v>
      </c>
      <c r="AF185">
        <f t="shared" si="48"/>
        <v>36.004987489696219</v>
      </c>
      <c r="AG185">
        <f t="shared" si="58"/>
        <v>-5.635414647184267</v>
      </c>
      <c r="AH185">
        <f t="shared" si="59"/>
        <v>3.2332625359057898</v>
      </c>
      <c r="AI185">
        <f t="shared" si="65"/>
        <v>0.28679626098798705</v>
      </c>
      <c r="AL185">
        <f t="shared" si="49"/>
        <v>100.07434910124812</v>
      </c>
      <c r="AM185">
        <f t="shared" si="60"/>
        <v>-2.4021521112784772</v>
      </c>
    </row>
    <row r="186" spans="1:39" x14ac:dyDescent="0.35">
      <c r="A186" s="2">
        <v>42095</v>
      </c>
      <c r="B186">
        <v>103.7255</v>
      </c>
      <c r="C186">
        <v>7.7010808868158628E-2</v>
      </c>
      <c r="D186">
        <f t="shared" si="44"/>
        <v>7.9879846552541878</v>
      </c>
      <c r="E186">
        <f t="shared" si="50"/>
        <v>2.9792096675393509</v>
      </c>
      <c r="F186">
        <f t="shared" si="51"/>
        <v>0.23598018658479436</v>
      </c>
      <c r="G186">
        <f t="shared" si="61"/>
        <v>0.67925324896380701</v>
      </c>
      <c r="I186">
        <v>105.8762</v>
      </c>
      <c r="J186">
        <v>0.11799241209463555</v>
      </c>
      <c r="K186">
        <f t="shared" si="45"/>
        <v>12.492588221414053</v>
      </c>
      <c r="L186">
        <f t="shared" si="52"/>
        <v>5.4578487141509591</v>
      </c>
      <c r="M186">
        <f t="shared" si="53"/>
        <v>2.2426588600268138</v>
      </c>
      <c r="N186">
        <f t="shared" si="62"/>
        <v>2.7880064643519553</v>
      </c>
      <c r="P186">
        <v>102.5333</v>
      </c>
      <c r="Q186">
        <v>0.42956551348286137</v>
      </c>
      <c r="R186">
        <f t="shared" si="46"/>
        <v>44.04476966359227</v>
      </c>
      <c r="S186">
        <f t="shared" si="54"/>
        <v>2.9854990276806381</v>
      </c>
      <c r="T186">
        <f t="shared" si="55"/>
        <v>0.22969082644350713</v>
      </c>
      <c r="U186">
        <f t="shared" si="63"/>
        <v>3.9292523080792785</v>
      </c>
      <c r="W186">
        <v>102.78019999999999</v>
      </c>
      <c r="X186">
        <v>1.6345893965469996E-2</v>
      </c>
      <c r="Y186">
        <f t="shared" si="47"/>
        <v>1.6800342509497992</v>
      </c>
      <c r="Z186">
        <f t="shared" si="56"/>
        <v>-1.0865255434552523</v>
      </c>
      <c r="AA186">
        <f t="shared" si="57"/>
        <v>4.3017153975793976</v>
      </c>
      <c r="AB186">
        <f t="shared" si="64"/>
        <v>0.88847249227239633</v>
      </c>
      <c r="AD186">
        <v>103.28060000000001</v>
      </c>
      <c r="AE186">
        <v>0.35908537158887444</v>
      </c>
      <c r="AF186">
        <f t="shared" si="48"/>
        <v>37.086552628921908</v>
      </c>
      <c r="AG186">
        <f t="shared" si="58"/>
        <v>3.0039314401517636</v>
      </c>
      <c r="AH186">
        <f t="shared" si="59"/>
        <v>0.21125841397238165</v>
      </c>
      <c r="AI186">
        <f t="shared" si="65"/>
        <v>3.0220041219334082</v>
      </c>
      <c r="AL186">
        <f t="shared" si="49"/>
        <v>103.29192942013222</v>
      </c>
      <c r="AM186">
        <f t="shared" si="60"/>
        <v>3.2151898541241453</v>
      </c>
    </row>
    <row r="187" spans="1:39" x14ac:dyDescent="0.35">
      <c r="A187" s="2">
        <v>42125</v>
      </c>
      <c r="B187">
        <v>104.946</v>
      </c>
      <c r="C187">
        <v>7.7010808868158628E-2</v>
      </c>
      <c r="D187">
        <f t="shared" si="44"/>
        <v>8.0819763474777755</v>
      </c>
      <c r="E187">
        <f t="shared" si="50"/>
        <v>1.1766634048522295</v>
      </c>
      <c r="F187">
        <f t="shared" si="51"/>
        <v>0.37404152878519614</v>
      </c>
      <c r="G187">
        <f t="shared" si="61"/>
        <v>0.13806134220040178</v>
      </c>
      <c r="I187">
        <v>105.6377</v>
      </c>
      <c r="J187">
        <v>0.11799241209463555</v>
      </c>
      <c r="K187">
        <f t="shared" si="45"/>
        <v>12.464447031129481</v>
      </c>
      <c r="L187">
        <f t="shared" si="52"/>
        <v>-0.22526309028847447</v>
      </c>
      <c r="M187">
        <f t="shared" si="53"/>
        <v>1.0278849663555079</v>
      </c>
      <c r="N187">
        <f t="shared" si="62"/>
        <v>1.2147738936713059</v>
      </c>
      <c r="P187">
        <v>102.50190000000001</v>
      </c>
      <c r="Q187">
        <v>0.42956551348286137</v>
      </c>
      <c r="R187">
        <f t="shared" si="46"/>
        <v>44.031281306468912</v>
      </c>
      <c r="S187">
        <f t="shared" si="54"/>
        <v>-3.0624197212014703E-2</v>
      </c>
      <c r="T187">
        <f t="shared" si="55"/>
        <v>0.83324607327904809</v>
      </c>
      <c r="U187">
        <f t="shared" si="63"/>
        <v>0.60355524683554096</v>
      </c>
      <c r="W187">
        <v>100.35809999999999</v>
      </c>
      <c r="X187">
        <v>1.6345893965469996E-2</v>
      </c>
      <c r="Y187">
        <f t="shared" si="47"/>
        <v>1.6404428611760342</v>
      </c>
      <c r="Z187">
        <f t="shared" si="56"/>
        <v>-2.3565822989252805</v>
      </c>
      <c r="AA187">
        <f t="shared" si="57"/>
        <v>3.1592041749923139</v>
      </c>
      <c r="AB187">
        <f t="shared" si="64"/>
        <v>1.1425112225870837</v>
      </c>
      <c r="AD187">
        <v>105.5538</v>
      </c>
      <c r="AE187">
        <v>0.35908537158887444</v>
      </c>
      <c r="AF187">
        <f t="shared" si="48"/>
        <v>37.902825495617734</v>
      </c>
      <c r="AG187">
        <f t="shared" si="58"/>
        <v>2.2009941847742853</v>
      </c>
      <c r="AH187">
        <f t="shared" si="59"/>
        <v>1.3983723087072519</v>
      </c>
      <c r="AI187">
        <f t="shared" si="65"/>
        <v>1.1871138947348703</v>
      </c>
      <c r="AL187">
        <f t="shared" si="49"/>
        <v>104.12097304186993</v>
      </c>
      <c r="AM187">
        <f t="shared" si="60"/>
        <v>0.80262187606703339</v>
      </c>
    </row>
    <row r="188" spans="1:39" x14ac:dyDescent="0.35">
      <c r="A188" s="2">
        <v>42156</v>
      </c>
      <c r="B188">
        <v>101.6704</v>
      </c>
      <c r="C188">
        <v>7.7010808868158628E-2</v>
      </c>
      <c r="D188">
        <f t="shared" si="44"/>
        <v>7.8297197419492353</v>
      </c>
      <c r="E188">
        <f t="shared" si="50"/>
        <v>-3.1212242486612141</v>
      </c>
      <c r="F188">
        <f t="shared" si="51"/>
        <v>0.8491460810402085</v>
      </c>
      <c r="G188">
        <f t="shared" si="61"/>
        <v>0.47510455225501236</v>
      </c>
      <c r="I188">
        <v>102.5459</v>
      </c>
      <c r="J188">
        <v>0.11799241209463555</v>
      </c>
      <c r="K188">
        <f t="shared" si="45"/>
        <v>12.099638091415288</v>
      </c>
      <c r="L188">
        <f t="shared" si="52"/>
        <v>-2.9267960207387977</v>
      </c>
      <c r="M188">
        <f t="shared" si="53"/>
        <v>0.65471785311779218</v>
      </c>
      <c r="N188">
        <f t="shared" si="62"/>
        <v>0.37316711323771568</v>
      </c>
      <c r="P188">
        <v>102.2403</v>
      </c>
      <c r="Q188">
        <v>0.42956551348286137</v>
      </c>
      <c r="R188">
        <f t="shared" si="46"/>
        <v>43.918906968141791</v>
      </c>
      <c r="S188">
        <f t="shared" si="54"/>
        <v>-0.25521478138453846</v>
      </c>
      <c r="T188">
        <f t="shared" si="55"/>
        <v>2.0168633862364671</v>
      </c>
      <c r="U188">
        <f t="shared" si="63"/>
        <v>1.183617312957419</v>
      </c>
      <c r="W188">
        <v>100.5125</v>
      </c>
      <c r="X188">
        <v>1.6345893965469996E-2</v>
      </c>
      <c r="Y188">
        <f t="shared" si="47"/>
        <v>1.6429666672043031</v>
      </c>
      <c r="Z188">
        <f t="shared" si="56"/>
        <v>0.15384906649289487</v>
      </c>
      <c r="AA188">
        <f t="shared" si="57"/>
        <v>2.4259272341139004</v>
      </c>
      <c r="AB188">
        <f t="shared" si="64"/>
        <v>0.73327694087841344</v>
      </c>
      <c r="AD188">
        <v>100.99</v>
      </c>
      <c r="AE188">
        <v>0.35908537158887444</v>
      </c>
      <c r="AF188">
        <f t="shared" si="48"/>
        <v>36.264031676760425</v>
      </c>
      <c r="AG188">
        <f t="shared" si="58"/>
        <v>-4.3236719094907006</v>
      </c>
      <c r="AH188">
        <f t="shared" si="59"/>
        <v>2.051593741869695</v>
      </c>
      <c r="AI188">
        <f t="shared" si="65"/>
        <v>0.65322143316244308</v>
      </c>
      <c r="AL188">
        <f t="shared" si="49"/>
        <v>101.75526314547105</v>
      </c>
      <c r="AM188">
        <f t="shared" si="60"/>
        <v>-2.2720781676210056</v>
      </c>
    </row>
    <row r="189" spans="1:39" x14ac:dyDescent="0.35">
      <c r="A189" s="2">
        <v>42186</v>
      </c>
      <c r="B189">
        <v>99.452359999999999</v>
      </c>
      <c r="C189">
        <v>7.7010808868158628E-2</v>
      </c>
      <c r="D189">
        <f t="shared" si="44"/>
        <v>7.6589066874473044</v>
      </c>
      <c r="E189">
        <f t="shared" si="50"/>
        <v>-2.1815985773637192</v>
      </c>
      <c r="F189">
        <f t="shared" si="51"/>
        <v>1.6726672394530184</v>
      </c>
      <c r="G189">
        <f t="shared" si="61"/>
        <v>0.82352115841280993</v>
      </c>
      <c r="I189">
        <v>101.8622</v>
      </c>
      <c r="J189">
        <v>0.11799241209463555</v>
      </c>
      <c r="K189">
        <f t="shared" si="45"/>
        <v>12.018966679266185</v>
      </c>
      <c r="L189">
        <f t="shared" si="52"/>
        <v>-0.66672582716618134</v>
      </c>
      <c r="M189">
        <f t="shared" si="53"/>
        <v>0.15779448925548056</v>
      </c>
      <c r="N189">
        <f t="shared" si="62"/>
        <v>0.49692336386231162</v>
      </c>
      <c r="P189">
        <v>102.1918</v>
      </c>
      <c r="Q189">
        <v>0.42956551348286137</v>
      </c>
      <c r="R189">
        <f t="shared" si="46"/>
        <v>43.89807304073787</v>
      </c>
      <c r="S189">
        <f t="shared" si="54"/>
        <v>-4.7437262997085394E-2</v>
      </c>
      <c r="T189">
        <f t="shared" si="55"/>
        <v>0.46149407491361538</v>
      </c>
      <c r="U189">
        <f t="shared" si="63"/>
        <v>1.5553693113228517</v>
      </c>
      <c r="W189">
        <v>99.949910000000003</v>
      </c>
      <c r="X189">
        <v>1.6345893965469996E-2</v>
      </c>
      <c r="Y189">
        <f t="shared" si="47"/>
        <v>1.6337706307182693</v>
      </c>
      <c r="Z189">
        <f t="shared" si="56"/>
        <v>-0.55972142768312416</v>
      </c>
      <c r="AA189">
        <f t="shared" si="57"/>
        <v>5.0790089772423386E-2</v>
      </c>
      <c r="AB189">
        <f t="shared" si="64"/>
        <v>2.375137144341477</v>
      </c>
      <c r="AD189">
        <v>100.3318</v>
      </c>
      <c r="AE189">
        <v>0.35908537158887444</v>
      </c>
      <c r="AF189">
        <f t="shared" si="48"/>
        <v>36.027681685180632</v>
      </c>
      <c r="AG189">
        <f t="shared" si="58"/>
        <v>-0.65174769779184905</v>
      </c>
      <c r="AH189">
        <f t="shared" si="59"/>
        <v>0.14281635988114827</v>
      </c>
      <c r="AI189">
        <f t="shared" si="65"/>
        <v>1.9087773819885467</v>
      </c>
      <c r="AL189">
        <f t="shared" si="49"/>
        <v>101.23739872335025</v>
      </c>
      <c r="AM189">
        <f t="shared" si="60"/>
        <v>-0.50893133791070078</v>
      </c>
    </row>
    <row r="190" spans="1:39" x14ac:dyDescent="0.35">
      <c r="A190" s="2">
        <v>42217</v>
      </c>
      <c r="B190">
        <v>98.149019999999993</v>
      </c>
      <c r="C190">
        <v>7.7010808868158628E-2</v>
      </c>
      <c r="D190">
        <f t="shared" si="44"/>
        <v>7.558535419817078</v>
      </c>
      <c r="E190">
        <f t="shared" si="50"/>
        <v>-1.3105169148323936</v>
      </c>
      <c r="F190">
        <f t="shared" si="51"/>
        <v>2.5434528739659568</v>
      </c>
      <c r="G190">
        <f t="shared" si="61"/>
        <v>0.87078563451293833</v>
      </c>
      <c r="I190">
        <v>96.492249999999999</v>
      </c>
      <c r="J190">
        <v>0.11799241209463555</v>
      </c>
      <c r="K190">
        <f t="shared" si="45"/>
        <v>11.385353325938597</v>
      </c>
      <c r="L190">
        <f t="shared" si="52"/>
        <v>-5.2717789327149873</v>
      </c>
      <c r="M190">
        <f t="shared" si="53"/>
        <v>1.4178091439166369</v>
      </c>
      <c r="N190">
        <f t="shared" si="62"/>
        <v>1.2600146546611564</v>
      </c>
      <c r="P190">
        <v>99.688699999999997</v>
      </c>
      <c r="Q190">
        <v>0.42956551348286137</v>
      </c>
      <c r="R190">
        <f t="shared" si="46"/>
        <v>42.822827603938919</v>
      </c>
      <c r="S190">
        <f t="shared" si="54"/>
        <v>-2.4494137494397772</v>
      </c>
      <c r="T190">
        <f t="shared" si="55"/>
        <v>1.4045560393585732</v>
      </c>
      <c r="U190">
        <f t="shared" si="63"/>
        <v>0.94306196444495782</v>
      </c>
      <c r="W190">
        <v>99.673850000000002</v>
      </c>
      <c r="X190">
        <v>1.6345893965469996E-2</v>
      </c>
      <c r="Y190">
        <f t="shared" si="47"/>
        <v>1.6292581832301616</v>
      </c>
      <c r="Z190">
        <f t="shared" si="56"/>
        <v>-0.27619834775238772</v>
      </c>
      <c r="AA190">
        <f t="shared" si="57"/>
        <v>3.5777714410459627</v>
      </c>
      <c r="AB190">
        <f t="shared" si="64"/>
        <v>3.5269813512735393</v>
      </c>
      <c r="AD190">
        <v>94.517259999999993</v>
      </c>
      <c r="AE190">
        <v>0.35908537158887444</v>
      </c>
      <c r="AF190">
        <f t="shared" si="48"/>
        <v>33.939765428662255</v>
      </c>
      <c r="AG190">
        <f t="shared" si="58"/>
        <v>-5.7953111575791638</v>
      </c>
      <c r="AH190">
        <f t="shared" si="59"/>
        <v>1.9413413687808134</v>
      </c>
      <c r="AI190">
        <f t="shared" si="65"/>
        <v>1.7985250088996652</v>
      </c>
      <c r="AL190">
        <f t="shared" si="49"/>
        <v>97.335739961587009</v>
      </c>
      <c r="AM190">
        <f t="shared" si="60"/>
        <v>-3.8539697887983504</v>
      </c>
    </row>
    <row r="191" spans="1:39" x14ac:dyDescent="0.35">
      <c r="A191" s="2">
        <v>42248</v>
      </c>
      <c r="B191">
        <v>97.371009999999998</v>
      </c>
      <c r="C191">
        <v>7.7010808868158628E-2</v>
      </c>
      <c r="D191">
        <f t="shared" si="44"/>
        <v>7.4986202404095623</v>
      </c>
      <c r="E191">
        <f t="shared" si="50"/>
        <v>-0.79268239254960404</v>
      </c>
      <c r="F191">
        <f t="shared" si="51"/>
        <v>1.4272342747167044</v>
      </c>
      <c r="G191">
        <f t="shared" si="61"/>
        <v>1.1162185992492524</v>
      </c>
      <c r="I191">
        <v>95.814700000000002</v>
      </c>
      <c r="J191">
        <v>0.11799241209463555</v>
      </c>
      <c r="K191">
        <f t="shared" si="45"/>
        <v>11.305407567123877</v>
      </c>
      <c r="L191">
        <f t="shared" si="52"/>
        <v>-0.70218074508574535</v>
      </c>
      <c r="M191">
        <f t="shared" si="53"/>
        <v>1.5177359221805631</v>
      </c>
      <c r="N191">
        <f t="shared" si="62"/>
        <v>9.9926778263926153E-2</v>
      </c>
      <c r="P191">
        <v>97.802459999999996</v>
      </c>
      <c r="Q191">
        <v>0.42956551348286137</v>
      </c>
      <c r="R191">
        <f t="shared" si="46"/>
        <v>42.012563949787008</v>
      </c>
      <c r="S191">
        <f t="shared" si="54"/>
        <v>-1.8921302013166996</v>
      </c>
      <c r="T191">
        <f t="shared" si="55"/>
        <v>0.32778646594960881</v>
      </c>
      <c r="U191">
        <f t="shared" si="63"/>
        <v>1.0767695734089644</v>
      </c>
      <c r="W191">
        <v>98.802250000000001</v>
      </c>
      <c r="X191">
        <v>1.6345893965469996E-2</v>
      </c>
      <c r="Y191">
        <f t="shared" si="47"/>
        <v>1.6150111020498579</v>
      </c>
      <c r="Z191">
        <f t="shared" si="56"/>
        <v>-0.87445202528044774</v>
      </c>
      <c r="AA191">
        <f t="shared" si="57"/>
        <v>1.3454646419858607</v>
      </c>
      <c r="AB191">
        <f t="shared" si="64"/>
        <v>2.232306799060102</v>
      </c>
      <c r="AD191">
        <v>91.185460000000006</v>
      </c>
      <c r="AE191">
        <v>0.35908537158887444</v>
      </c>
      <c r="AF191">
        <f t="shared" si="48"/>
        <v>32.743364787602445</v>
      </c>
      <c r="AG191">
        <f t="shared" si="58"/>
        <v>-3.5250704474505401</v>
      </c>
      <c r="AH191">
        <f t="shared" si="59"/>
        <v>1.3051537801842317</v>
      </c>
      <c r="AI191">
        <f t="shared" si="65"/>
        <v>0.63618758859658175</v>
      </c>
      <c r="AL191">
        <f t="shared" si="49"/>
        <v>95.174967646972746</v>
      </c>
      <c r="AM191">
        <f t="shared" si="60"/>
        <v>-2.2199166672663084</v>
      </c>
    </row>
    <row r="192" spans="1:39" x14ac:dyDescent="0.35">
      <c r="A192" s="2">
        <v>42278</v>
      </c>
      <c r="B192">
        <v>99.133740000000003</v>
      </c>
      <c r="C192">
        <v>7.7010808868158628E-2</v>
      </c>
      <c r="D192">
        <f t="shared" si="44"/>
        <v>7.6343695035257317</v>
      </c>
      <c r="E192">
        <f t="shared" si="50"/>
        <v>1.8103232163248606</v>
      </c>
      <c r="F192">
        <f t="shared" si="51"/>
        <v>2.1122550708566168</v>
      </c>
      <c r="G192">
        <f t="shared" si="61"/>
        <v>0.6850207961399124</v>
      </c>
      <c r="I192">
        <v>96.869100000000003</v>
      </c>
      <c r="J192">
        <v>0.11799241209463555</v>
      </c>
      <c r="K192">
        <f t="shared" si="45"/>
        <v>11.429818766436462</v>
      </c>
      <c r="L192">
        <f t="shared" si="52"/>
        <v>1.1004574454650529</v>
      </c>
      <c r="M192">
        <f t="shared" si="53"/>
        <v>2.8221208417164245</v>
      </c>
      <c r="N192">
        <f t="shared" si="62"/>
        <v>1.3043849195358614</v>
      </c>
      <c r="P192">
        <v>100.74550000000001</v>
      </c>
      <c r="Q192">
        <v>0.42956551348286137</v>
      </c>
      <c r="R192">
        <f t="shared" si="46"/>
        <v>43.276792438587613</v>
      </c>
      <c r="S192">
        <f t="shared" si="54"/>
        <v>3.0091676630628728</v>
      </c>
      <c r="T192">
        <f t="shared" si="55"/>
        <v>0.91341062411860463</v>
      </c>
      <c r="U192">
        <f t="shared" si="63"/>
        <v>0.58562415816899582</v>
      </c>
      <c r="W192">
        <v>96.838489999999993</v>
      </c>
      <c r="X192">
        <v>1.6345893965469996E-2</v>
      </c>
      <c r="Y192">
        <f t="shared" si="47"/>
        <v>1.5829116893162265</v>
      </c>
      <c r="Z192">
        <f t="shared" si="56"/>
        <v>-1.9875660726349942</v>
      </c>
      <c r="AA192">
        <f t="shared" si="57"/>
        <v>5.9101443598164716</v>
      </c>
      <c r="AB192">
        <f t="shared" si="64"/>
        <v>4.5646797178306109</v>
      </c>
      <c r="AD192">
        <v>97.426379999999995</v>
      </c>
      <c r="AE192">
        <v>0.35908537158887444</v>
      </c>
      <c r="AF192">
        <f t="shared" si="48"/>
        <v>34.984387864858881</v>
      </c>
      <c r="AG192">
        <f t="shared" si="58"/>
        <v>6.8442052055228908</v>
      </c>
      <c r="AH192">
        <f t="shared" si="59"/>
        <v>2.9216269183414134</v>
      </c>
      <c r="AI192">
        <f t="shared" si="65"/>
        <v>1.6164731381571817</v>
      </c>
      <c r="AL192">
        <f t="shared" si="49"/>
        <v>98.908280262724901</v>
      </c>
      <c r="AM192">
        <f t="shared" si="60"/>
        <v>3.9225782871814774</v>
      </c>
    </row>
    <row r="193" spans="1:39" x14ac:dyDescent="0.35">
      <c r="A193" s="2">
        <v>42309</v>
      </c>
      <c r="B193">
        <v>98.847650000000002</v>
      </c>
      <c r="C193">
        <v>7.7010808868158628E-2</v>
      </c>
      <c r="D193">
        <f t="shared" si="44"/>
        <v>7.61233748121664</v>
      </c>
      <c r="E193">
        <f t="shared" si="50"/>
        <v>-0.28858993920738429</v>
      </c>
      <c r="F193">
        <f t="shared" si="51"/>
        <v>0.46330721836621569</v>
      </c>
      <c r="G193">
        <f t="shared" si="61"/>
        <v>1.6489478524904011</v>
      </c>
      <c r="I193">
        <v>90.120769999999993</v>
      </c>
      <c r="J193">
        <v>0.11799241209463555</v>
      </c>
      <c r="K193">
        <f t="shared" si="45"/>
        <v>10.633567032125868</v>
      </c>
      <c r="L193">
        <f t="shared" si="52"/>
        <v>-6.9664423433272393</v>
      </c>
      <c r="M193">
        <f t="shared" si="53"/>
        <v>7.1411596224860707</v>
      </c>
      <c r="N193">
        <f t="shared" si="62"/>
        <v>4.3190387807696462</v>
      </c>
      <c r="P193">
        <v>101.3236</v>
      </c>
      <c r="Q193">
        <v>0.42956551348286137</v>
      </c>
      <c r="R193">
        <f t="shared" si="46"/>
        <v>43.525124261932049</v>
      </c>
      <c r="S193">
        <f t="shared" si="54"/>
        <v>0.57382215582828522</v>
      </c>
      <c r="T193">
        <f t="shared" si="55"/>
        <v>0.39910487666945382</v>
      </c>
      <c r="U193">
        <f t="shared" si="63"/>
        <v>0.51430574744915081</v>
      </c>
      <c r="W193">
        <v>95.526179999999997</v>
      </c>
      <c r="X193">
        <v>1.6345893965469996E-2</v>
      </c>
      <c r="Y193">
        <f t="shared" si="47"/>
        <v>1.5614608092064006</v>
      </c>
      <c r="Z193">
        <f t="shared" si="56"/>
        <v>-1.355153307326451</v>
      </c>
      <c r="AA193">
        <f t="shared" si="57"/>
        <v>1.5298705864852824</v>
      </c>
      <c r="AB193">
        <f t="shared" si="64"/>
        <v>4.3802737733311892</v>
      </c>
      <c r="AD193">
        <v>99.554599999999994</v>
      </c>
      <c r="AE193">
        <v>0.35908537158887444</v>
      </c>
      <c r="AF193">
        <f t="shared" si="48"/>
        <v>35.748600534381758</v>
      </c>
      <c r="AG193">
        <f t="shared" si="58"/>
        <v>2.1844391631917315</v>
      </c>
      <c r="AH193">
        <f t="shared" si="59"/>
        <v>2.0097218840329001</v>
      </c>
      <c r="AI193">
        <f t="shared" si="65"/>
        <v>0.91190503430851333</v>
      </c>
      <c r="AL193">
        <f t="shared" si="49"/>
        <v>99.081090118862718</v>
      </c>
      <c r="AM193">
        <f t="shared" si="60"/>
        <v>0.1747172791588314</v>
      </c>
    </row>
    <row r="194" spans="1:39" x14ac:dyDescent="0.35">
      <c r="A194" s="2">
        <v>42339</v>
      </c>
      <c r="B194">
        <v>94.730050000000006</v>
      </c>
      <c r="C194">
        <v>7.7010808868158628E-2</v>
      </c>
      <c r="D194">
        <f t="shared" si="44"/>
        <v>7.2952377746211106</v>
      </c>
      <c r="E194">
        <f t="shared" si="50"/>
        <v>-4.1656023183150985</v>
      </c>
      <c r="F194">
        <f t="shared" si="51"/>
        <v>1.1174262666918899</v>
      </c>
      <c r="G194">
        <f t="shared" si="61"/>
        <v>0.65411904832567425</v>
      </c>
      <c r="I194">
        <v>86.393450000000001</v>
      </c>
      <c r="J194">
        <v>0.11799241209463555</v>
      </c>
      <c r="K194">
        <f t="shared" si="45"/>
        <v>10.193771554677292</v>
      </c>
      <c r="L194">
        <f t="shared" si="52"/>
        <v>-4.1359167259667151</v>
      </c>
      <c r="M194">
        <f t="shared" si="53"/>
        <v>1.1471118590402734</v>
      </c>
      <c r="N194">
        <f t="shared" si="62"/>
        <v>5.9940477634457974</v>
      </c>
      <c r="P194">
        <v>98.034790000000001</v>
      </c>
      <c r="Q194">
        <v>0.42956551348286137</v>
      </c>
      <c r="R194">
        <f t="shared" si="46"/>
        <v>42.112364905534484</v>
      </c>
      <c r="S194">
        <f t="shared" si="54"/>
        <v>-3.2458479564484444</v>
      </c>
      <c r="T194">
        <f t="shared" si="55"/>
        <v>2.0371806285585441</v>
      </c>
      <c r="U194">
        <f t="shared" si="63"/>
        <v>1.6380757518890903</v>
      </c>
      <c r="W194">
        <v>94.984560000000002</v>
      </c>
      <c r="X194">
        <v>1.6345893965469996E-2</v>
      </c>
      <c r="Y194">
        <f t="shared" si="47"/>
        <v>1.5526075461168227</v>
      </c>
      <c r="Z194">
        <f t="shared" si="56"/>
        <v>-0.56698592993040808</v>
      </c>
      <c r="AA194">
        <f t="shared" si="57"/>
        <v>4.7160426550765804</v>
      </c>
      <c r="AB194">
        <f t="shared" si="64"/>
        <v>3.186172068591298</v>
      </c>
      <c r="AD194">
        <v>91.044160000000005</v>
      </c>
      <c r="AE194">
        <v>0.35908537158887444</v>
      </c>
      <c r="AF194">
        <f t="shared" si="48"/>
        <v>32.69262602459694</v>
      </c>
      <c r="AG194">
        <f t="shared" si="58"/>
        <v>-8.5485150861938983</v>
      </c>
      <c r="AH194">
        <f t="shared" si="59"/>
        <v>3.2654865011869099</v>
      </c>
      <c r="AI194">
        <f t="shared" si="65"/>
        <v>1.2557646171540098</v>
      </c>
      <c r="AL194">
        <f t="shared" si="49"/>
        <v>93.846607805546668</v>
      </c>
      <c r="AM194">
        <f t="shared" si="60"/>
        <v>-5.2830285850069885</v>
      </c>
    </row>
    <row r="195" spans="1:39" x14ac:dyDescent="0.35">
      <c r="A195" s="2">
        <v>42370</v>
      </c>
      <c r="B195">
        <v>93.339160000000007</v>
      </c>
      <c r="C195">
        <v>7.6520747935071243E-2</v>
      </c>
      <c r="D195">
        <f t="shared" si="44"/>
        <v>7.1423823348312849</v>
      </c>
      <c r="E195">
        <f t="shared" si="50"/>
        <v>-1.4682669332487408</v>
      </c>
      <c r="F195">
        <f t="shared" si="51"/>
        <v>1.1618328929217991</v>
      </c>
      <c r="G195">
        <f t="shared" si="61"/>
        <v>4.4406626229909207E-2</v>
      </c>
      <c r="I195">
        <v>87.342960000000005</v>
      </c>
      <c r="J195">
        <v>0.11762679982002297</v>
      </c>
      <c r="K195">
        <f t="shared" si="45"/>
        <v>10.273872871608274</v>
      </c>
      <c r="L195">
        <f t="shared" si="52"/>
        <v>1.0990532268360553</v>
      </c>
      <c r="M195">
        <f t="shared" si="53"/>
        <v>3.7291530530065953</v>
      </c>
      <c r="N195">
        <f t="shared" si="62"/>
        <v>2.5820411939663219</v>
      </c>
      <c r="P195">
        <v>94.517110000000002</v>
      </c>
      <c r="Q195">
        <v>0.42691356591685808</v>
      </c>
      <c r="R195">
        <f t="shared" si="46"/>
        <v>40.350636470255928</v>
      </c>
      <c r="S195">
        <f t="shared" si="54"/>
        <v>-3.5881955783247932</v>
      </c>
      <c r="T195">
        <f t="shared" si="55"/>
        <v>0.95809575215425324</v>
      </c>
      <c r="U195">
        <f t="shared" si="63"/>
        <v>1.0790848764042908</v>
      </c>
      <c r="W195">
        <v>98.199709999999996</v>
      </c>
      <c r="X195">
        <v>1.6633151695190664E-2</v>
      </c>
      <c r="Y195">
        <f t="shared" si="47"/>
        <v>1.6333706728537316</v>
      </c>
      <c r="Z195">
        <f t="shared" si="56"/>
        <v>3.3849185593953335</v>
      </c>
      <c r="AA195">
        <f t="shared" si="57"/>
        <v>6.0150183855658739</v>
      </c>
      <c r="AB195">
        <f t="shared" si="64"/>
        <v>1.2989757304892935</v>
      </c>
      <c r="AD195">
        <v>88.262709999999998</v>
      </c>
      <c r="AE195">
        <v>0.36230573463285703</v>
      </c>
      <c r="AF195">
        <f t="shared" si="48"/>
        <v>31.978085987236817</v>
      </c>
      <c r="AG195">
        <f t="shared" si="58"/>
        <v>-3.0550559201161342</v>
      </c>
      <c r="AH195">
        <f t="shared" si="59"/>
        <v>0.4249560939455943</v>
      </c>
      <c r="AI195">
        <f t="shared" si="65"/>
        <v>2.8405304072413156</v>
      </c>
      <c r="AL195">
        <f t="shared" si="49"/>
        <v>91.378348336786033</v>
      </c>
      <c r="AM195">
        <f t="shared" si="60"/>
        <v>-2.6300998261705399</v>
      </c>
    </row>
    <row r="196" spans="1:39" x14ac:dyDescent="0.35">
      <c r="A196" s="2">
        <v>42401</v>
      </c>
      <c r="B196">
        <v>96.195059999999998</v>
      </c>
      <c r="C196">
        <v>7.6520747935071243E-2</v>
      </c>
      <c r="D196">
        <f t="shared" ref="D196:D259" si="66">B196*C196</f>
        <v>7.3609179388590542</v>
      </c>
      <c r="E196">
        <f t="shared" si="50"/>
        <v>3.0597018443277113</v>
      </c>
      <c r="F196">
        <f t="shared" si="51"/>
        <v>0.96661973965177506</v>
      </c>
      <c r="G196">
        <f t="shared" si="61"/>
        <v>0.19521315327002409</v>
      </c>
      <c r="I196">
        <v>94.15889</v>
      </c>
      <c r="J196">
        <v>0.11762679982002297</v>
      </c>
      <c r="K196">
        <f t="shared" ref="K196:K259" si="67">I196*J196</f>
        <v>11.075608905305563</v>
      </c>
      <c r="L196">
        <f t="shared" si="52"/>
        <v>7.8036398125275186</v>
      </c>
      <c r="M196">
        <f t="shared" si="53"/>
        <v>3.7773182285480322</v>
      </c>
      <c r="N196">
        <f t="shared" si="62"/>
        <v>4.8165175541436955E-2</v>
      </c>
      <c r="P196">
        <v>98.372550000000004</v>
      </c>
      <c r="Q196">
        <v>0.42691356591685808</v>
      </c>
      <c r="R196">
        <f t="shared" ref="R196:R259" si="68">P196*Q196</f>
        <v>41.996576108834418</v>
      </c>
      <c r="S196">
        <f t="shared" si="54"/>
        <v>4.0790921347468201</v>
      </c>
      <c r="T196">
        <f t="shared" si="55"/>
        <v>5.2770550767333724E-2</v>
      </c>
      <c r="U196">
        <f t="shared" si="63"/>
        <v>0.90532520138691952</v>
      </c>
      <c r="W196">
        <v>106.26349999999999</v>
      </c>
      <c r="X196">
        <v>1.6633151695190664E-2</v>
      </c>
      <c r="Y196">
        <f t="shared" ref="Y196:Y259" si="69">W196*X196</f>
        <v>1.7674969151618931</v>
      </c>
      <c r="Z196">
        <f t="shared" si="56"/>
        <v>8.2116230282146532</v>
      </c>
      <c r="AA196">
        <f t="shared" si="57"/>
        <v>4.1853014442351668</v>
      </c>
      <c r="AB196">
        <f t="shared" si="64"/>
        <v>1.8297169413307071</v>
      </c>
      <c r="AD196">
        <v>90.688419999999994</v>
      </c>
      <c r="AE196">
        <v>0.36230573463285703</v>
      </c>
      <c r="AF196">
        <f t="shared" ref="AF196:AF259" si="70">AD196*AE196</f>
        <v>32.856934630793084</v>
      </c>
      <c r="AG196">
        <f t="shared" si="58"/>
        <v>2.7482840714951884</v>
      </c>
      <c r="AH196">
        <f t="shared" si="59"/>
        <v>1.278037512484298</v>
      </c>
      <c r="AI196">
        <f t="shared" si="65"/>
        <v>0.85308141853870367</v>
      </c>
      <c r="AL196">
        <f t="shared" ref="AL196:AL259" si="71">AF196+Y196+R196+K196+D196</f>
        <v>95.057534498954013</v>
      </c>
      <c r="AM196">
        <f t="shared" si="60"/>
        <v>4.0263215839794864</v>
      </c>
    </row>
    <row r="197" spans="1:39" x14ac:dyDescent="0.35">
      <c r="A197" s="2">
        <v>42430</v>
      </c>
      <c r="B197">
        <v>100.61150000000001</v>
      </c>
      <c r="C197">
        <v>7.6520747935071243E-2</v>
      </c>
      <c r="D197">
        <f t="shared" si="66"/>
        <v>7.6988672308694213</v>
      </c>
      <c r="E197">
        <f t="shared" ref="E197:E260" si="72">((B197/B196)-1)*100</f>
        <v>4.5911297316099331</v>
      </c>
      <c r="F197">
        <f t="shared" ref="F197:F260" si="73">ABS(E197-AM197)</f>
        <v>1.7750964624372312</v>
      </c>
      <c r="G197">
        <f t="shared" si="61"/>
        <v>0.80847672278545613</v>
      </c>
      <c r="I197">
        <v>100.99420000000001</v>
      </c>
      <c r="J197">
        <v>0.11762679982002297</v>
      </c>
      <c r="K197">
        <f t="shared" si="67"/>
        <v>11.879624546383365</v>
      </c>
      <c r="L197">
        <f t="shared" ref="L197:L260" si="74">((I197/I196)-1)*100</f>
        <v>7.2593357886865606</v>
      </c>
      <c r="M197">
        <f t="shared" ref="M197:M260" si="75">ABS(L197-AM197)</f>
        <v>0.89310959463939632</v>
      </c>
      <c r="N197">
        <f t="shared" si="62"/>
        <v>2.8842086339086359</v>
      </c>
      <c r="P197">
        <v>102.7831</v>
      </c>
      <c r="Q197">
        <v>0.42691356591685808</v>
      </c>
      <c r="R197">
        <f t="shared" si="68"/>
        <v>43.879499736989018</v>
      </c>
      <c r="S197">
        <f t="shared" ref="S197:S260" si="76">((P197/P196)-1)*100</f>
        <v>4.4835169973737488</v>
      </c>
      <c r="T197">
        <f t="shared" ref="T197:T260" si="77">ABS(S197-AM197)</f>
        <v>1.8827091966734155</v>
      </c>
      <c r="U197">
        <f t="shared" si="63"/>
        <v>1.8299386459060818</v>
      </c>
      <c r="W197">
        <v>104.3668</v>
      </c>
      <c r="X197">
        <v>1.6633151695190664E-2</v>
      </c>
      <c r="Y197">
        <f t="shared" si="69"/>
        <v>1.735948816341625</v>
      </c>
      <c r="Z197">
        <f t="shared" ref="Z197:Z260" si="78">((W197/W196)-1)*100</f>
        <v>-1.7849026241371635</v>
      </c>
      <c r="AA197">
        <f t="shared" ref="AA197:AA260" si="79">ABS(Z197-AM197)</f>
        <v>8.1511288181843273</v>
      </c>
      <c r="AB197">
        <f t="shared" si="64"/>
        <v>3.9658273739491605</v>
      </c>
      <c r="AD197">
        <v>99.129459999999995</v>
      </c>
      <c r="AE197">
        <v>0.36230573463285703</v>
      </c>
      <c r="AF197">
        <f t="shared" si="70"/>
        <v>35.915171829058416</v>
      </c>
      <c r="AG197">
        <f t="shared" ref="AG197:AG260" si="80">((AD197/AD196)-1)*100</f>
        <v>9.3077374156479884</v>
      </c>
      <c r="AH197">
        <f t="shared" ref="AH197:AH260" si="81">ABS(AG197-AM197)</f>
        <v>2.9415112216008241</v>
      </c>
      <c r="AI197">
        <f t="shared" si="65"/>
        <v>1.6634737091165261</v>
      </c>
      <c r="AL197">
        <f t="shared" si="71"/>
        <v>101.10911215964185</v>
      </c>
      <c r="AM197">
        <f t="shared" ref="AM197:AM260" si="82">((AL197/AL196)-1)*100</f>
        <v>6.3662261940471643</v>
      </c>
    </row>
    <row r="198" spans="1:39" x14ac:dyDescent="0.35">
      <c r="A198" s="2">
        <v>42461</v>
      </c>
      <c r="B198">
        <v>102.9952</v>
      </c>
      <c r="C198">
        <v>7.6520747935071243E-2</v>
      </c>
      <c r="D198">
        <f t="shared" si="66"/>
        <v>7.8812697377222491</v>
      </c>
      <c r="E198">
        <f t="shared" si="72"/>
        <v>2.3692122669873639</v>
      </c>
      <c r="F198">
        <f t="shared" si="73"/>
        <v>0.6825541862346407</v>
      </c>
      <c r="G198">
        <f t="shared" ref="G198:G261" si="83">ABS(F198-F197)</f>
        <v>1.0925422762025905</v>
      </c>
      <c r="I198">
        <v>104.99039999999999</v>
      </c>
      <c r="J198">
        <v>0.11762679982002297</v>
      </c>
      <c r="K198">
        <f t="shared" si="67"/>
        <v>12.34968476382414</v>
      </c>
      <c r="L198">
        <f t="shared" si="74"/>
        <v>3.9568608890411472</v>
      </c>
      <c r="M198">
        <f t="shared" si="75"/>
        <v>0.90509443581914262</v>
      </c>
      <c r="N198">
        <f t="shared" ref="N198:N261" si="84">ABS(M198-M197)</f>
        <v>1.1984841179746297E-2</v>
      </c>
      <c r="P198">
        <v>103.51560000000001</v>
      </c>
      <c r="Q198">
        <v>0.42691356591685808</v>
      </c>
      <c r="R198">
        <f t="shared" si="68"/>
        <v>44.192213924023115</v>
      </c>
      <c r="S198">
        <f t="shared" si="76"/>
        <v>0.7126657981711082</v>
      </c>
      <c r="T198">
        <f t="shared" si="77"/>
        <v>2.3391006550508964</v>
      </c>
      <c r="U198">
        <f t="shared" ref="U198:U261" si="85">ABS(T198-T197)</f>
        <v>0.45639145837748085</v>
      </c>
      <c r="W198">
        <v>107.9778</v>
      </c>
      <c r="X198">
        <v>1.6633151695190664E-2</v>
      </c>
      <c r="Y198">
        <f t="shared" si="69"/>
        <v>1.7960111271129586</v>
      </c>
      <c r="Z198">
        <f t="shared" si="78"/>
        <v>3.4599125392366092</v>
      </c>
      <c r="AA198">
        <f t="shared" si="79"/>
        <v>0.40814608601460467</v>
      </c>
      <c r="AB198">
        <f t="shared" ref="AB198:AB261" si="86">ABS(AA198-AA197)</f>
        <v>7.7429827321697227</v>
      </c>
      <c r="AD198">
        <v>104.8163</v>
      </c>
      <c r="AE198">
        <v>0.36230573463285703</v>
      </c>
      <c r="AF198">
        <f t="shared" si="70"/>
        <v>37.975546572997935</v>
      </c>
      <c r="AG198">
        <f t="shared" si="80"/>
        <v>5.7367809730830777</v>
      </c>
      <c r="AH198">
        <f t="shared" si="81"/>
        <v>2.6850145198610731</v>
      </c>
      <c r="AI198">
        <f t="shared" ref="AI198:AI261" si="87">ABS(AH198-AH197)</f>
        <v>0.25649670173975103</v>
      </c>
      <c r="AL198">
        <f t="shared" si="71"/>
        <v>104.1947261256804</v>
      </c>
      <c r="AM198">
        <f t="shared" si="82"/>
        <v>3.0517664532220046</v>
      </c>
    </row>
    <row r="199" spans="1:39" x14ac:dyDescent="0.35">
      <c r="A199" s="2">
        <v>42491</v>
      </c>
      <c r="B199">
        <v>103.86839999999999</v>
      </c>
      <c r="C199">
        <v>7.6520747935071243E-2</v>
      </c>
      <c r="D199">
        <f t="shared" si="66"/>
        <v>7.9480876548191537</v>
      </c>
      <c r="E199">
        <f t="shared" si="72"/>
        <v>0.84780649972038269</v>
      </c>
      <c r="F199">
        <f t="shared" si="73"/>
        <v>3.5186276425281382</v>
      </c>
      <c r="G199">
        <f t="shared" si="83"/>
        <v>2.8360734562934975</v>
      </c>
      <c r="I199">
        <v>102.7542</v>
      </c>
      <c r="J199">
        <v>0.11762679982002297</v>
      </c>
      <c r="K199">
        <f t="shared" si="67"/>
        <v>12.086647714066604</v>
      </c>
      <c r="L199">
        <f t="shared" si="74"/>
        <v>-2.1299090202532733</v>
      </c>
      <c r="M199">
        <f t="shared" si="75"/>
        <v>0.54091212255448218</v>
      </c>
      <c r="N199">
        <f t="shared" si="84"/>
        <v>0.36418231326466044</v>
      </c>
      <c r="P199">
        <v>103.7749</v>
      </c>
      <c r="Q199">
        <v>0.42691356591685808</v>
      </c>
      <c r="R199">
        <f t="shared" si="68"/>
        <v>44.302912611665356</v>
      </c>
      <c r="S199">
        <f t="shared" si="76"/>
        <v>0.25049364540223884</v>
      </c>
      <c r="T199">
        <f t="shared" si="77"/>
        <v>2.9213147882099944</v>
      </c>
      <c r="U199">
        <f t="shared" si="85"/>
        <v>0.58221413315909798</v>
      </c>
      <c r="W199">
        <v>109.88500000000001</v>
      </c>
      <c r="X199">
        <v>1.6633151695190664E-2</v>
      </c>
      <c r="Y199">
        <f t="shared" si="69"/>
        <v>1.8277338740260263</v>
      </c>
      <c r="Z199">
        <f t="shared" si="78"/>
        <v>1.7662889964418671</v>
      </c>
      <c r="AA199">
        <f t="shared" si="79"/>
        <v>4.4371101392496222</v>
      </c>
      <c r="AB199">
        <f t="shared" si="86"/>
        <v>4.0289640532350175</v>
      </c>
      <c r="AD199">
        <v>97.283829999999995</v>
      </c>
      <c r="AE199">
        <v>0.36230573463285703</v>
      </c>
      <c r="AF199">
        <f t="shared" si="70"/>
        <v>35.246489496047971</v>
      </c>
      <c r="AG199">
        <f t="shared" si="80"/>
        <v>-7.1863536491938778</v>
      </c>
      <c r="AH199">
        <f t="shared" si="81"/>
        <v>4.5155325063861227</v>
      </c>
      <c r="AI199">
        <f t="shared" si="87"/>
        <v>1.8305179865250496</v>
      </c>
      <c r="AL199">
        <f t="shared" si="71"/>
        <v>101.41187135062509</v>
      </c>
      <c r="AM199">
        <f t="shared" si="82"/>
        <v>-2.6708211428077555</v>
      </c>
    </row>
    <row r="200" spans="1:39" x14ac:dyDescent="0.35">
      <c r="A200" s="2">
        <v>42522</v>
      </c>
      <c r="B200">
        <v>104.05759999999999</v>
      </c>
      <c r="C200">
        <v>7.6520747935071243E-2</v>
      </c>
      <c r="D200">
        <f t="shared" si="66"/>
        <v>7.9625653803284688</v>
      </c>
      <c r="E200">
        <f t="shared" si="72"/>
        <v>0.18215357124977682</v>
      </c>
      <c r="F200">
        <f t="shared" si="73"/>
        <v>1.0446915121933631</v>
      </c>
      <c r="G200">
        <f t="shared" si="83"/>
        <v>2.4739361303347751</v>
      </c>
      <c r="I200">
        <v>102.11239999999999</v>
      </c>
      <c r="J200">
        <v>0.11762679982002297</v>
      </c>
      <c r="K200">
        <f t="shared" si="67"/>
        <v>12.011154833942113</v>
      </c>
      <c r="L200">
        <f t="shared" si="74"/>
        <v>-0.6245973400600735</v>
      </c>
      <c r="M200">
        <f t="shared" si="75"/>
        <v>0.23794060088351277</v>
      </c>
      <c r="N200">
        <f t="shared" si="84"/>
        <v>0.30297152167096941</v>
      </c>
      <c r="P200">
        <v>103.54040000000001</v>
      </c>
      <c r="Q200">
        <v>0.42691356591685808</v>
      </c>
      <c r="R200">
        <f t="shared" si="68"/>
        <v>44.202801380457856</v>
      </c>
      <c r="S200">
        <f t="shared" si="76"/>
        <v>-0.22596986361826943</v>
      </c>
      <c r="T200">
        <f t="shared" si="77"/>
        <v>0.63656807732531684</v>
      </c>
      <c r="U200">
        <f t="shared" si="85"/>
        <v>2.2847467108846775</v>
      </c>
      <c r="W200">
        <v>110.1009</v>
      </c>
      <c r="X200">
        <v>1.6633151695190664E-2</v>
      </c>
      <c r="Y200">
        <f t="shared" si="69"/>
        <v>1.8313249714770177</v>
      </c>
      <c r="Z200">
        <f t="shared" si="78"/>
        <v>0.19647813623333565</v>
      </c>
      <c r="AA200">
        <f t="shared" si="79"/>
        <v>1.0590160771769219</v>
      </c>
      <c r="AB200">
        <f t="shared" si="86"/>
        <v>3.3780940620727002</v>
      </c>
      <c r="AD200">
        <v>95.304339999999996</v>
      </c>
      <c r="AE200">
        <v>0.36230573463285703</v>
      </c>
      <c r="AF200">
        <f t="shared" si="70"/>
        <v>34.529308917399582</v>
      </c>
      <c r="AG200">
        <f t="shared" si="80"/>
        <v>-2.0347574720279815</v>
      </c>
      <c r="AH200">
        <f t="shared" si="81"/>
        <v>1.1722195310843952</v>
      </c>
      <c r="AI200">
        <f t="shared" si="87"/>
        <v>3.3433129753017274</v>
      </c>
      <c r="AL200">
        <f t="shared" si="71"/>
        <v>100.53715548360505</v>
      </c>
      <c r="AM200">
        <f t="shared" si="82"/>
        <v>-0.86253794094358627</v>
      </c>
    </row>
    <row r="201" spans="1:39" x14ac:dyDescent="0.35">
      <c r="A201" s="2">
        <v>42552</v>
      </c>
      <c r="B201">
        <v>106.95740000000001</v>
      </c>
      <c r="C201">
        <v>7.6520747935071243E-2</v>
      </c>
      <c r="D201">
        <f t="shared" si="66"/>
        <v>8.1844602451905892</v>
      </c>
      <c r="E201">
        <f t="shared" si="72"/>
        <v>2.786725813395674</v>
      </c>
      <c r="F201">
        <f t="shared" si="73"/>
        <v>1.3022316386210209</v>
      </c>
      <c r="G201">
        <f t="shared" si="83"/>
        <v>0.25754012642765778</v>
      </c>
      <c r="I201">
        <v>102.5483</v>
      </c>
      <c r="J201">
        <v>0.11762679982002297</v>
      </c>
      <c r="K201">
        <f t="shared" si="67"/>
        <v>12.062428355983661</v>
      </c>
      <c r="L201">
        <f t="shared" si="74"/>
        <v>0.42688253336520265</v>
      </c>
      <c r="M201">
        <f t="shared" si="75"/>
        <v>1.0576116414094505</v>
      </c>
      <c r="N201">
        <f t="shared" si="84"/>
        <v>0.81967104052593776</v>
      </c>
      <c r="P201">
        <v>106.0504</v>
      </c>
      <c r="Q201">
        <v>0.42691356591685808</v>
      </c>
      <c r="R201">
        <f t="shared" si="68"/>
        <v>45.274354430909163</v>
      </c>
      <c r="S201">
        <f t="shared" si="76"/>
        <v>2.4241745251128988</v>
      </c>
      <c r="T201">
        <f t="shared" si="77"/>
        <v>0.9396803503382456</v>
      </c>
      <c r="U201">
        <f t="shared" si="85"/>
        <v>0.30311227301292876</v>
      </c>
      <c r="W201">
        <v>110.07380000000001</v>
      </c>
      <c r="X201">
        <v>1.6633151695190664E-2</v>
      </c>
      <c r="Y201">
        <f t="shared" si="69"/>
        <v>1.8308742130660782</v>
      </c>
      <c r="Z201">
        <f t="shared" si="78"/>
        <v>-2.4613786081661981E-2</v>
      </c>
      <c r="AA201">
        <f t="shared" si="79"/>
        <v>1.5091079608563152</v>
      </c>
      <c r="AB201">
        <f t="shared" si="86"/>
        <v>0.45009188367939323</v>
      </c>
      <c r="AD201">
        <v>95.713380000000001</v>
      </c>
      <c r="AE201">
        <v>0.36230573463285703</v>
      </c>
      <c r="AF201">
        <f t="shared" si="70"/>
        <v>34.677506455093805</v>
      </c>
      <c r="AG201">
        <f t="shared" si="80"/>
        <v>0.42919346590093443</v>
      </c>
      <c r="AH201">
        <f t="shared" si="81"/>
        <v>1.0553007088737187</v>
      </c>
      <c r="AI201">
        <f t="shared" si="87"/>
        <v>0.11691882221067651</v>
      </c>
      <c r="AL201">
        <f t="shared" si="71"/>
        <v>102.02962370024329</v>
      </c>
      <c r="AM201">
        <f t="shared" si="82"/>
        <v>1.4844941747746532</v>
      </c>
    </row>
    <row r="202" spans="1:39" x14ac:dyDescent="0.35">
      <c r="A202" s="2">
        <v>42583</v>
      </c>
      <c r="B202">
        <v>108.66840000000001</v>
      </c>
      <c r="C202">
        <v>7.6520747935071243E-2</v>
      </c>
      <c r="D202">
        <f t="shared" si="66"/>
        <v>8.3153872449074964</v>
      </c>
      <c r="E202">
        <f t="shared" si="72"/>
        <v>1.5997023113875297</v>
      </c>
      <c r="F202">
        <f t="shared" si="73"/>
        <v>0.16349396711901054</v>
      </c>
      <c r="G202">
        <f t="shared" si="83"/>
        <v>1.1387376715020103</v>
      </c>
      <c r="I202">
        <v>104.12090000000001</v>
      </c>
      <c r="J202">
        <v>0.11762679982002297</v>
      </c>
      <c r="K202">
        <f t="shared" si="67"/>
        <v>12.247408261380631</v>
      </c>
      <c r="L202">
        <f t="shared" si="74"/>
        <v>1.5335212772908058</v>
      </c>
      <c r="M202">
        <f t="shared" si="75"/>
        <v>9.7312933022286607E-2</v>
      </c>
      <c r="N202">
        <f t="shared" si="84"/>
        <v>0.96029870838716391</v>
      </c>
      <c r="P202">
        <v>108.7109</v>
      </c>
      <c r="Q202">
        <v>0.42691356591685808</v>
      </c>
      <c r="R202">
        <f t="shared" si="68"/>
        <v>46.410157973030962</v>
      </c>
      <c r="S202">
        <f t="shared" si="76"/>
        <v>2.5087128384239987</v>
      </c>
      <c r="T202">
        <f t="shared" si="77"/>
        <v>1.0725044941554795</v>
      </c>
      <c r="U202">
        <f t="shared" si="85"/>
        <v>0.13282414381723395</v>
      </c>
      <c r="W202">
        <v>112.4062</v>
      </c>
      <c r="X202">
        <v>1.6633151695190664E-2</v>
      </c>
      <c r="Y202">
        <f t="shared" si="69"/>
        <v>1.8696693760799408</v>
      </c>
      <c r="Z202">
        <f t="shared" si="78"/>
        <v>2.1189420189000385</v>
      </c>
      <c r="AA202">
        <f t="shared" si="79"/>
        <v>0.68273367463151935</v>
      </c>
      <c r="AB202">
        <f t="shared" si="86"/>
        <v>0.82637428622479581</v>
      </c>
      <c r="AD202">
        <v>95.643969999999996</v>
      </c>
      <c r="AE202">
        <v>0.36230573463285703</v>
      </c>
      <c r="AF202">
        <f t="shared" si="70"/>
        <v>34.652358814052938</v>
      </c>
      <c r="AG202">
        <f t="shared" si="80"/>
        <v>-7.2518596668513791E-2</v>
      </c>
      <c r="AH202">
        <f t="shared" si="81"/>
        <v>1.508726940937033</v>
      </c>
      <c r="AI202">
        <f t="shared" si="87"/>
        <v>0.45342623206331423</v>
      </c>
      <c r="AL202">
        <f t="shared" si="71"/>
        <v>103.49498166945196</v>
      </c>
      <c r="AM202">
        <f t="shared" si="82"/>
        <v>1.4362083442685192</v>
      </c>
    </row>
    <row r="203" spans="1:39" x14ac:dyDescent="0.35">
      <c r="A203" s="2">
        <v>42614</v>
      </c>
      <c r="B203">
        <v>107.74339999999999</v>
      </c>
      <c r="C203">
        <v>7.6520747935071243E-2</v>
      </c>
      <c r="D203">
        <f t="shared" si="66"/>
        <v>8.2446055530675544</v>
      </c>
      <c r="E203">
        <f t="shared" si="72"/>
        <v>-0.85121341622772517</v>
      </c>
      <c r="F203">
        <f t="shared" si="73"/>
        <v>0.71784327913417822</v>
      </c>
      <c r="G203">
        <f t="shared" si="83"/>
        <v>0.55434931201516768</v>
      </c>
      <c r="I203">
        <v>106.40689999999999</v>
      </c>
      <c r="J203">
        <v>0.11762679982002297</v>
      </c>
      <c r="K203">
        <f t="shared" si="67"/>
        <v>12.516303125769202</v>
      </c>
      <c r="L203">
        <f t="shared" si="74"/>
        <v>2.1955246256995409</v>
      </c>
      <c r="M203">
        <f t="shared" si="75"/>
        <v>2.3288947627930878</v>
      </c>
      <c r="N203">
        <f t="shared" si="84"/>
        <v>2.2315818297708012</v>
      </c>
      <c r="P203">
        <v>107.2218</v>
      </c>
      <c r="Q203">
        <v>0.42691356591685808</v>
      </c>
      <c r="R203">
        <f t="shared" si="68"/>
        <v>45.774440982024174</v>
      </c>
      <c r="S203">
        <f t="shared" si="76"/>
        <v>-1.3697798472830147</v>
      </c>
      <c r="T203">
        <f t="shared" si="77"/>
        <v>1.2364097101894678</v>
      </c>
      <c r="U203">
        <f t="shared" si="85"/>
        <v>0.16390521603398822</v>
      </c>
      <c r="W203">
        <v>123.91</v>
      </c>
      <c r="X203">
        <v>1.6633151695190664E-2</v>
      </c>
      <c r="Y203">
        <f t="shared" si="69"/>
        <v>2.0610138265510751</v>
      </c>
      <c r="Z203">
        <f t="shared" si="78"/>
        <v>10.234132992664113</v>
      </c>
      <c r="AA203">
        <f t="shared" si="79"/>
        <v>10.36750312975766</v>
      </c>
      <c r="AB203">
        <f t="shared" si="86"/>
        <v>9.6847694551261405</v>
      </c>
      <c r="AD203">
        <v>95.942689999999999</v>
      </c>
      <c r="AE203">
        <v>0.36230573463285703</v>
      </c>
      <c r="AF203">
        <f t="shared" si="70"/>
        <v>34.760586783102468</v>
      </c>
      <c r="AG203">
        <f t="shared" si="80"/>
        <v>0.31232496936295373</v>
      </c>
      <c r="AH203">
        <f t="shared" si="81"/>
        <v>0.44569510645650068</v>
      </c>
      <c r="AI203">
        <f t="shared" si="87"/>
        <v>1.0630318344805323</v>
      </c>
      <c r="AL203">
        <f t="shared" si="71"/>
        <v>103.35695027051447</v>
      </c>
      <c r="AM203">
        <f t="shared" si="82"/>
        <v>-0.13337013709354695</v>
      </c>
    </row>
    <row r="204" spans="1:39" x14ac:dyDescent="0.35">
      <c r="A204" s="2">
        <v>42644</v>
      </c>
      <c r="B204">
        <v>110.7649</v>
      </c>
      <c r="C204">
        <v>7.6520747935071243E-2</v>
      </c>
      <c r="D204">
        <f t="shared" si="66"/>
        <v>8.4758129929533723</v>
      </c>
      <c r="E204">
        <f t="shared" si="72"/>
        <v>2.8043481085616495</v>
      </c>
      <c r="F204">
        <f t="shared" si="73"/>
        <v>1.2235240039460082</v>
      </c>
      <c r="G204">
        <f t="shared" si="83"/>
        <v>0.50568072481183002</v>
      </c>
      <c r="I204">
        <v>105.152</v>
      </c>
      <c r="J204">
        <v>0.11762679982002297</v>
      </c>
      <c r="K204">
        <f t="shared" si="67"/>
        <v>12.368693254675055</v>
      </c>
      <c r="L204">
        <f t="shared" si="74"/>
        <v>-1.1793408134246897</v>
      </c>
      <c r="M204">
        <f t="shared" si="75"/>
        <v>2.7601649180403309</v>
      </c>
      <c r="N204">
        <f t="shared" si="84"/>
        <v>0.4312701552472431</v>
      </c>
      <c r="P204">
        <v>109.3785</v>
      </c>
      <c r="Q204">
        <v>0.42691356591685808</v>
      </c>
      <c r="R204">
        <f t="shared" si="68"/>
        <v>46.695165469637061</v>
      </c>
      <c r="S204">
        <f t="shared" si="76"/>
        <v>2.0114379725018505</v>
      </c>
      <c r="T204">
        <f t="shared" si="77"/>
        <v>0.43061386788620926</v>
      </c>
      <c r="U204">
        <f t="shared" si="85"/>
        <v>0.80579584230325851</v>
      </c>
      <c r="W204">
        <v>139.5401</v>
      </c>
      <c r="X204">
        <v>1.6633151695190664E-2</v>
      </c>
      <c r="Y204">
        <f t="shared" si="69"/>
        <v>2.3209916508620747</v>
      </c>
      <c r="Z204">
        <f t="shared" si="78"/>
        <v>12.614074731660075</v>
      </c>
      <c r="AA204">
        <f t="shared" si="79"/>
        <v>11.033250627044435</v>
      </c>
      <c r="AB204">
        <f t="shared" si="86"/>
        <v>0.66574749728677496</v>
      </c>
      <c r="AD204">
        <v>96.962800000000001</v>
      </c>
      <c r="AE204">
        <v>0.36230573463285703</v>
      </c>
      <c r="AF204">
        <f t="shared" si="70"/>
        <v>35.130178486058789</v>
      </c>
      <c r="AG204">
        <f t="shared" si="80"/>
        <v>1.0632493210269711</v>
      </c>
      <c r="AH204">
        <f t="shared" si="81"/>
        <v>0.51757478358867015</v>
      </c>
      <c r="AI204">
        <f t="shared" si="87"/>
        <v>7.1879677132169473E-2</v>
      </c>
      <c r="AL204">
        <f t="shared" si="71"/>
        <v>104.99084185418636</v>
      </c>
      <c r="AM204">
        <f t="shared" si="82"/>
        <v>1.5808241046156413</v>
      </c>
    </row>
    <row r="205" spans="1:39" x14ac:dyDescent="0.35">
      <c r="A205" s="2">
        <v>42675</v>
      </c>
      <c r="B205">
        <v>111.7349</v>
      </c>
      <c r="C205">
        <v>7.6520747935071243E-2</v>
      </c>
      <c r="D205">
        <f t="shared" si="66"/>
        <v>8.5500381184503915</v>
      </c>
      <c r="E205">
        <f t="shared" si="72"/>
        <v>0.87572868300336282</v>
      </c>
      <c r="F205">
        <f t="shared" si="73"/>
        <v>4.399106467247849</v>
      </c>
      <c r="G205">
        <f t="shared" si="83"/>
        <v>3.1755824633018408</v>
      </c>
      <c r="I205">
        <v>102.41070000000001</v>
      </c>
      <c r="J205">
        <v>0.11762679982002297</v>
      </c>
      <c r="K205">
        <f t="shared" si="67"/>
        <v>12.046242908328427</v>
      </c>
      <c r="L205">
        <f t="shared" si="74"/>
        <v>-2.6069879793061412</v>
      </c>
      <c r="M205">
        <f t="shared" si="75"/>
        <v>0.91638980493834454</v>
      </c>
      <c r="N205">
        <f t="shared" si="84"/>
        <v>1.8437751131019864</v>
      </c>
      <c r="P205">
        <v>104.36239999999999</v>
      </c>
      <c r="Q205">
        <v>0.42691356591685808</v>
      </c>
      <c r="R205">
        <f t="shared" si="68"/>
        <v>44.553724331641504</v>
      </c>
      <c r="S205">
        <f t="shared" si="76"/>
        <v>-4.586001819370356</v>
      </c>
      <c r="T205">
        <f t="shared" si="77"/>
        <v>1.0626240351258702</v>
      </c>
      <c r="U205">
        <f t="shared" si="85"/>
        <v>0.63201016723966097</v>
      </c>
      <c r="W205">
        <v>137.40479999999999</v>
      </c>
      <c r="X205">
        <v>1.6633151695190664E-2</v>
      </c>
      <c r="Y205">
        <f t="shared" si="69"/>
        <v>2.2854748820473341</v>
      </c>
      <c r="Z205">
        <f t="shared" si="78"/>
        <v>-1.5302411278191763</v>
      </c>
      <c r="AA205">
        <f t="shared" si="79"/>
        <v>1.9931366564253095</v>
      </c>
      <c r="AB205">
        <f t="shared" si="86"/>
        <v>9.0401139706191245</v>
      </c>
      <c r="AD205">
        <v>93.44632</v>
      </c>
      <c r="AE205">
        <v>0.36230573463285703</v>
      </c>
      <c r="AF205">
        <f t="shared" si="70"/>
        <v>33.856137616337044</v>
      </c>
      <c r="AG205">
        <f t="shared" si="80"/>
        <v>-3.6266279439125082</v>
      </c>
      <c r="AH205">
        <f t="shared" si="81"/>
        <v>0.10325015966802242</v>
      </c>
      <c r="AI205">
        <f t="shared" si="87"/>
        <v>0.41432462392064773</v>
      </c>
      <c r="AL205">
        <f t="shared" si="71"/>
        <v>101.29161785680469</v>
      </c>
      <c r="AM205">
        <f t="shared" si="82"/>
        <v>-3.5233777842444858</v>
      </c>
    </row>
    <row r="206" spans="1:39" x14ac:dyDescent="0.35">
      <c r="A206" s="2">
        <v>42705</v>
      </c>
      <c r="B206">
        <v>110.7932</v>
      </c>
      <c r="C206">
        <v>7.6520747935071243E-2</v>
      </c>
      <c r="D206">
        <f t="shared" si="66"/>
        <v>8.4779785301199357</v>
      </c>
      <c r="E206">
        <f t="shared" si="72"/>
        <v>-0.84279844524852709</v>
      </c>
      <c r="F206">
        <f t="shared" si="73"/>
        <v>1.0770676543514046</v>
      </c>
      <c r="G206">
        <f t="shared" si="83"/>
        <v>3.3220388128964444</v>
      </c>
      <c r="I206">
        <v>103.4387</v>
      </c>
      <c r="J206">
        <v>0.11762679982002297</v>
      </c>
      <c r="K206">
        <f t="shared" si="67"/>
        <v>12.167163258543409</v>
      </c>
      <c r="L206">
        <f t="shared" si="74"/>
        <v>1.0038013606000096</v>
      </c>
      <c r="M206">
        <f t="shared" si="75"/>
        <v>0.76953215149713206</v>
      </c>
      <c r="N206">
        <f t="shared" si="84"/>
        <v>0.14685765344121249</v>
      </c>
      <c r="P206">
        <v>103.735</v>
      </c>
      <c r="Q206">
        <v>0.42691356591685808</v>
      </c>
      <c r="R206">
        <f t="shared" si="68"/>
        <v>44.285878760385273</v>
      </c>
      <c r="S206">
        <f t="shared" si="76"/>
        <v>-0.60117436931308443</v>
      </c>
      <c r="T206">
        <f t="shared" si="77"/>
        <v>0.83544357841596195</v>
      </c>
      <c r="U206">
        <f t="shared" si="85"/>
        <v>0.22718045670990827</v>
      </c>
      <c r="W206">
        <v>135.81270000000001</v>
      </c>
      <c r="X206">
        <v>1.6633151695190664E-2</v>
      </c>
      <c r="Y206">
        <f t="shared" si="69"/>
        <v>2.258993241233421</v>
      </c>
      <c r="Z206">
        <f t="shared" si="78"/>
        <v>-1.1586931460909611</v>
      </c>
      <c r="AA206">
        <f t="shared" si="79"/>
        <v>1.3929623551938386</v>
      </c>
      <c r="AB206">
        <f t="shared" si="86"/>
        <v>0.60017430123147086</v>
      </c>
      <c r="AD206">
        <v>94.778790000000001</v>
      </c>
      <c r="AE206">
        <v>0.36230573463285703</v>
      </c>
      <c r="AF206">
        <f t="shared" si="70"/>
        <v>34.338899138563285</v>
      </c>
      <c r="AG206">
        <f t="shared" si="80"/>
        <v>1.4259202502570512</v>
      </c>
      <c r="AH206">
        <f t="shared" si="81"/>
        <v>1.1916510411541736</v>
      </c>
      <c r="AI206">
        <f t="shared" si="87"/>
        <v>1.0884008814861512</v>
      </c>
      <c r="AL206">
        <f t="shared" si="71"/>
        <v>101.52891292884533</v>
      </c>
      <c r="AM206">
        <f t="shared" si="82"/>
        <v>0.23426920910287752</v>
      </c>
    </row>
    <row r="207" spans="1:39" x14ac:dyDescent="0.35">
      <c r="A207" s="2">
        <v>42736</v>
      </c>
      <c r="B207">
        <v>111.7623</v>
      </c>
      <c r="C207">
        <v>7.4684300282921029E-2</v>
      </c>
      <c r="D207">
        <f t="shared" si="66"/>
        <v>8.3468891735099042</v>
      </c>
      <c r="E207">
        <f t="shared" si="72"/>
        <v>0.87469267066930811</v>
      </c>
      <c r="F207">
        <f t="shared" si="73"/>
        <v>2.4218825304380021</v>
      </c>
      <c r="G207">
        <f t="shared" si="83"/>
        <v>1.3448148760865974</v>
      </c>
      <c r="I207">
        <v>106.0565</v>
      </c>
      <c r="J207">
        <v>0.11480572037652333</v>
      </c>
      <c r="K207">
        <f t="shared" si="67"/>
        <v>12.175892883112747</v>
      </c>
      <c r="L207">
        <f t="shared" si="74"/>
        <v>2.5307742653378318</v>
      </c>
      <c r="M207">
        <f t="shared" si="75"/>
        <v>0.76580093576947839</v>
      </c>
      <c r="N207">
        <f t="shared" si="84"/>
        <v>3.7312157276536695E-3</v>
      </c>
      <c r="P207">
        <v>106.0573</v>
      </c>
      <c r="Q207">
        <v>0.41878104242512987</v>
      </c>
      <c r="R207">
        <f t="shared" si="68"/>
        <v>44.414786650794724</v>
      </c>
      <c r="S207">
        <f t="shared" si="76"/>
        <v>2.2386851111003914</v>
      </c>
      <c r="T207">
        <f t="shared" si="77"/>
        <v>1.0578900900069188</v>
      </c>
      <c r="U207">
        <f t="shared" si="85"/>
        <v>0.22244651159095685</v>
      </c>
      <c r="W207">
        <v>137.30779999999999</v>
      </c>
      <c r="X207">
        <v>1.6682429885176164E-2</v>
      </c>
      <c r="Y207">
        <f t="shared" si="69"/>
        <v>2.2906277461877913</v>
      </c>
      <c r="Z207">
        <f t="shared" si="78"/>
        <v>1.1008543383645097</v>
      </c>
      <c r="AA207">
        <f t="shared" si="79"/>
        <v>2.1957208627428004</v>
      </c>
      <c r="AB207">
        <f t="shared" si="86"/>
        <v>0.80275850754896183</v>
      </c>
      <c r="AD207">
        <v>100.3814</v>
      </c>
      <c r="AE207">
        <v>0.37504650703024961</v>
      </c>
      <c r="AF207">
        <f t="shared" si="70"/>
        <v>37.6476934408063</v>
      </c>
      <c r="AG207">
        <f t="shared" si="80"/>
        <v>5.911248708703698</v>
      </c>
      <c r="AH207">
        <f t="shared" si="81"/>
        <v>2.6146735075963878</v>
      </c>
      <c r="AI207">
        <f t="shared" si="87"/>
        <v>1.4230224664422142</v>
      </c>
      <c r="AL207">
        <f t="shared" si="71"/>
        <v>104.87588989441147</v>
      </c>
      <c r="AM207">
        <f t="shared" si="82"/>
        <v>3.2965752011073102</v>
      </c>
    </row>
    <row r="208" spans="1:39" x14ac:dyDescent="0.35">
      <c r="A208" s="2">
        <v>42767</v>
      </c>
      <c r="B208">
        <v>114.4074</v>
      </c>
      <c r="C208">
        <v>7.4684300282921029E-2</v>
      </c>
      <c r="D208">
        <f t="shared" si="66"/>
        <v>8.5444366161882588</v>
      </c>
      <c r="E208">
        <f t="shared" si="72"/>
        <v>2.3667193678011289</v>
      </c>
      <c r="F208">
        <f t="shared" si="73"/>
        <v>1.4370718447971553</v>
      </c>
      <c r="G208">
        <f t="shared" si="83"/>
        <v>0.98481068564084673</v>
      </c>
      <c r="I208">
        <v>104.5265</v>
      </c>
      <c r="J208">
        <v>0.11480572037652333</v>
      </c>
      <c r="K208">
        <f t="shared" si="67"/>
        <v>12.000240130936666</v>
      </c>
      <c r="L208">
        <f t="shared" si="74"/>
        <v>-1.442627278856079</v>
      </c>
      <c r="M208">
        <f t="shared" si="75"/>
        <v>5.2464184914543637</v>
      </c>
      <c r="N208">
        <f t="shared" si="84"/>
        <v>4.4806175556848853</v>
      </c>
      <c r="P208">
        <v>107.5598</v>
      </c>
      <c r="Q208">
        <v>0.41878104242512987</v>
      </c>
      <c r="R208">
        <f t="shared" si="68"/>
        <v>45.044005167038485</v>
      </c>
      <c r="S208">
        <f t="shared" si="76"/>
        <v>1.4166870173010215</v>
      </c>
      <c r="T208">
        <f t="shared" si="77"/>
        <v>2.3871041952972627</v>
      </c>
      <c r="U208">
        <f t="shared" si="85"/>
        <v>1.3292141052903439</v>
      </c>
      <c r="W208">
        <v>138.72460000000001</v>
      </c>
      <c r="X208">
        <v>1.6682429885176164E-2</v>
      </c>
      <c r="Y208">
        <f t="shared" si="69"/>
        <v>2.3142634128491095</v>
      </c>
      <c r="Z208">
        <f t="shared" si="78"/>
        <v>1.0318423279668254</v>
      </c>
      <c r="AA208">
        <f t="shared" si="79"/>
        <v>2.7719488846314588</v>
      </c>
      <c r="AB208">
        <f t="shared" si="86"/>
        <v>0.5762280218886584</v>
      </c>
      <c r="AD208">
        <v>109.21899999999999</v>
      </c>
      <c r="AE208">
        <v>0.37504650703024961</v>
      </c>
      <c r="AF208">
        <f t="shared" si="70"/>
        <v>40.962204451336831</v>
      </c>
      <c r="AG208">
        <f t="shared" si="80"/>
        <v>8.8040214621433854</v>
      </c>
      <c r="AH208">
        <f t="shared" si="81"/>
        <v>5.0002302495451012</v>
      </c>
      <c r="AI208">
        <f t="shared" si="87"/>
        <v>2.3855567419487134</v>
      </c>
      <c r="AL208">
        <f t="shared" si="71"/>
        <v>108.86514977834935</v>
      </c>
      <c r="AM208">
        <f t="shared" si="82"/>
        <v>3.8037912125982842</v>
      </c>
    </row>
    <row r="209" spans="1:39" x14ac:dyDescent="0.35">
      <c r="A209" s="2">
        <v>42795</v>
      </c>
      <c r="B209">
        <v>122.66800000000001</v>
      </c>
      <c r="C209">
        <v>7.4684300282921029E-2</v>
      </c>
      <c r="D209">
        <f t="shared" si="66"/>
        <v>9.1613737471053565</v>
      </c>
      <c r="E209">
        <f t="shared" si="72"/>
        <v>7.220337146023792</v>
      </c>
      <c r="F209">
        <f t="shared" si="73"/>
        <v>5.1976917935505185</v>
      </c>
      <c r="G209">
        <f t="shared" si="83"/>
        <v>3.7606199487533631</v>
      </c>
      <c r="I209">
        <v>104.3377</v>
      </c>
      <c r="J209">
        <v>0.11480572037652333</v>
      </c>
      <c r="K209">
        <f t="shared" si="67"/>
        <v>11.978564810929578</v>
      </c>
      <c r="L209">
        <f t="shared" si="74"/>
        <v>-0.18062405227382561</v>
      </c>
      <c r="M209">
        <f t="shared" si="75"/>
        <v>2.2032694047470991</v>
      </c>
      <c r="N209">
        <f t="shared" si="84"/>
        <v>3.0431490867072646</v>
      </c>
      <c r="P209">
        <v>109.5699</v>
      </c>
      <c r="Q209">
        <v>0.41878104242512987</v>
      </c>
      <c r="R209">
        <f t="shared" si="68"/>
        <v>45.885796940417237</v>
      </c>
      <c r="S209">
        <f t="shared" si="76"/>
        <v>1.8688208791760585</v>
      </c>
      <c r="T209">
        <f t="shared" si="77"/>
        <v>0.15382447329721494</v>
      </c>
      <c r="U209">
        <f t="shared" si="85"/>
        <v>2.2332797220000478</v>
      </c>
      <c r="W209">
        <v>136.22659999999999</v>
      </c>
      <c r="X209">
        <v>1.6682429885176164E-2</v>
      </c>
      <c r="Y209">
        <f t="shared" si="69"/>
        <v>2.2725907029959389</v>
      </c>
      <c r="Z209">
        <f t="shared" si="78"/>
        <v>-1.8006900001874326</v>
      </c>
      <c r="AA209">
        <f t="shared" si="79"/>
        <v>3.8233353526607061</v>
      </c>
      <c r="AB209">
        <f t="shared" si="86"/>
        <v>1.0513864680292473</v>
      </c>
      <c r="AD209">
        <v>111.36960000000001</v>
      </c>
      <c r="AE209">
        <v>0.37504650703024961</v>
      </c>
      <c r="AF209">
        <f t="shared" si="70"/>
        <v>41.76877946935609</v>
      </c>
      <c r="AG209">
        <f t="shared" si="80"/>
        <v>1.9690713154304706</v>
      </c>
      <c r="AH209">
        <f t="shared" si="81"/>
        <v>5.3574037042802836E-2</v>
      </c>
      <c r="AI209">
        <f t="shared" si="87"/>
        <v>4.9466562125022984</v>
      </c>
      <c r="AL209">
        <f t="shared" si="71"/>
        <v>111.06710567080421</v>
      </c>
      <c r="AM209">
        <f t="shared" si="82"/>
        <v>2.0226453524732735</v>
      </c>
    </row>
    <row r="210" spans="1:39" x14ac:dyDescent="0.35">
      <c r="A210" s="2">
        <v>42826</v>
      </c>
      <c r="B210">
        <v>128.95760000000001</v>
      </c>
      <c r="C210">
        <v>7.4684300282921029E-2</v>
      </c>
      <c r="D210">
        <f t="shared" si="66"/>
        <v>9.631108122164818</v>
      </c>
      <c r="E210">
        <f t="shared" si="72"/>
        <v>5.1273355724394287</v>
      </c>
      <c r="F210">
        <f t="shared" si="73"/>
        <v>2.9285097974812491</v>
      </c>
      <c r="G210">
        <f t="shared" si="83"/>
        <v>2.2691819960692694</v>
      </c>
      <c r="I210">
        <v>106.4333</v>
      </c>
      <c r="J210">
        <v>0.11480572037652333</v>
      </c>
      <c r="K210">
        <f t="shared" si="67"/>
        <v>12.21915167855062</v>
      </c>
      <c r="L210">
        <f t="shared" si="74"/>
        <v>2.0084782394091505</v>
      </c>
      <c r="M210">
        <f t="shared" si="75"/>
        <v>0.19034753554902917</v>
      </c>
      <c r="N210">
        <f t="shared" si="84"/>
        <v>2.0129218691980699</v>
      </c>
      <c r="P210">
        <v>112.0883</v>
      </c>
      <c r="Q210">
        <v>0.41878104242512987</v>
      </c>
      <c r="R210">
        <f t="shared" si="68"/>
        <v>46.940455117660683</v>
      </c>
      <c r="S210">
        <f t="shared" si="76"/>
        <v>2.29844145153002</v>
      </c>
      <c r="T210">
        <f t="shared" si="77"/>
        <v>9.9615676571840339E-2</v>
      </c>
      <c r="U210">
        <f t="shared" si="85"/>
        <v>5.4208796725374597E-2</v>
      </c>
      <c r="W210">
        <v>136.8049</v>
      </c>
      <c r="X210">
        <v>1.6682429885176164E-2</v>
      </c>
      <c r="Y210">
        <f t="shared" si="69"/>
        <v>2.2822381521985364</v>
      </c>
      <c r="Z210">
        <f t="shared" si="78"/>
        <v>0.42451327420636176</v>
      </c>
      <c r="AA210">
        <f t="shared" si="79"/>
        <v>1.7743125007518179</v>
      </c>
      <c r="AB210">
        <f t="shared" si="86"/>
        <v>2.0490228519088882</v>
      </c>
      <c r="AD210">
        <v>113.1495</v>
      </c>
      <c r="AE210">
        <v>0.37504650703024961</v>
      </c>
      <c r="AF210">
        <f t="shared" si="70"/>
        <v>42.436324747219231</v>
      </c>
      <c r="AG210">
        <f t="shared" si="80"/>
        <v>1.5981919662098054</v>
      </c>
      <c r="AH210">
        <f t="shared" si="81"/>
        <v>0.60063380874837424</v>
      </c>
      <c r="AI210">
        <f t="shared" si="87"/>
        <v>0.54705977170557141</v>
      </c>
      <c r="AL210">
        <f t="shared" si="71"/>
        <v>113.50927781779389</v>
      </c>
      <c r="AM210">
        <f t="shared" si="82"/>
        <v>2.1988257749581797</v>
      </c>
    </row>
    <row r="211" spans="1:39" x14ac:dyDescent="0.35">
      <c r="A211" s="2">
        <v>42856</v>
      </c>
      <c r="B211">
        <v>129.006</v>
      </c>
      <c r="C211">
        <v>7.4684300282921029E-2</v>
      </c>
      <c r="D211">
        <f t="shared" si="66"/>
        <v>9.6347228422985101</v>
      </c>
      <c r="E211">
        <f t="shared" si="72"/>
        <v>3.7531715850791514E-2</v>
      </c>
      <c r="F211">
        <f t="shared" si="73"/>
        <v>2.3977595212464786</v>
      </c>
      <c r="G211">
        <f t="shared" si="83"/>
        <v>0.53075027623477045</v>
      </c>
      <c r="I211">
        <v>110.6696</v>
      </c>
      <c r="J211">
        <v>0.11480572037652333</v>
      </c>
      <c r="K211">
        <f t="shared" si="67"/>
        <v>12.705503151781686</v>
      </c>
      <c r="L211">
        <f t="shared" si="74"/>
        <v>3.980239267221819</v>
      </c>
      <c r="M211">
        <f t="shared" si="75"/>
        <v>1.5449480301245488</v>
      </c>
      <c r="N211">
        <f t="shared" si="84"/>
        <v>1.3546004945755197</v>
      </c>
      <c r="P211">
        <v>112.3374</v>
      </c>
      <c r="Q211">
        <v>0.41878104242512987</v>
      </c>
      <c r="R211">
        <f t="shared" si="68"/>
        <v>47.044773475328782</v>
      </c>
      <c r="S211">
        <f t="shared" si="76"/>
        <v>0.22223550540065862</v>
      </c>
      <c r="T211">
        <f t="shared" si="77"/>
        <v>2.2130557316966115</v>
      </c>
      <c r="U211">
        <f t="shared" si="85"/>
        <v>2.1134400551247712</v>
      </c>
      <c r="W211">
        <v>141.1515</v>
      </c>
      <c r="X211">
        <v>1.6682429885176164E-2</v>
      </c>
      <c r="Y211">
        <f t="shared" si="69"/>
        <v>2.3547500019374432</v>
      </c>
      <c r="Z211">
        <f t="shared" si="78"/>
        <v>3.1772253771611858</v>
      </c>
      <c r="AA211">
        <f t="shared" si="79"/>
        <v>0.74193414006391567</v>
      </c>
      <c r="AB211">
        <f t="shared" si="86"/>
        <v>1.0323783606879022</v>
      </c>
      <c r="AD211">
        <v>118.74209999999999</v>
      </c>
      <c r="AE211">
        <v>0.37504650703024961</v>
      </c>
      <c r="AF211">
        <f t="shared" si="70"/>
        <v>44.533809842436597</v>
      </c>
      <c r="AG211">
        <f t="shared" si="80"/>
        <v>4.9426643511460311</v>
      </c>
      <c r="AH211">
        <f t="shared" si="81"/>
        <v>2.507373114048761</v>
      </c>
      <c r="AI211">
        <f t="shared" si="87"/>
        <v>1.9067393053003867</v>
      </c>
      <c r="AL211">
        <f t="shared" si="71"/>
        <v>116.27355931378303</v>
      </c>
      <c r="AM211">
        <f t="shared" si="82"/>
        <v>2.4352912370972701</v>
      </c>
    </row>
    <row r="212" spans="1:39" x14ac:dyDescent="0.35">
      <c r="A212" s="2">
        <v>42887</v>
      </c>
      <c r="B212">
        <v>128.23840000000001</v>
      </c>
      <c r="C212">
        <v>7.4684300282921029E-2</v>
      </c>
      <c r="D212">
        <f t="shared" si="66"/>
        <v>9.5773951734013405</v>
      </c>
      <c r="E212">
        <f t="shared" si="72"/>
        <v>-0.59501108475573661</v>
      </c>
      <c r="F212">
        <f t="shared" si="73"/>
        <v>1.9612498851517279</v>
      </c>
      <c r="G212">
        <f t="shared" si="83"/>
        <v>0.43650963609475069</v>
      </c>
      <c r="I212">
        <v>112.5904</v>
      </c>
      <c r="J212">
        <v>0.11480572037652333</v>
      </c>
      <c r="K212">
        <f t="shared" si="67"/>
        <v>12.926021979480913</v>
      </c>
      <c r="L212">
        <f t="shared" si="74"/>
        <v>1.7356166463057709</v>
      </c>
      <c r="M212">
        <f t="shared" si="75"/>
        <v>0.36937784590977962</v>
      </c>
      <c r="N212">
        <f t="shared" si="84"/>
        <v>1.1755701842147692</v>
      </c>
      <c r="P212">
        <v>112.0771</v>
      </c>
      <c r="Q212">
        <v>0.41878104242512987</v>
      </c>
      <c r="R212">
        <f t="shared" si="68"/>
        <v>46.935764769985525</v>
      </c>
      <c r="S212">
        <f t="shared" si="76"/>
        <v>-0.23171267983770338</v>
      </c>
      <c r="T212">
        <f t="shared" si="77"/>
        <v>1.5979514802336947</v>
      </c>
      <c r="U212">
        <f t="shared" si="85"/>
        <v>0.61510425146291681</v>
      </c>
      <c r="W212">
        <v>140.30629999999999</v>
      </c>
      <c r="X212">
        <v>1.6682429885176164E-2</v>
      </c>
      <c r="Y212">
        <f t="shared" si="69"/>
        <v>2.3406500121984921</v>
      </c>
      <c r="Z212">
        <f t="shared" si="78"/>
        <v>-0.5987892441808973</v>
      </c>
      <c r="AA212">
        <f t="shared" si="79"/>
        <v>1.9650280445768886</v>
      </c>
      <c r="AB212">
        <f t="shared" si="86"/>
        <v>1.223093904512973</v>
      </c>
      <c r="AD212">
        <v>122.87090000000001</v>
      </c>
      <c r="AE212">
        <v>0.37504650703024961</v>
      </c>
      <c r="AF212">
        <f t="shared" si="70"/>
        <v>46.082301860663101</v>
      </c>
      <c r="AG212">
        <f t="shared" si="80"/>
        <v>3.477115530212127</v>
      </c>
      <c r="AH212">
        <f t="shared" si="81"/>
        <v>2.1108767298161357</v>
      </c>
      <c r="AI212">
        <f t="shared" si="87"/>
        <v>0.39649638423262523</v>
      </c>
      <c r="AL212">
        <f t="shared" si="71"/>
        <v>117.86213379572938</v>
      </c>
      <c r="AM212">
        <f t="shared" si="82"/>
        <v>1.3662388003959913</v>
      </c>
    </row>
    <row r="213" spans="1:39" x14ac:dyDescent="0.35">
      <c r="A213" s="2">
        <v>42917</v>
      </c>
      <c r="B213">
        <v>131.72120000000001</v>
      </c>
      <c r="C213">
        <v>7.4684300282921029E-2</v>
      </c>
      <c r="D213">
        <f t="shared" si="66"/>
        <v>9.8375056544266979</v>
      </c>
      <c r="E213">
        <f t="shared" si="72"/>
        <v>2.7158791750364841</v>
      </c>
      <c r="F213">
        <f t="shared" si="73"/>
        <v>1.3014413341172482</v>
      </c>
      <c r="G213">
        <f t="shared" si="83"/>
        <v>0.65980855103447977</v>
      </c>
      <c r="I213">
        <v>114.91670000000001</v>
      </c>
      <c r="J213">
        <v>0.11480572037652333</v>
      </c>
      <c r="K213">
        <f t="shared" si="67"/>
        <v>13.193094526792819</v>
      </c>
      <c r="L213">
        <f t="shared" si="74"/>
        <v>2.0661619463115954</v>
      </c>
      <c r="M213">
        <f t="shared" si="75"/>
        <v>1.9511585628421368</v>
      </c>
      <c r="N213">
        <f t="shared" si="84"/>
        <v>1.5817807169323572</v>
      </c>
      <c r="P213">
        <v>116.0005</v>
      </c>
      <c r="Q213">
        <v>0.41878104242512987</v>
      </c>
      <c r="R213">
        <f t="shared" si="68"/>
        <v>48.578810311836278</v>
      </c>
      <c r="S213">
        <f t="shared" si="76"/>
        <v>3.5006259084148228</v>
      </c>
      <c r="T213">
        <f t="shared" si="77"/>
        <v>0.51669460073890949</v>
      </c>
      <c r="U213">
        <f t="shared" si="85"/>
        <v>1.0812568794947852</v>
      </c>
      <c r="W213">
        <v>139.49639999999999</v>
      </c>
      <c r="X213">
        <v>1.6682429885176164E-2</v>
      </c>
      <c r="Y213">
        <f t="shared" si="69"/>
        <v>2.3271389122344881</v>
      </c>
      <c r="Z213">
        <f t="shared" si="78"/>
        <v>-0.57723708771452165</v>
      </c>
      <c r="AA213">
        <f t="shared" si="79"/>
        <v>4.5945575968682544</v>
      </c>
      <c r="AB213">
        <f t="shared" si="86"/>
        <v>2.6295295522913658</v>
      </c>
      <c r="AD213">
        <v>129.74520000000001</v>
      </c>
      <c r="AE213">
        <v>0.37504650703024961</v>
      </c>
      <c r="AF213">
        <f t="shared" si="70"/>
        <v>48.660484063941148</v>
      </c>
      <c r="AG213">
        <f t="shared" si="80"/>
        <v>5.5947339850200617</v>
      </c>
      <c r="AH213">
        <f t="shared" si="81"/>
        <v>1.5774134758663294</v>
      </c>
      <c r="AI213">
        <f t="shared" si="87"/>
        <v>0.53346325394980632</v>
      </c>
      <c r="AL213">
        <f t="shared" si="71"/>
        <v>122.59703346923143</v>
      </c>
      <c r="AM213">
        <f t="shared" si="82"/>
        <v>4.0173205091537323</v>
      </c>
    </row>
    <row r="214" spans="1:39" x14ac:dyDescent="0.35">
      <c r="A214" s="2">
        <v>42948</v>
      </c>
      <c r="B214">
        <v>135.3896</v>
      </c>
      <c r="C214">
        <v>7.4684300282921029E-2</v>
      </c>
      <c r="D214">
        <f t="shared" si="66"/>
        <v>10.111477541584565</v>
      </c>
      <c r="E214">
        <f t="shared" si="72"/>
        <v>2.784973109871447</v>
      </c>
      <c r="F214">
        <f t="shared" si="73"/>
        <v>0.93035364546152355</v>
      </c>
      <c r="G214">
        <f t="shared" si="83"/>
        <v>0.37108768865572461</v>
      </c>
      <c r="I214">
        <v>114.4622</v>
      </c>
      <c r="J214">
        <v>0.11480572037652333</v>
      </c>
      <c r="K214">
        <f t="shared" si="67"/>
        <v>13.140915326881688</v>
      </c>
      <c r="L214">
        <f t="shared" si="74"/>
        <v>-0.39550387367546236</v>
      </c>
      <c r="M214">
        <f t="shared" si="75"/>
        <v>2.2501233380853858</v>
      </c>
      <c r="N214">
        <f t="shared" si="84"/>
        <v>0.29896477524324894</v>
      </c>
      <c r="P214">
        <v>116.6854</v>
      </c>
      <c r="Q214">
        <v>0.41878104242512987</v>
      </c>
      <c r="R214">
        <f t="shared" si="68"/>
        <v>48.86563344779325</v>
      </c>
      <c r="S214">
        <f t="shared" si="76"/>
        <v>0.59042848953236859</v>
      </c>
      <c r="T214">
        <f t="shared" si="77"/>
        <v>1.2641909748775548</v>
      </c>
      <c r="U214">
        <f t="shared" si="85"/>
        <v>0.74749637413864534</v>
      </c>
      <c r="W214">
        <v>139.46559999999999</v>
      </c>
      <c r="X214">
        <v>1.6682429885176164E-2</v>
      </c>
      <c r="Y214">
        <f t="shared" si="69"/>
        <v>2.3266250933940249</v>
      </c>
      <c r="Z214">
        <f t="shared" si="78"/>
        <v>-2.2079422838150453E-2</v>
      </c>
      <c r="AA214">
        <f t="shared" si="79"/>
        <v>1.8766988872480739</v>
      </c>
      <c r="AB214">
        <f t="shared" si="86"/>
        <v>2.7178587096201805</v>
      </c>
      <c r="AD214">
        <v>134.4529</v>
      </c>
      <c r="AE214">
        <v>0.37504650703024961</v>
      </c>
      <c r="AF214">
        <f t="shared" si="70"/>
        <v>50.426090505087444</v>
      </c>
      <c r="AG214">
        <f t="shared" si="80"/>
        <v>3.6284193943205478</v>
      </c>
      <c r="AH214">
        <f t="shared" si="81"/>
        <v>1.7737999299106244</v>
      </c>
      <c r="AI214">
        <f t="shared" si="87"/>
        <v>0.196386454044295</v>
      </c>
      <c r="AL214">
        <f t="shared" si="71"/>
        <v>124.87074191474096</v>
      </c>
      <c r="AM214">
        <f t="shared" si="82"/>
        <v>1.8546194644099234</v>
      </c>
    </row>
    <row r="215" spans="1:39" x14ac:dyDescent="0.35">
      <c r="A215" s="2">
        <v>42979</v>
      </c>
      <c r="B215">
        <v>137.94890000000001</v>
      </c>
      <c r="C215">
        <v>7.4684300282921029E-2</v>
      </c>
      <c r="D215">
        <f t="shared" si="66"/>
        <v>10.302617071298645</v>
      </c>
      <c r="E215">
        <f t="shared" si="72"/>
        <v>1.8903224472189839</v>
      </c>
      <c r="F215">
        <f t="shared" si="73"/>
        <v>2.983609435754353</v>
      </c>
      <c r="G215">
        <f t="shared" si="83"/>
        <v>2.0532557902928295</v>
      </c>
      <c r="I215">
        <v>116.0364</v>
      </c>
      <c r="J215">
        <v>0.11480572037652333</v>
      </c>
      <c r="K215">
        <f t="shared" si="67"/>
        <v>13.321642491898411</v>
      </c>
      <c r="L215">
        <f t="shared" si="74"/>
        <v>1.3753011911356028</v>
      </c>
      <c r="M215">
        <f t="shared" si="75"/>
        <v>2.4685881796709719</v>
      </c>
      <c r="N215">
        <f t="shared" si="84"/>
        <v>0.2184648415855861</v>
      </c>
      <c r="P215">
        <v>114.6915</v>
      </c>
      <c r="Q215">
        <v>0.41878104242512987</v>
      </c>
      <c r="R215">
        <f t="shared" si="68"/>
        <v>48.030625927301784</v>
      </c>
      <c r="S215">
        <f t="shared" si="76"/>
        <v>-1.7087827611680595</v>
      </c>
      <c r="T215">
        <f t="shared" si="77"/>
        <v>0.6154957726326904</v>
      </c>
      <c r="U215">
        <f t="shared" si="85"/>
        <v>0.64869520224486443</v>
      </c>
      <c r="W215">
        <v>139.31540000000001</v>
      </c>
      <c r="X215">
        <v>1.6682429885176164E-2</v>
      </c>
      <c r="Y215">
        <f t="shared" si="69"/>
        <v>2.3241193924252714</v>
      </c>
      <c r="Z215">
        <f t="shared" si="78"/>
        <v>-0.10769680838857987</v>
      </c>
      <c r="AA215">
        <f t="shared" si="79"/>
        <v>0.98559018014678923</v>
      </c>
      <c r="AB215">
        <f t="shared" si="86"/>
        <v>0.89110870710128465</v>
      </c>
      <c r="AD215">
        <v>132.05439999999999</v>
      </c>
      <c r="AE215">
        <v>0.37504650703024961</v>
      </c>
      <c r="AF215">
        <f t="shared" si="70"/>
        <v>49.526541457975391</v>
      </c>
      <c r="AG215">
        <f t="shared" si="80"/>
        <v>-1.7838960706686224</v>
      </c>
      <c r="AH215">
        <f t="shared" si="81"/>
        <v>0.69060908213325334</v>
      </c>
      <c r="AI215">
        <f t="shared" si="87"/>
        <v>1.0831908477773711</v>
      </c>
      <c r="AL215">
        <f t="shared" si="71"/>
        <v>123.50554634089951</v>
      </c>
      <c r="AM215">
        <f t="shared" si="82"/>
        <v>-1.0932869885353691</v>
      </c>
    </row>
    <row r="216" spans="1:39" x14ac:dyDescent="0.35">
      <c r="A216" s="2">
        <v>43009</v>
      </c>
      <c r="B216">
        <v>145.89449999999999</v>
      </c>
      <c r="C216">
        <v>7.4684300282921029E-2</v>
      </c>
      <c r="D216">
        <f t="shared" si="66"/>
        <v>10.896028647626622</v>
      </c>
      <c r="E216">
        <f t="shared" si="72"/>
        <v>5.7598139600968157</v>
      </c>
      <c r="F216">
        <f t="shared" si="73"/>
        <v>5.9674585475440578</v>
      </c>
      <c r="G216">
        <f t="shared" si="83"/>
        <v>2.9838491117897048</v>
      </c>
      <c r="I216">
        <v>114.4233</v>
      </c>
      <c r="J216">
        <v>0.11480572037652333</v>
      </c>
      <c r="K216">
        <f t="shared" si="67"/>
        <v>13.136449384359041</v>
      </c>
      <c r="L216">
        <f t="shared" si="74"/>
        <v>-1.3901672233885276</v>
      </c>
      <c r="M216">
        <f t="shared" si="75"/>
        <v>1.1825226359412855</v>
      </c>
      <c r="N216">
        <f t="shared" si="84"/>
        <v>1.2860655437296864</v>
      </c>
      <c r="P216">
        <v>113.56189999999999</v>
      </c>
      <c r="Q216">
        <v>0.41878104242512987</v>
      </c>
      <c r="R216">
        <f t="shared" si="68"/>
        <v>47.557570861778352</v>
      </c>
      <c r="S216">
        <f t="shared" si="76"/>
        <v>-0.98490297886069111</v>
      </c>
      <c r="T216">
        <f t="shared" si="77"/>
        <v>0.77725839141344899</v>
      </c>
      <c r="U216">
        <f t="shared" si="85"/>
        <v>0.16176261878075859</v>
      </c>
      <c r="W216">
        <v>138.36189999999999</v>
      </c>
      <c r="X216">
        <v>1.6682429885176164E-2</v>
      </c>
      <c r="Y216">
        <f t="shared" si="69"/>
        <v>2.3082126955297557</v>
      </c>
      <c r="Z216">
        <f t="shared" si="78"/>
        <v>-0.68441823373440736</v>
      </c>
      <c r="AA216">
        <f t="shared" si="79"/>
        <v>0.47677364628716523</v>
      </c>
      <c r="AB216">
        <f t="shared" si="86"/>
        <v>0.508816533859624</v>
      </c>
      <c r="AD216">
        <v>131.58590000000001</v>
      </c>
      <c r="AE216">
        <v>0.37504650703024961</v>
      </c>
      <c r="AF216">
        <f t="shared" si="70"/>
        <v>49.350832169431726</v>
      </c>
      <c r="AG216">
        <f t="shared" si="80"/>
        <v>-0.35477803087210491</v>
      </c>
      <c r="AH216">
        <f t="shared" si="81"/>
        <v>0.14713344342486279</v>
      </c>
      <c r="AI216">
        <f t="shared" si="87"/>
        <v>0.54347563870839055</v>
      </c>
      <c r="AL216">
        <f t="shared" si="71"/>
        <v>123.24909375872549</v>
      </c>
      <c r="AM216">
        <f t="shared" si="82"/>
        <v>-0.20764458744724212</v>
      </c>
    </row>
    <row r="217" spans="1:39" x14ac:dyDescent="0.35">
      <c r="A217" s="2">
        <v>43040</v>
      </c>
      <c r="B217">
        <v>140.96360000000001</v>
      </c>
      <c r="C217">
        <v>7.4684300282921029E-2</v>
      </c>
      <c r="D217">
        <f t="shared" si="66"/>
        <v>10.527767831361567</v>
      </c>
      <c r="E217">
        <f t="shared" si="72"/>
        <v>-3.3797709989067282</v>
      </c>
      <c r="F217">
        <f t="shared" si="73"/>
        <v>2.0685663715618197</v>
      </c>
      <c r="G217">
        <f t="shared" si="83"/>
        <v>3.8988921759822381</v>
      </c>
      <c r="I217">
        <v>111.8887</v>
      </c>
      <c r="J217">
        <v>0.11480572037652333</v>
      </c>
      <c r="K217">
        <f t="shared" si="67"/>
        <v>12.845462805492705</v>
      </c>
      <c r="L217">
        <f t="shared" si="74"/>
        <v>-2.215108286511569</v>
      </c>
      <c r="M217">
        <f t="shared" si="75"/>
        <v>0.90390365916666049</v>
      </c>
      <c r="N217">
        <f t="shared" si="84"/>
        <v>0.27861897677462499</v>
      </c>
      <c r="P217">
        <v>109.5035</v>
      </c>
      <c r="Q217">
        <v>0.41878104242512987</v>
      </c>
      <c r="R217">
        <f t="shared" si="68"/>
        <v>45.857989879200211</v>
      </c>
      <c r="S217">
        <f t="shared" si="76"/>
        <v>-3.5737337962820193</v>
      </c>
      <c r="T217">
        <f t="shared" si="77"/>
        <v>2.2625291689371108</v>
      </c>
      <c r="U217">
        <f t="shared" si="85"/>
        <v>1.4852707775236618</v>
      </c>
      <c r="W217">
        <v>135.87549999999999</v>
      </c>
      <c r="X217">
        <v>1.6682429885176164E-2</v>
      </c>
      <c r="Y217">
        <f t="shared" si="69"/>
        <v>2.2667335018632535</v>
      </c>
      <c r="Z217">
        <f t="shared" si="78"/>
        <v>-1.7970264935650682</v>
      </c>
      <c r="AA217">
        <f t="shared" si="79"/>
        <v>0.48582186622015966</v>
      </c>
      <c r="AB217">
        <f t="shared" si="86"/>
        <v>9.0482199329944279E-3</v>
      </c>
      <c r="AD217">
        <v>133.67699999999999</v>
      </c>
      <c r="AE217">
        <v>0.37504650703024961</v>
      </c>
      <c r="AF217">
        <f t="shared" si="70"/>
        <v>50.135091920282676</v>
      </c>
      <c r="AG217">
        <f t="shared" si="80"/>
        <v>1.5891520292067529</v>
      </c>
      <c r="AH217">
        <f t="shared" si="81"/>
        <v>2.9003566565516614</v>
      </c>
      <c r="AI217">
        <f t="shared" si="87"/>
        <v>2.7532232131267986</v>
      </c>
      <c r="AL217">
        <f t="shared" si="71"/>
        <v>121.63304593820042</v>
      </c>
      <c r="AM217">
        <f t="shared" si="82"/>
        <v>-1.3112046273449085</v>
      </c>
    </row>
    <row r="218" spans="1:39" x14ac:dyDescent="0.35">
      <c r="A218" s="2">
        <v>43070</v>
      </c>
      <c r="B218">
        <v>140.4179</v>
      </c>
      <c r="C218">
        <v>7.4684300282921029E-2</v>
      </c>
      <c r="D218">
        <f t="shared" si="66"/>
        <v>10.487012608697176</v>
      </c>
      <c r="E218">
        <f t="shared" si="72"/>
        <v>-0.38712121427092461</v>
      </c>
      <c r="F218">
        <f t="shared" si="73"/>
        <v>1.2522452160322772</v>
      </c>
      <c r="G218">
        <f t="shared" si="83"/>
        <v>0.81632115552954243</v>
      </c>
      <c r="I218">
        <v>114.4629</v>
      </c>
      <c r="J218">
        <v>0.11480572037652333</v>
      </c>
      <c r="K218">
        <f t="shared" si="67"/>
        <v>13.140995690885953</v>
      </c>
      <c r="L218">
        <f t="shared" si="74"/>
        <v>2.3006791570551854</v>
      </c>
      <c r="M218">
        <f t="shared" si="75"/>
        <v>1.4355551552938328</v>
      </c>
      <c r="N218">
        <f t="shared" si="84"/>
        <v>0.53165149612717233</v>
      </c>
      <c r="P218">
        <v>109.50709999999999</v>
      </c>
      <c r="Q218">
        <v>0.41878104242512987</v>
      </c>
      <c r="R218">
        <f t="shared" si="68"/>
        <v>45.85949749095294</v>
      </c>
      <c r="S218">
        <f t="shared" si="76"/>
        <v>3.2875661508446896E-3</v>
      </c>
      <c r="T218">
        <f t="shared" si="77"/>
        <v>0.86183643561050793</v>
      </c>
      <c r="U218">
        <f t="shared" si="85"/>
        <v>1.4006927333266028</v>
      </c>
      <c r="W218">
        <v>138.1412</v>
      </c>
      <c r="X218">
        <v>1.6682429885176164E-2</v>
      </c>
      <c r="Y218">
        <f t="shared" si="69"/>
        <v>2.3045308832540976</v>
      </c>
      <c r="Z218">
        <f t="shared" si="78"/>
        <v>1.6674823643703318</v>
      </c>
      <c r="AA218">
        <f t="shared" si="79"/>
        <v>0.80235836260897919</v>
      </c>
      <c r="AB218">
        <f t="shared" si="86"/>
        <v>0.31653649638881953</v>
      </c>
      <c r="AD218">
        <v>135.6986</v>
      </c>
      <c r="AE218">
        <v>0.37504650703024961</v>
      </c>
      <c r="AF218">
        <f t="shared" si="70"/>
        <v>50.893285938895026</v>
      </c>
      <c r="AG218">
        <f t="shared" si="80"/>
        <v>1.5123020414880672</v>
      </c>
      <c r="AH218">
        <f t="shared" si="81"/>
        <v>0.64717803972671462</v>
      </c>
      <c r="AI218">
        <f t="shared" si="87"/>
        <v>2.2531786168249468</v>
      </c>
      <c r="AL218">
        <f t="shared" si="71"/>
        <v>122.6853226126852</v>
      </c>
      <c r="AM218">
        <f t="shared" si="82"/>
        <v>0.86512400176135262</v>
      </c>
    </row>
    <row r="219" spans="1:39" x14ac:dyDescent="0.35">
      <c r="A219" s="2">
        <v>43101</v>
      </c>
      <c r="B219">
        <v>153.44829999999999</v>
      </c>
      <c r="C219">
        <v>7.5702040716139798E-2</v>
      </c>
      <c r="D219">
        <f t="shared" si="66"/>
        <v>11.616349454422433</v>
      </c>
      <c r="E219">
        <f t="shared" si="72"/>
        <v>9.2797285816124564</v>
      </c>
      <c r="F219">
        <f t="shared" si="73"/>
        <v>3.7782803859301994</v>
      </c>
      <c r="G219">
        <f t="shared" si="83"/>
        <v>2.5260351698979222</v>
      </c>
      <c r="I219">
        <v>120.526</v>
      </c>
      <c r="J219">
        <v>0.11477476716746744</v>
      </c>
      <c r="K219">
        <f t="shared" si="67"/>
        <v>13.83334358762618</v>
      </c>
      <c r="L219">
        <f t="shared" si="74"/>
        <v>5.2970001633717123</v>
      </c>
      <c r="M219">
        <f t="shared" si="75"/>
        <v>0.20444803231054465</v>
      </c>
      <c r="N219">
        <f t="shared" si="84"/>
        <v>1.2311071229832882</v>
      </c>
      <c r="P219">
        <v>113.6825</v>
      </c>
      <c r="Q219">
        <v>0.4162505974807138</v>
      </c>
      <c r="R219">
        <f t="shared" si="68"/>
        <v>47.320408548101248</v>
      </c>
      <c r="S219">
        <f t="shared" si="76"/>
        <v>3.8129034555750341</v>
      </c>
      <c r="T219">
        <f t="shared" si="77"/>
        <v>1.6885447401072229</v>
      </c>
      <c r="U219">
        <f t="shared" si="85"/>
        <v>0.82670830449671495</v>
      </c>
      <c r="W219">
        <v>130.51730000000001</v>
      </c>
      <c r="X219">
        <v>1.6686319488381153E-2</v>
      </c>
      <c r="Y219">
        <f t="shared" si="69"/>
        <v>2.1778533665608895</v>
      </c>
      <c r="Z219">
        <f t="shared" si="78"/>
        <v>-5.5189183241494906</v>
      </c>
      <c r="AA219">
        <f t="shared" si="79"/>
        <v>11.020366519831747</v>
      </c>
      <c r="AB219">
        <f t="shared" si="86"/>
        <v>10.218008157222767</v>
      </c>
      <c r="AD219">
        <v>144.68620000000001</v>
      </c>
      <c r="AE219">
        <v>0.37658627514729776</v>
      </c>
      <c r="AF219">
        <f t="shared" si="70"/>
        <v>54.486837123216958</v>
      </c>
      <c r="AG219">
        <f t="shared" si="80"/>
        <v>6.6232076086267799</v>
      </c>
      <c r="AH219">
        <f t="shared" si="81"/>
        <v>1.121759412944523</v>
      </c>
      <c r="AI219">
        <f t="shared" si="87"/>
        <v>0.47458137321780836</v>
      </c>
      <c r="AL219">
        <f t="shared" si="71"/>
        <v>129.43479207992772</v>
      </c>
      <c r="AM219">
        <f t="shared" si="82"/>
        <v>5.501448195682257</v>
      </c>
    </row>
    <row r="220" spans="1:39" x14ac:dyDescent="0.35">
      <c r="A220" s="2">
        <v>43132</v>
      </c>
      <c r="B220">
        <v>151.2535</v>
      </c>
      <c r="C220">
        <v>7.5702040716139798E-2</v>
      </c>
      <c r="D220">
        <f t="shared" si="66"/>
        <v>11.450198615458651</v>
      </c>
      <c r="E220">
        <f t="shared" si="72"/>
        <v>-1.4303188761296104</v>
      </c>
      <c r="F220">
        <f t="shared" si="73"/>
        <v>3.995449073924684E-2</v>
      </c>
      <c r="G220">
        <f t="shared" si="83"/>
        <v>3.7383258951909526</v>
      </c>
      <c r="I220">
        <v>118.27030000000001</v>
      </c>
      <c r="J220">
        <v>0.11477476716746744</v>
      </c>
      <c r="K220">
        <f t="shared" si="67"/>
        <v>13.574446145326526</v>
      </c>
      <c r="L220">
        <f t="shared" si="74"/>
        <v>-1.8715463883311356</v>
      </c>
      <c r="M220">
        <f t="shared" si="75"/>
        <v>0.48118200294077207</v>
      </c>
      <c r="N220">
        <f t="shared" si="84"/>
        <v>0.27673397063022742</v>
      </c>
      <c r="P220">
        <v>111.0389</v>
      </c>
      <c r="Q220">
        <v>0.4162505974807138</v>
      </c>
      <c r="R220">
        <f t="shared" si="68"/>
        <v>46.220008468601229</v>
      </c>
      <c r="S220">
        <f t="shared" si="76"/>
        <v>-2.3254238779055747</v>
      </c>
      <c r="T220">
        <f t="shared" si="77"/>
        <v>0.93505949251521114</v>
      </c>
      <c r="U220">
        <f t="shared" si="85"/>
        <v>0.75348524759201174</v>
      </c>
      <c r="W220">
        <v>127.5127</v>
      </c>
      <c r="X220">
        <v>1.6686319488381153E-2</v>
      </c>
      <c r="Y220">
        <f t="shared" si="69"/>
        <v>2.1277176510260993</v>
      </c>
      <c r="Z220">
        <f t="shared" si="78"/>
        <v>-2.3020703002590515</v>
      </c>
      <c r="AA220">
        <f t="shared" si="79"/>
        <v>0.91170591486868791</v>
      </c>
      <c r="AB220">
        <f t="shared" si="86"/>
        <v>10.10866060496306</v>
      </c>
      <c r="AD220">
        <v>144.09129999999999</v>
      </c>
      <c r="AE220">
        <v>0.37658627514729776</v>
      </c>
      <c r="AF220">
        <f t="shared" si="70"/>
        <v>54.26280594813182</v>
      </c>
      <c r="AG220">
        <f t="shared" si="80"/>
        <v>-0.41116568131586151</v>
      </c>
      <c r="AH220">
        <f t="shared" si="81"/>
        <v>0.97919870407450205</v>
      </c>
      <c r="AI220">
        <f t="shared" si="87"/>
        <v>0.14256070887002092</v>
      </c>
      <c r="AL220">
        <f t="shared" si="71"/>
        <v>127.63517682854433</v>
      </c>
      <c r="AM220">
        <f t="shared" si="82"/>
        <v>-1.3903643853903636</v>
      </c>
    </row>
    <row r="221" spans="1:39" x14ac:dyDescent="0.35">
      <c r="A221" s="2">
        <v>43160</v>
      </c>
      <c r="B221">
        <v>147.5967</v>
      </c>
      <c r="C221">
        <v>7.5702040716139798E-2</v>
      </c>
      <c r="D221">
        <f t="shared" si="66"/>
        <v>11.173371392967871</v>
      </c>
      <c r="E221">
        <f t="shared" si="72"/>
        <v>-2.4176630623423567</v>
      </c>
      <c r="F221">
        <f t="shared" si="73"/>
        <v>1.0703502547019017</v>
      </c>
      <c r="G221">
        <f t="shared" si="83"/>
        <v>1.0303957639626549</v>
      </c>
      <c r="I221">
        <v>114.16459999999999</v>
      </c>
      <c r="J221">
        <v>0.11477476716746744</v>
      </c>
      <c r="K221">
        <f t="shared" si="67"/>
        <v>13.103215383767052</v>
      </c>
      <c r="L221">
        <f t="shared" si="74"/>
        <v>-3.4714547946525953</v>
      </c>
      <c r="M221">
        <f t="shared" si="75"/>
        <v>2.1241419870121403</v>
      </c>
      <c r="N221">
        <f t="shared" si="84"/>
        <v>1.6429599840713682</v>
      </c>
      <c r="P221">
        <v>108.09610000000001</v>
      </c>
      <c r="Q221">
        <v>0.4162505974807138</v>
      </c>
      <c r="R221">
        <f t="shared" si="68"/>
        <v>44.99506621033499</v>
      </c>
      <c r="S221">
        <f t="shared" si="76"/>
        <v>-2.6502423925308993</v>
      </c>
      <c r="T221">
        <f t="shared" si="77"/>
        <v>1.3029295848904443</v>
      </c>
      <c r="U221">
        <f t="shared" si="85"/>
        <v>0.36787009237523316</v>
      </c>
      <c r="W221">
        <v>130.69640000000001</v>
      </c>
      <c r="X221">
        <v>1.6686319488381153E-2</v>
      </c>
      <c r="Y221">
        <f t="shared" si="69"/>
        <v>2.1808418863812586</v>
      </c>
      <c r="Z221">
        <f t="shared" si="78"/>
        <v>2.49677090987801</v>
      </c>
      <c r="AA221">
        <f t="shared" si="79"/>
        <v>3.844083717518465</v>
      </c>
      <c r="AB221">
        <f t="shared" si="86"/>
        <v>2.9323778026497771</v>
      </c>
      <c r="AD221">
        <v>144.62299999999999</v>
      </c>
      <c r="AE221">
        <v>0.37658627514729776</v>
      </c>
      <c r="AF221">
        <f t="shared" si="70"/>
        <v>54.46303687062764</v>
      </c>
      <c r="AG221">
        <f t="shared" si="80"/>
        <v>0.3690021534957344</v>
      </c>
      <c r="AH221">
        <f t="shared" si="81"/>
        <v>1.7163149611361894</v>
      </c>
      <c r="AI221">
        <f t="shared" si="87"/>
        <v>0.73711625706168737</v>
      </c>
      <c r="AL221">
        <f t="shared" si="71"/>
        <v>125.91553174407881</v>
      </c>
      <c r="AM221">
        <f t="shared" si="82"/>
        <v>-1.347312807640455</v>
      </c>
    </row>
    <row r="222" spans="1:39" x14ac:dyDescent="0.35">
      <c r="A222" s="2">
        <v>43191</v>
      </c>
      <c r="B222">
        <v>149.77869999999999</v>
      </c>
      <c r="C222">
        <v>7.5702040716139798E-2</v>
      </c>
      <c r="D222">
        <f t="shared" si="66"/>
        <v>11.338553245810488</v>
      </c>
      <c r="E222">
        <f t="shared" si="72"/>
        <v>1.478352835801866</v>
      </c>
      <c r="F222">
        <f t="shared" si="73"/>
        <v>2.4641730701684073</v>
      </c>
      <c r="G222">
        <f t="shared" si="83"/>
        <v>1.3938228154665055</v>
      </c>
      <c r="I222">
        <v>119.8515</v>
      </c>
      <c r="J222">
        <v>0.11477476716746744</v>
      </c>
      <c r="K222">
        <f t="shared" si="67"/>
        <v>13.755928007171724</v>
      </c>
      <c r="L222">
        <f t="shared" si="74"/>
        <v>4.9813164501080198</v>
      </c>
      <c r="M222">
        <f t="shared" si="75"/>
        <v>5.9671366844745606</v>
      </c>
      <c r="N222">
        <f t="shared" si="84"/>
        <v>3.8429946974624203</v>
      </c>
      <c r="P222">
        <v>109.7256</v>
      </c>
      <c r="Q222">
        <v>0.4162505974807138</v>
      </c>
      <c r="R222">
        <f t="shared" si="68"/>
        <v>45.673346558929808</v>
      </c>
      <c r="S222">
        <f t="shared" si="76"/>
        <v>1.5074549405575066</v>
      </c>
      <c r="T222">
        <f t="shared" si="77"/>
        <v>2.4932751749240478</v>
      </c>
      <c r="U222">
        <f t="shared" si="85"/>
        <v>1.1903455900336035</v>
      </c>
      <c r="W222">
        <v>130.06479999999999</v>
      </c>
      <c r="X222">
        <v>1.6686319488381153E-2</v>
      </c>
      <c r="Y222">
        <f t="shared" si="69"/>
        <v>2.1703028069923969</v>
      </c>
      <c r="Z222">
        <f t="shared" si="78"/>
        <v>-0.48325738122857453</v>
      </c>
      <c r="AA222">
        <f t="shared" si="79"/>
        <v>0.50256285313796667</v>
      </c>
      <c r="AB222">
        <f t="shared" si="86"/>
        <v>3.3415208643804983</v>
      </c>
      <c r="AD222">
        <v>137.3818</v>
      </c>
      <c r="AE222">
        <v>0.37658627514729776</v>
      </c>
      <c r="AF222">
        <f t="shared" si="70"/>
        <v>51.736100335031033</v>
      </c>
      <c r="AG222">
        <f t="shared" si="80"/>
        <v>-5.0069491021483392</v>
      </c>
      <c r="AH222">
        <f t="shared" si="81"/>
        <v>4.0211288677817976</v>
      </c>
      <c r="AI222">
        <f t="shared" si="87"/>
        <v>2.3048139066456081</v>
      </c>
      <c r="AL222">
        <f t="shared" si="71"/>
        <v>124.67423095393545</v>
      </c>
      <c r="AM222">
        <f t="shared" si="82"/>
        <v>-0.9858202343665412</v>
      </c>
    </row>
    <row r="223" spans="1:39" x14ac:dyDescent="0.35">
      <c r="A223" s="2">
        <v>43221</v>
      </c>
      <c r="B223">
        <v>151.02189999999999</v>
      </c>
      <c r="C223">
        <v>7.5702040716139798E-2</v>
      </c>
      <c r="D223">
        <f t="shared" si="66"/>
        <v>11.432666022828792</v>
      </c>
      <c r="E223">
        <f t="shared" si="72"/>
        <v>0.83002456290512949</v>
      </c>
      <c r="F223">
        <f t="shared" si="73"/>
        <v>5.5151671113387808</v>
      </c>
      <c r="G223">
        <f t="shared" si="83"/>
        <v>3.0509940411703735</v>
      </c>
      <c r="I223">
        <v>119.7272</v>
      </c>
      <c r="J223">
        <v>0.11477476716746744</v>
      </c>
      <c r="K223">
        <f t="shared" si="67"/>
        <v>13.741661503612807</v>
      </c>
      <c r="L223">
        <f t="shared" si="74"/>
        <v>-0.10371167653304703</v>
      </c>
      <c r="M223">
        <f t="shared" si="75"/>
        <v>4.5814308719006043</v>
      </c>
      <c r="N223">
        <f t="shared" si="84"/>
        <v>1.3857058125739563</v>
      </c>
      <c r="P223">
        <v>104.97020000000001</v>
      </c>
      <c r="Q223">
        <v>0.4162505974807138</v>
      </c>
      <c r="R223">
        <f t="shared" si="68"/>
        <v>43.693908467670028</v>
      </c>
      <c r="S223">
        <f t="shared" si="76"/>
        <v>-4.3339020246870312</v>
      </c>
      <c r="T223">
        <f t="shared" si="77"/>
        <v>0.35124052374662007</v>
      </c>
      <c r="U223">
        <f t="shared" si="85"/>
        <v>2.1420346511774278</v>
      </c>
      <c r="W223">
        <v>125.10899999999999</v>
      </c>
      <c r="X223">
        <v>1.6686319488381153E-2</v>
      </c>
      <c r="Y223">
        <f t="shared" si="69"/>
        <v>2.0876087448718774</v>
      </c>
      <c r="Z223">
        <f t="shared" si="78"/>
        <v>-3.8102545807935706</v>
      </c>
      <c r="AA223">
        <f t="shared" si="79"/>
        <v>0.8748879676400807</v>
      </c>
      <c r="AB223">
        <f t="shared" si="86"/>
        <v>0.37232511450211403</v>
      </c>
      <c r="AD223">
        <v>127.1348</v>
      </c>
      <c r="AE223">
        <v>0.37658627514729776</v>
      </c>
      <c r="AF223">
        <f t="shared" si="70"/>
        <v>47.877220773596669</v>
      </c>
      <c r="AG223">
        <f t="shared" si="80"/>
        <v>-7.4587754709867005</v>
      </c>
      <c r="AH223">
        <f t="shared" si="81"/>
        <v>2.7736329225530492</v>
      </c>
      <c r="AI223">
        <f t="shared" si="87"/>
        <v>1.2474959452287484</v>
      </c>
      <c r="AL223">
        <f t="shared" si="71"/>
        <v>118.83306551258018</v>
      </c>
      <c r="AM223">
        <f t="shared" si="82"/>
        <v>-4.6851425484336513</v>
      </c>
    </row>
    <row r="224" spans="1:39" x14ac:dyDescent="0.35">
      <c r="A224" s="2">
        <v>43252</v>
      </c>
      <c r="B224">
        <v>145.89529999999999</v>
      </c>
      <c r="C224">
        <v>7.5702040716139798E-2</v>
      </c>
      <c r="D224">
        <f t="shared" si="66"/>
        <v>11.04457194089343</v>
      </c>
      <c r="E224">
        <f t="shared" si="72"/>
        <v>-3.3946070073280765</v>
      </c>
      <c r="F224">
        <f t="shared" si="73"/>
        <v>0.64414423546718114</v>
      </c>
      <c r="G224">
        <f t="shared" si="83"/>
        <v>4.8710228758715992</v>
      </c>
      <c r="I224">
        <v>120.2486</v>
      </c>
      <c r="J224">
        <v>0.11477476716746744</v>
      </c>
      <c r="K224">
        <f t="shared" si="67"/>
        <v>13.801505067213926</v>
      </c>
      <c r="L224">
        <f t="shared" si="74"/>
        <v>0.43549001396507858</v>
      </c>
      <c r="M224">
        <f t="shared" si="75"/>
        <v>3.185952785825974</v>
      </c>
      <c r="N224">
        <f t="shared" si="84"/>
        <v>1.3954780860746303</v>
      </c>
      <c r="P224">
        <v>105.6824</v>
      </c>
      <c r="Q224">
        <v>0.4162505974807138</v>
      </c>
      <c r="R224">
        <f t="shared" si="68"/>
        <v>43.990362143195789</v>
      </c>
      <c r="S224">
        <f t="shared" si="76"/>
        <v>0.67847827288125551</v>
      </c>
      <c r="T224">
        <f t="shared" si="77"/>
        <v>3.4289410447421509</v>
      </c>
      <c r="U224">
        <f t="shared" si="85"/>
        <v>3.0777005209955308</v>
      </c>
      <c r="W224">
        <v>120.2129</v>
      </c>
      <c r="X224">
        <v>1.6686319488381153E-2</v>
      </c>
      <c r="Y224">
        <f t="shared" si="69"/>
        <v>2.0059108560248147</v>
      </c>
      <c r="Z224">
        <f t="shared" si="78"/>
        <v>-3.9134674563780281</v>
      </c>
      <c r="AA224">
        <f t="shared" si="79"/>
        <v>1.1630046845171327</v>
      </c>
      <c r="AB224">
        <f t="shared" si="86"/>
        <v>0.28811671687705198</v>
      </c>
      <c r="AD224">
        <v>118.75700000000001</v>
      </c>
      <c r="AE224">
        <v>0.37658627514729776</v>
      </c>
      <c r="AF224">
        <f t="shared" si="70"/>
        <v>44.72225627766764</v>
      </c>
      <c r="AG224">
        <f t="shared" si="80"/>
        <v>-6.5896984932528273</v>
      </c>
      <c r="AH224">
        <f t="shared" si="81"/>
        <v>3.8392357213919319</v>
      </c>
      <c r="AI224">
        <f t="shared" si="87"/>
        <v>1.0656027988388828</v>
      </c>
      <c r="AL224">
        <f t="shared" si="71"/>
        <v>115.56460628499559</v>
      </c>
      <c r="AM224">
        <f t="shared" si="82"/>
        <v>-2.7504627718608954</v>
      </c>
    </row>
    <row r="225" spans="1:39" x14ac:dyDescent="0.35">
      <c r="A225" s="2">
        <v>43282</v>
      </c>
      <c r="B225">
        <v>143.38759999999999</v>
      </c>
      <c r="C225">
        <v>7.5702040716139798E-2</v>
      </c>
      <c r="D225">
        <f t="shared" si="66"/>
        <v>10.854733933389566</v>
      </c>
      <c r="E225">
        <f t="shared" si="72"/>
        <v>-1.7188353565879111</v>
      </c>
      <c r="F225">
        <f t="shared" si="73"/>
        <v>3.0780043749720654</v>
      </c>
      <c r="G225">
        <f t="shared" si="83"/>
        <v>2.4338601395048842</v>
      </c>
      <c r="I225">
        <v>120.3993</v>
      </c>
      <c r="J225">
        <v>0.11477476716746744</v>
      </c>
      <c r="K225">
        <f t="shared" si="67"/>
        <v>13.818801624626062</v>
      </c>
      <c r="L225">
        <f t="shared" si="74"/>
        <v>0.12532370439239937</v>
      </c>
      <c r="M225">
        <f t="shared" si="75"/>
        <v>1.2338453139917549</v>
      </c>
      <c r="N225">
        <f t="shared" si="84"/>
        <v>1.9521074718342191</v>
      </c>
      <c r="P225">
        <v>111.1275</v>
      </c>
      <c r="Q225">
        <v>0.4162505974807138</v>
      </c>
      <c r="R225">
        <f t="shared" si="68"/>
        <v>46.256888271538024</v>
      </c>
      <c r="S225">
        <f t="shared" si="76"/>
        <v>5.1523243226875959</v>
      </c>
      <c r="T225">
        <f t="shared" si="77"/>
        <v>3.7931553043034416</v>
      </c>
      <c r="U225">
        <f t="shared" si="85"/>
        <v>0.36421425956129072</v>
      </c>
      <c r="W225">
        <v>121.9191</v>
      </c>
      <c r="X225">
        <v>1.6686319488381153E-2</v>
      </c>
      <c r="Y225">
        <f t="shared" si="69"/>
        <v>2.0343810543358907</v>
      </c>
      <c r="Z225">
        <f t="shared" si="78"/>
        <v>1.4193152315600033</v>
      </c>
      <c r="AA225">
        <f t="shared" si="79"/>
        <v>6.0146213175849006E-2</v>
      </c>
      <c r="AB225">
        <f t="shared" si="86"/>
        <v>1.1028584713412837</v>
      </c>
      <c r="AD225">
        <v>117.2919</v>
      </c>
      <c r="AE225">
        <v>0.37658627514729776</v>
      </c>
      <c r="AF225">
        <f t="shared" si="70"/>
        <v>44.170519725949333</v>
      </c>
      <c r="AG225">
        <f t="shared" si="80"/>
        <v>-1.2336956979378089</v>
      </c>
      <c r="AH225">
        <f t="shared" si="81"/>
        <v>2.5928647163219631</v>
      </c>
      <c r="AI225">
        <f t="shared" si="87"/>
        <v>1.2463710050699688</v>
      </c>
      <c r="AL225">
        <f t="shared" si="71"/>
        <v>117.13532460983888</v>
      </c>
      <c r="AM225">
        <f t="shared" si="82"/>
        <v>1.3591690183841543</v>
      </c>
    </row>
    <row r="226" spans="1:39" x14ac:dyDescent="0.35">
      <c r="A226" s="2">
        <v>43313</v>
      </c>
      <c r="B226">
        <v>141.81010000000001</v>
      </c>
      <c r="C226">
        <v>7.5702040716139798E-2</v>
      </c>
      <c r="D226">
        <f t="shared" si="66"/>
        <v>10.735313964159857</v>
      </c>
      <c r="E226">
        <f t="shared" si="72"/>
        <v>-1.1001648678128251</v>
      </c>
      <c r="F226">
        <f t="shared" si="73"/>
        <v>0.55138555063966033</v>
      </c>
      <c r="G226">
        <f t="shared" si="83"/>
        <v>2.526618824332405</v>
      </c>
      <c r="I226">
        <v>119.1747</v>
      </c>
      <c r="J226">
        <v>0.11477476716746744</v>
      </c>
      <c r="K226">
        <f t="shared" si="67"/>
        <v>13.678248444752782</v>
      </c>
      <c r="L226">
        <f t="shared" si="74"/>
        <v>-1.0171155480139804</v>
      </c>
      <c r="M226">
        <f t="shared" si="75"/>
        <v>0.46833623084081566</v>
      </c>
      <c r="N226">
        <f t="shared" si="84"/>
        <v>0.76550908315093924</v>
      </c>
      <c r="P226">
        <v>112.3811</v>
      </c>
      <c r="Q226">
        <v>0.4162505974807138</v>
      </c>
      <c r="R226">
        <f t="shared" si="68"/>
        <v>46.778700020539844</v>
      </c>
      <c r="S226">
        <f t="shared" si="76"/>
        <v>1.1280736091426657</v>
      </c>
      <c r="T226">
        <f t="shared" si="77"/>
        <v>1.6768529263158305</v>
      </c>
      <c r="U226">
        <f t="shared" si="85"/>
        <v>2.1163023779876111</v>
      </c>
      <c r="W226">
        <v>118.83969999999999</v>
      </c>
      <c r="X226">
        <v>1.6686319488381153E-2</v>
      </c>
      <c r="Y226">
        <f t="shared" si="69"/>
        <v>1.9829972021033695</v>
      </c>
      <c r="Z226">
        <f t="shared" si="78"/>
        <v>-2.5257732381554709</v>
      </c>
      <c r="AA226">
        <f t="shared" si="79"/>
        <v>1.9769939209823062</v>
      </c>
      <c r="AB226">
        <f t="shared" si="86"/>
        <v>1.9168477078064572</v>
      </c>
      <c r="AD226">
        <v>115.0261</v>
      </c>
      <c r="AE226">
        <v>0.37658627514729776</v>
      </c>
      <c r="AF226">
        <f t="shared" si="70"/>
        <v>43.317250543720583</v>
      </c>
      <c r="AG226">
        <f t="shared" si="80"/>
        <v>-1.931761698804435</v>
      </c>
      <c r="AH226">
        <f t="shared" si="81"/>
        <v>1.3829823816312703</v>
      </c>
      <c r="AI226">
        <f t="shared" si="87"/>
        <v>1.2098823346906928</v>
      </c>
      <c r="AL226">
        <f t="shared" si="71"/>
        <v>116.49251017527644</v>
      </c>
      <c r="AM226">
        <f t="shared" si="82"/>
        <v>-0.54877931717316475</v>
      </c>
    </row>
    <row r="227" spans="1:39" x14ac:dyDescent="0.35">
      <c r="A227" s="2">
        <v>43344</v>
      </c>
      <c r="B227">
        <v>142.4297</v>
      </c>
      <c r="C227">
        <v>7.5702040716139798E-2</v>
      </c>
      <c r="D227">
        <f t="shared" si="66"/>
        <v>10.782218948587577</v>
      </c>
      <c r="E227">
        <f t="shared" si="72"/>
        <v>0.43692233486893883</v>
      </c>
      <c r="F227">
        <f t="shared" si="73"/>
        <v>0.34404653865796053</v>
      </c>
      <c r="G227">
        <f t="shared" si="83"/>
        <v>0.20733901198169979</v>
      </c>
      <c r="I227">
        <v>116.3596</v>
      </c>
      <c r="J227">
        <v>0.11477476716746744</v>
      </c>
      <c r="K227">
        <f t="shared" si="67"/>
        <v>13.355145997699644</v>
      </c>
      <c r="L227">
        <f t="shared" si="74"/>
        <v>-2.3621624388397877</v>
      </c>
      <c r="M227">
        <f t="shared" si="75"/>
        <v>3.1431313123666871</v>
      </c>
      <c r="N227">
        <f t="shared" si="84"/>
        <v>2.6747950815258714</v>
      </c>
      <c r="P227">
        <v>112.3451</v>
      </c>
      <c r="Q227">
        <v>0.4162505974807138</v>
      </c>
      <c r="R227">
        <f t="shared" si="68"/>
        <v>46.76371499903054</v>
      </c>
      <c r="S227">
        <f t="shared" si="76"/>
        <v>-3.2033856226720836E-2</v>
      </c>
      <c r="T227">
        <f t="shared" si="77"/>
        <v>0.8130027297536202</v>
      </c>
      <c r="U227">
        <f t="shared" si="85"/>
        <v>0.86385019656221029</v>
      </c>
      <c r="W227">
        <v>115.81440000000001</v>
      </c>
      <c r="X227">
        <v>1.6686319488381153E-2</v>
      </c>
      <c r="Y227">
        <f t="shared" si="69"/>
        <v>1.9325160797551704</v>
      </c>
      <c r="Z227">
        <f t="shared" si="78"/>
        <v>-2.5456981126677269</v>
      </c>
      <c r="AA227">
        <f t="shared" si="79"/>
        <v>3.3266669861946263</v>
      </c>
      <c r="AB227">
        <f t="shared" si="86"/>
        <v>1.3496730652123201</v>
      </c>
      <c r="AD227">
        <v>118.3492</v>
      </c>
      <c r="AE227">
        <v>0.37658627514729776</v>
      </c>
      <c r="AF227">
        <f t="shared" si="70"/>
        <v>44.568684394662569</v>
      </c>
      <c r="AG227">
        <f t="shared" si="80"/>
        <v>2.8889964973166871</v>
      </c>
      <c r="AH227">
        <f t="shared" si="81"/>
        <v>2.1080276237897877</v>
      </c>
      <c r="AI227">
        <f t="shared" si="87"/>
        <v>0.7250452421585174</v>
      </c>
      <c r="AL227">
        <f t="shared" si="71"/>
        <v>117.40228041973549</v>
      </c>
      <c r="AM227">
        <f t="shared" si="82"/>
        <v>0.78096887352689937</v>
      </c>
    </row>
    <row r="228" spans="1:39" x14ac:dyDescent="0.35">
      <c r="A228" s="2">
        <v>43374</v>
      </c>
      <c r="B228">
        <v>140.05690000000001</v>
      </c>
      <c r="C228">
        <v>7.5702040716139798E-2</v>
      </c>
      <c r="D228">
        <f t="shared" si="66"/>
        <v>10.602593146376321</v>
      </c>
      <c r="E228">
        <f t="shared" si="72"/>
        <v>-1.6659446730562411</v>
      </c>
      <c r="F228">
        <f t="shared" si="73"/>
        <v>0.6326245413245779</v>
      </c>
      <c r="G228">
        <f t="shared" si="83"/>
        <v>0.28857800266661737</v>
      </c>
      <c r="I228">
        <v>113.2834</v>
      </c>
      <c r="J228">
        <v>0.11477476716746744</v>
      </c>
      <c r="K228">
        <f t="shared" si="67"/>
        <v>13.002075858939081</v>
      </c>
      <c r="L228">
        <f t="shared" si="74"/>
        <v>-2.6437010783811554</v>
      </c>
      <c r="M228">
        <f t="shared" si="75"/>
        <v>0.34513186400033646</v>
      </c>
      <c r="N228">
        <f t="shared" si="84"/>
        <v>2.7979994483663506</v>
      </c>
      <c r="P228">
        <v>107.548</v>
      </c>
      <c r="Q228">
        <v>0.4162505974807138</v>
      </c>
      <c r="R228">
        <f t="shared" si="68"/>
        <v>44.766919257855811</v>
      </c>
      <c r="S228">
        <f t="shared" si="76"/>
        <v>-4.2699681606051314</v>
      </c>
      <c r="T228">
        <f t="shared" si="77"/>
        <v>1.9713989462243124</v>
      </c>
      <c r="U228">
        <f t="shared" si="85"/>
        <v>1.1583962164706922</v>
      </c>
      <c r="W228">
        <v>115.72450000000001</v>
      </c>
      <c r="X228">
        <v>1.6686319488381153E-2</v>
      </c>
      <c r="Y228">
        <f t="shared" si="69"/>
        <v>1.9310159796331647</v>
      </c>
      <c r="Z228">
        <f t="shared" si="78"/>
        <v>-7.7624198717951565E-2</v>
      </c>
      <c r="AA228">
        <f t="shared" si="79"/>
        <v>2.2209450156628674</v>
      </c>
      <c r="AB228">
        <f t="shared" si="86"/>
        <v>1.1057219705317589</v>
      </c>
      <c r="AD228">
        <v>117.9042</v>
      </c>
      <c r="AE228">
        <v>0.37658627514729776</v>
      </c>
      <c r="AF228">
        <f t="shared" si="70"/>
        <v>44.401103502222028</v>
      </c>
      <c r="AG228">
        <f t="shared" si="80"/>
        <v>-0.37600592145954348</v>
      </c>
      <c r="AH228">
        <f t="shared" si="81"/>
        <v>1.9225632929212755</v>
      </c>
      <c r="AI228">
        <f t="shared" si="87"/>
        <v>0.18546433086851222</v>
      </c>
      <c r="AL228">
        <f t="shared" si="71"/>
        <v>114.70370774502641</v>
      </c>
      <c r="AM228">
        <f t="shared" si="82"/>
        <v>-2.298569214380819</v>
      </c>
    </row>
    <row r="229" spans="1:39" x14ac:dyDescent="0.35">
      <c r="A229" s="2">
        <v>43405</v>
      </c>
      <c r="B229">
        <v>138.87870000000001</v>
      </c>
      <c r="C229">
        <v>7.5702040716139798E-2</v>
      </c>
      <c r="D229">
        <f t="shared" si="66"/>
        <v>10.513401002004565</v>
      </c>
      <c r="E229">
        <f t="shared" si="72"/>
        <v>-0.84122952885578028</v>
      </c>
      <c r="F229">
        <f t="shared" si="73"/>
        <v>3.9482397159518396</v>
      </c>
      <c r="G229">
        <f t="shared" si="83"/>
        <v>3.3156151746272617</v>
      </c>
      <c r="I229">
        <v>108.7286</v>
      </c>
      <c r="J229">
        <v>0.11477476716746744</v>
      </c>
      <c r="K229">
        <f t="shared" si="67"/>
        <v>12.479299749444701</v>
      </c>
      <c r="L229">
        <f t="shared" si="74"/>
        <v>-4.0207126551639494</v>
      </c>
      <c r="M229">
        <f t="shared" si="75"/>
        <v>0.76875658964367055</v>
      </c>
      <c r="N229">
        <f t="shared" si="84"/>
        <v>0.42362472564333409</v>
      </c>
      <c r="P229">
        <v>97.667000000000002</v>
      </c>
      <c r="Q229">
        <v>0.4162505974807138</v>
      </c>
      <c r="R229">
        <f t="shared" si="68"/>
        <v>40.653947104148877</v>
      </c>
      <c r="S229">
        <f t="shared" si="76"/>
        <v>-9.1875255699780602</v>
      </c>
      <c r="T229">
        <f t="shared" si="77"/>
        <v>4.3980563251704403</v>
      </c>
      <c r="U229">
        <f t="shared" si="85"/>
        <v>2.4266573789461279</v>
      </c>
      <c r="W229">
        <v>111.1366</v>
      </c>
      <c r="X229">
        <v>1.6686319488381153E-2</v>
      </c>
      <c r="Y229">
        <f t="shared" si="69"/>
        <v>1.8544608144524208</v>
      </c>
      <c r="Z229">
        <f t="shared" si="78"/>
        <v>-3.9645018989064584</v>
      </c>
      <c r="AA229">
        <f t="shared" si="79"/>
        <v>0.8249673459011615</v>
      </c>
      <c r="AB229">
        <f t="shared" si="86"/>
        <v>1.3959776697617059</v>
      </c>
      <c r="AD229">
        <v>116.06610000000001</v>
      </c>
      <c r="AE229">
        <v>0.37658627514729776</v>
      </c>
      <c r="AF229">
        <f t="shared" si="70"/>
        <v>43.70890026987378</v>
      </c>
      <c r="AG229">
        <f t="shared" si="80"/>
        <v>-1.5589775427847341</v>
      </c>
      <c r="AH229">
        <f t="shared" si="81"/>
        <v>3.2304917020228858</v>
      </c>
      <c r="AI229">
        <f t="shared" si="87"/>
        <v>1.3079284091016103</v>
      </c>
      <c r="AL229">
        <f t="shared" si="71"/>
        <v>109.21000893992435</v>
      </c>
      <c r="AM229">
        <f t="shared" si="82"/>
        <v>-4.7894692448076199</v>
      </c>
    </row>
    <row r="230" spans="1:39" x14ac:dyDescent="0.35">
      <c r="A230" s="2">
        <v>43435</v>
      </c>
      <c r="B230">
        <v>137.4374</v>
      </c>
      <c r="C230">
        <v>7.5702040716139798E-2</v>
      </c>
      <c r="D230">
        <f t="shared" si="66"/>
        <v>10.404291650720392</v>
      </c>
      <c r="E230">
        <f t="shared" si="72"/>
        <v>-1.0378121338981527</v>
      </c>
      <c r="F230">
        <f t="shared" si="73"/>
        <v>1.4685316014124483</v>
      </c>
      <c r="G230">
        <f t="shared" si="83"/>
        <v>2.4797081145393913</v>
      </c>
      <c r="I230">
        <v>105.1893</v>
      </c>
      <c r="J230">
        <v>0.11477476716746744</v>
      </c>
      <c r="K230">
        <f t="shared" si="67"/>
        <v>12.073077416008884</v>
      </c>
      <c r="L230">
        <f t="shared" si="74"/>
        <v>-3.2551692930838816</v>
      </c>
      <c r="M230">
        <f t="shared" si="75"/>
        <v>0.74882555777328053</v>
      </c>
      <c r="N230">
        <f t="shared" si="84"/>
        <v>1.9931031870390026E-2</v>
      </c>
      <c r="P230">
        <v>94.416880000000006</v>
      </c>
      <c r="Q230">
        <v>0.4162505974807138</v>
      </c>
      <c r="R230">
        <f t="shared" si="68"/>
        <v>39.301082712264858</v>
      </c>
      <c r="S230">
        <f t="shared" si="76"/>
        <v>-3.3277565605578041</v>
      </c>
      <c r="T230">
        <f t="shared" si="77"/>
        <v>0.82141282524720305</v>
      </c>
      <c r="U230">
        <f t="shared" si="85"/>
        <v>3.5766434999232373</v>
      </c>
      <c r="W230">
        <v>109.3283</v>
      </c>
      <c r="X230">
        <v>1.6686319488381153E-2</v>
      </c>
      <c r="Y230">
        <f t="shared" si="69"/>
        <v>1.8242869429215811</v>
      </c>
      <c r="Z230">
        <f t="shared" si="78"/>
        <v>-1.6270967440069284</v>
      </c>
      <c r="AA230">
        <f t="shared" si="79"/>
        <v>0.87924699130367268</v>
      </c>
      <c r="AB230">
        <f t="shared" si="86"/>
        <v>5.4279645402511179E-2</v>
      </c>
      <c r="AD230">
        <v>113.8387</v>
      </c>
      <c r="AE230">
        <v>0.37658627514729776</v>
      </c>
      <c r="AF230">
        <f t="shared" si="70"/>
        <v>42.870092000610683</v>
      </c>
      <c r="AG230">
        <f t="shared" si="80"/>
        <v>-1.9190788697130312</v>
      </c>
      <c r="AH230">
        <f t="shared" si="81"/>
        <v>0.58726486559756985</v>
      </c>
      <c r="AI230">
        <f t="shared" si="87"/>
        <v>2.643226836425316</v>
      </c>
      <c r="AL230">
        <f t="shared" si="71"/>
        <v>106.47283072252641</v>
      </c>
      <c r="AM230">
        <f t="shared" si="82"/>
        <v>-2.5063437353106011</v>
      </c>
    </row>
    <row r="231" spans="1:39" x14ac:dyDescent="0.35">
      <c r="A231" s="2">
        <v>43466</v>
      </c>
      <c r="B231">
        <v>143.06010000000001</v>
      </c>
      <c r="C231">
        <v>7.5768448919454945E-2</v>
      </c>
      <c r="D231">
        <f t="shared" si="66"/>
        <v>10.839441879262116</v>
      </c>
      <c r="E231">
        <f t="shared" si="72"/>
        <v>4.0910989294034916</v>
      </c>
      <c r="F231">
        <f t="shared" si="73"/>
        <v>0.15402005044722333</v>
      </c>
      <c r="G231">
        <f t="shared" si="83"/>
        <v>1.314511550965225</v>
      </c>
      <c r="I231">
        <v>108.5382</v>
      </c>
      <c r="J231">
        <v>0.11766198416211798</v>
      </c>
      <c r="K231">
        <f t="shared" si="67"/>
        <v>12.770819969384794</v>
      </c>
      <c r="L231">
        <f t="shared" si="74"/>
        <v>3.18368883527127</v>
      </c>
      <c r="M231">
        <f t="shared" si="75"/>
        <v>1.061430144579445</v>
      </c>
      <c r="N231">
        <f t="shared" si="84"/>
        <v>0.31260458680616443</v>
      </c>
      <c r="P231">
        <v>98.880039999999994</v>
      </c>
      <c r="Q231">
        <v>0.41239232273675086</v>
      </c>
      <c r="R231">
        <f t="shared" si="68"/>
        <v>40.777369367902836</v>
      </c>
      <c r="S231">
        <f t="shared" si="76"/>
        <v>4.7270784630883744</v>
      </c>
      <c r="T231">
        <f t="shared" si="77"/>
        <v>0.48195948323765947</v>
      </c>
      <c r="U231">
        <f t="shared" si="85"/>
        <v>0.33945334200954358</v>
      </c>
      <c r="W231">
        <v>108.5934</v>
      </c>
      <c r="X231">
        <v>1.6978532293670631E-2</v>
      </c>
      <c r="Y231">
        <f t="shared" si="69"/>
        <v>1.8437565487794922</v>
      </c>
      <c r="Z231">
        <f t="shared" si="78"/>
        <v>-0.67219557973552391</v>
      </c>
      <c r="AA231">
        <f t="shared" si="79"/>
        <v>4.9173145595862389</v>
      </c>
      <c r="AB231">
        <f t="shared" si="86"/>
        <v>4.0380675682825657</v>
      </c>
      <c r="AD231">
        <v>118.6678</v>
      </c>
      <c r="AE231">
        <v>0.37719871188800558</v>
      </c>
      <c r="AF231">
        <f t="shared" si="70"/>
        <v>44.761341302583467</v>
      </c>
      <c r="AG231">
        <f t="shared" si="80"/>
        <v>4.2420547669641318</v>
      </c>
      <c r="AH231">
        <f t="shared" si="81"/>
        <v>3.0642128865832063E-3</v>
      </c>
      <c r="AI231">
        <f t="shared" si="87"/>
        <v>0.58420065271098665</v>
      </c>
      <c r="AL231">
        <f t="shared" si="71"/>
        <v>110.99272906791271</v>
      </c>
      <c r="AM231">
        <f t="shared" si="82"/>
        <v>4.245118979850715</v>
      </c>
    </row>
    <row r="232" spans="1:39" x14ac:dyDescent="0.35">
      <c r="A232" s="2">
        <v>43497</v>
      </c>
      <c r="B232">
        <v>145.12899999999999</v>
      </c>
      <c r="C232">
        <v>7.5768448919454945E-2</v>
      </c>
      <c r="D232">
        <f t="shared" si="66"/>
        <v>10.996199223231576</v>
      </c>
      <c r="E232">
        <f t="shared" si="72"/>
        <v>1.4461754185828068</v>
      </c>
      <c r="F232">
        <f t="shared" si="73"/>
        <v>2.3274947185844885</v>
      </c>
      <c r="G232">
        <f t="shared" si="83"/>
        <v>2.1734746681372652</v>
      </c>
      <c r="I232">
        <v>115.5072</v>
      </c>
      <c r="J232">
        <v>0.11766198416211798</v>
      </c>
      <c r="K232">
        <f t="shared" si="67"/>
        <v>13.590806337010594</v>
      </c>
      <c r="L232">
        <f t="shared" si="74"/>
        <v>6.420780886360733</v>
      </c>
      <c r="M232">
        <f t="shared" si="75"/>
        <v>2.6471107491934376</v>
      </c>
      <c r="N232">
        <f t="shared" si="84"/>
        <v>1.5856806046139926</v>
      </c>
      <c r="P232">
        <v>98.726650000000006</v>
      </c>
      <c r="Q232">
        <v>0.41239232273675086</v>
      </c>
      <c r="R232">
        <f t="shared" si="68"/>
        <v>40.714112509518245</v>
      </c>
      <c r="S232">
        <f t="shared" si="76"/>
        <v>-0.15512736443066277</v>
      </c>
      <c r="T232">
        <f t="shared" si="77"/>
        <v>3.9287975015979582</v>
      </c>
      <c r="U232">
        <f t="shared" si="85"/>
        <v>3.4468380183602987</v>
      </c>
      <c r="W232">
        <v>102.44750000000001</v>
      </c>
      <c r="X232">
        <v>1.6978532293670631E-2</v>
      </c>
      <c r="Y232">
        <f t="shared" si="69"/>
        <v>1.739408187155822</v>
      </c>
      <c r="Z232">
        <f t="shared" si="78"/>
        <v>-5.659552053808059</v>
      </c>
      <c r="AA232">
        <f t="shared" si="79"/>
        <v>9.4332221909753535</v>
      </c>
      <c r="AB232">
        <f t="shared" si="86"/>
        <v>4.5159076313891147</v>
      </c>
      <c r="AD232">
        <v>127.62690000000001</v>
      </c>
      <c r="AE232">
        <v>0.37719871188800558</v>
      </c>
      <c r="AF232">
        <f t="shared" si="70"/>
        <v>48.140702282259305</v>
      </c>
      <c r="AG232">
        <f t="shared" si="80"/>
        <v>7.5497312666115146</v>
      </c>
      <c r="AH232">
        <f t="shared" si="81"/>
        <v>3.7760611294442192</v>
      </c>
      <c r="AI232">
        <f t="shared" si="87"/>
        <v>3.772996916557636</v>
      </c>
      <c r="AL232">
        <f t="shared" si="71"/>
        <v>115.18122853917554</v>
      </c>
      <c r="AM232">
        <f t="shared" si="82"/>
        <v>3.7736701371672954</v>
      </c>
    </row>
    <row r="233" spans="1:39" x14ac:dyDescent="0.35">
      <c r="A233" s="2">
        <v>43525</v>
      </c>
      <c r="B233">
        <v>141.28909999999999</v>
      </c>
      <c r="C233">
        <v>7.5768448919454945E-2</v>
      </c>
      <c r="D233">
        <f t="shared" si="66"/>
        <v>10.705255956225761</v>
      </c>
      <c r="E233">
        <f t="shared" si="72"/>
        <v>-2.6458529997450575</v>
      </c>
      <c r="F233">
        <f t="shared" si="73"/>
        <v>1.3148892639363474</v>
      </c>
      <c r="G233">
        <f t="shared" si="83"/>
        <v>1.0126054546481411</v>
      </c>
      <c r="I233">
        <v>121.3776</v>
      </c>
      <c r="J233">
        <v>0.11766198416211798</v>
      </c>
      <c r="K233">
        <f t="shared" si="67"/>
        <v>14.281529248835891</v>
      </c>
      <c r="L233">
        <f t="shared" si="74"/>
        <v>5.0822805851063801</v>
      </c>
      <c r="M233">
        <f t="shared" si="75"/>
        <v>6.4132443209150907</v>
      </c>
      <c r="N233">
        <f t="shared" si="84"/>
        <v>3.7661335717216531</v>
      </c>
      <c r="P233">
        <v>96.532539999999997</v>
      </c>
      <c r="Q233">
        <v>0.41239232273675086</v>
      </c>
      <c r="R233">
        <f t="shared" si="68"/>
        <v>39.809278390278308</v>
      </c>
      <c r="S233">
        <f t="shared" si="76"/>
        <v>-2.2224090455819301</v>
      </c>
      <c r="T233">
        <f t="shared" si="77"/>
        <v>0.89144530977322001</v>
      </c>
      <c r="U233">
        <f t="shared" si="85"/>
        <v>3.0373521918247381</v>
      </c>
      <c r="W233">
        <v>98.078379999999996</v>
      </c>
      <c r="X233">
        <v>1.6978532293670631E-2</v>
      </c>
      <c r="Y233">
        <f t="shared" si="69"/>
        <v>1.6652269421408996</v>
      </c>
      <c r="Z233">
        <f t="shared" si="78"/>
        <v>-4.2647404768296093</v>
      </c>
      <c r="AA233">
        <f t="shared" si="79"/>
        <v>2.9337767410208992</v>
      </c>
      <c r="AB233">
        <f t="shared" si="86"/>
        <v>6.4994454499544538</v>
      </c>
      <c r="AD233">
        <v>125.09829999999999</v>
      </c>
      <c r="AE233">
        <v>0.37719871188800558</v>
      </c>
      <c r="AF233">
        <f t="shared" si="70"/>
        <v>47.186917619379287</v>
      </c>
      <c r="AG233">
        <f t="shared" si="80"/>
        <v>-1.9812437660085891</v>
      </c>
      <c r="AH233">
        <f t="shared" si="81"/>
        <v>0.65028003019987901</v>
      </c>
      <c r="AI233">
        <f t="shared" si="87"/>
        <v>3.1257810992443402</v>
      </c>
      <c r="AL233">
        <f t="shared" si="71"/>
        <v>113.64820815686015</v>
      </c>
      <c r="AM233">
        <f t="shared" si="82"/>
        <v>-1.3309637358087101</v>
      </c>
    </row>
    <row r="234" spans="1:39" x14ac:dyDescent="0.35">
      <c r="A234" s="2">
        <v>43556</v>
      </c>
      <c r="B234">
        <v>140.88419999999999</v>
      </c>
      <c r="C234">
        <v>7.5768448919454945E-2</v>
      </c>
      <c r="D234">
        <f t="shared" si="66"/>
        <v>10.674577311258274</v>
      </c>
      <c r="E234">
        <f t="shared" si="72"/>
        <v>-0.28657553908970623</v>
      </c>
      <c r="F234">
        <f t="shared" si="73"/>
        <v>0.49825894845538787</v>
      </c>
      <c r="G234">
        <f t="shared" si="83"/>
        <v>0.81663031548095955</v>
      </c>
      <c r="I234">
        <v>123.8687</v>
      </c>
      <c r="J234">
        <v>0.11766198416211798</v>
      </c>
      <c r="K234">
        <f t="shared" si="67"/>
        <v>14.574637017582145</v>
      </c>
      <c r="L234">
        <f t="shared" si="74"/>
        <v>2.0523556241019758</v>
      </c>
      <c r="M234">
        <f t="shared" si="75"/>
        <v>1.8406722147362942</v>
      </c>
      <c r="N234">
        <f t="shared" si="84"/>
        <v>4.5725721061787965</v>
      </c>
      <c r="P234">
        <v>102.038</v>
      </c>
      <c r="Q234">
        <v>0.41239232273675086</v>
      </c>
      <c r="R234">
        <f t="shared" si="68"/>
        <v>42.079687827412585</v>
      </c>
      <c r="S234">
        <f t="shared" si="76"/>
        <v>5.7032167598614958</v>
      </c>
      <c r="T234">
        <f t="shared" si="77"/>
        <v>5.4915333504958141</v>
      </c>
      <c r="U234">
        <f t="shared" si="85"/>
        <v>4.6000880407225946</v>
      </c>
      <c r="W234">
        <v>95.466350000000006</v>
      </c>
      <c r="X234">
        <v>1.6978532293670631E-2</v>
      </c>
      <c r="Y234">
        <f t="shared" si="69"/>
        <v>1.6208785064338633</v>
      </c>
      <c r="Z234">
        <f t="shared" si="78"/>
        <v>-2.6632067128351755</v>
      </c>
      <c r="AA234">
        <f t="shared" si="79"/>
        <v>2.8748901222008572</v>
      </c>
      <c r="AB234">
        <f t="shared" si="86"/>
        <v>5.8886618820042091E-2</v>
      </c>
      <c r="AD234">
        <v>119.1388</v>
      </c>
      <c r="AE234">
        <v>0.37719871188800558</v>
      </c>
      <c r="AF234">
        <f t="shared" si="70"/>
        <v>44.939001895882718</v>
      </c>
      <c r="AG234">
        <f t="shared" si="80"/>
        <v>-4.7638537054460306</v>
      </c>
      <c r="AH234">
        <f t="shared" si="81"/>
        <v>4.9755371148117122</v>
      </c>
      <c r="AI234">
        <f t="shared" si="87"/>
        <v>4.3252570846118328</v>
      </c>
      <c r="AL234">
        <f t="shared" si="71"/>
        <v>113.88878255856959</v>
      </c>
      <c r="AM234">
        <f t="shared" si="82"/>
        <v>0.21168340936568164</v>
      </c>
    </row>
    <row r="235" spans="1:39" x14ac:dyDescent="0.35">
      <c r="A235" s="2">
        <v>43586</v>
      </c>
      <c r="B235">
        <v>134.9571</v>
      </c>
      <c r="C235">
        <v>7.5768448919454945E-2</v>
      </c>
      <c r="D235">
        <f t="shared" si="66"/>
        <v>10.225490137667773</v>
      </c>
      <c r="E235">
        <f t="shared" si="72"/>
        <v>-4.2070721912038422</v>
      </c>
      <c r="F235">
        <f t="shared" si="73"/>
        <v>1.1569266304395249</v>
      </c>
      <c r="G235">
        <f t="shared" si="83"/>
        <v>0.65866768198413705</v>
      </c>
      <c r="I235">
        <v>117.3068</v>
      </c>
      <c r="J235">
        <v>0.11766198416211798</v>
      </c>
      <c r="K235">
        <f t="shared" si="67"/>
        <v>13.802550843708742</v>
      </c>
      <c r="L235">
        <f t="shared" si="74"/>
        <v>-5.2974641697216551</v>
      </c>
      <c r="M235">
        <f t="shared" si="75"/>
        <v>6.653465192171204E-2</v>
      </c>
      <c r="N235">
        <f t="shared" si="84"/>
        <v>1.7741375628145821</v>
      </c>
      <c r="P235">
        <v>98.694760000000002</v>
      </c>
      <c r="Q235">
        <v>0.41239232273675086</v>
      </c>
      <c r="R235">
        <f t="shared" si="68"/>
        <v>40.700961318346174</v>
      </c>
      <c r="S235">
        <f t="shared" si="76"/>
        <v>-3.2764656304513973</v>
      </c>
      <c r="T235">
        <f t="shared" si="77"/>
        <v>2.0875331911919699</v>
      </c>
      <c r="U235">
        <f t="shared" si="85"/>
        <v>3.4040001593038443</v>
      </c>
      <c r="W235">
        <v>95.923209999999997</v>
      </c>
      <c r="X235">
        <v>1.6978532293670631E-2</v>
      </c>
      <c r="Y235">
        <f t="shared" si="69"/>
        <v>1.6286353186975495</v>
      </c>
      <c r="Z235">
        <f t="shared" si="78"/>
        <v>0.47855605666289325</v>
      </c>
      <c r="AA235">
        <f t="shared" si="79"/>
        <v>5.8425548783062604</v>
      </c>
      <c r="AB235">
        <f t="shared" si="86"/>
        <v>2.9676647561054033</v>
      </c>
      <c r="AD235">
        <v>109.8152</v>
      </c>
      <c r="AE235">
        <v>0.37719871188800558</v>
      </c>
      <c r="AF235">
        <f t="shared" si="70"/>
        <v>41.422151985723708</v>
      </c>
      <c r="AG235">
        <f t="shared" si="80"/>
        <v>-7.8258300402555658</v>
      </c>
      <c r="AH235">
        <f t="shared" si="81"/>
        <v>2.4618312186121987</v>
      </c>
      <c r="AI235">
        <f t="shared" si="87"/>
        <v>2.5137058961995136</v>
      </c>
      <c r="AL235">
        <f t="shared" si="71"/>
        <v>107.77978960414394</v>
      </c>
      <c r="AM235">
        <f t="shared" si="82"/>
        <v>-5.3639988216433672</v>
      </c>
    </row>
    <row r="236" spans="1:39" x14ac:dyDescent="0.35">
      <c r="A236" s="2">
        <v>43617</v>
      </c>
      <c r="B236">
        <v>135.97550000000001</v>
      </c>
      <c r="C236">
        <v>7.5768448919454945E-2</v>
      </c>
      <c r="D236">
        <f t="shared" si="66"/>
        <v>10.302652726047347</v>
      </c>
      <c r="E236">
        <f t="shared" si="72"/>
        <v>0.75461016871287701</v>
      </c>
      <c r="F236">
        <f t="shared" si="73"/>
        <v>1.4640152461483646</v>
      </c>
      <c r="G236">
        <f t="shared" si="83"/>
        <v>0.30708861570883972</v>
      </c>
      <c r="I236">
        <v>118.5663</v>
      </c>
      <c r="J236">
        <v>0.11766198416211798</v>
      </c>
      <c r="K236">
        <f t="shared" si="67"/>
        <v>13.95074611276093</v>
      </c>
      <c r="L236">
        <f t="shared" si="74"/>
        <v>1.0736802981583304</v>
      </c>
      <c r="M236">
        <f t="shared" si="75"/>
        <v>1.1449451167029112</v>
      </c>
      <c r="N236">
        <f t="shared" si="84"/>
        <v>1.0784104647811992</v>
      </c>
      <c r="P236">
        <v>98.921019999999999</v>
      </c>
      <c r="Q236">
        <v>0.41239232273675086</v>
      </c>
      <c r="R236">
        <f t="shared" si="68"/>
        <v>40.794269205288586</v>
      </c>
      <c r="S236">
        <f t="shared" si="76"/>
        <v>0.22925229262424907</v>
      </c>
      <c r="T236">
        <f t="shared" si="77"/>
        <v>1.9893731222369926</v>
      </c>
      <c r="U236">
        <f t="shared" si="85"/>
        <v>9.8160068954977309E-2</v>
      </c>
      <c r="W236">
        <v>93.413250000000005</v>
      </c>
      <c r="X236">
        <v>1.6978532293670631E-2</v>
      </c>
      <c r="Y236">
        <f t="shared" si="69"/>
        <v>1.5860198817817281</v>
      </c>
      <c r="Z236">
        <f t="shared" si="78"/>
        <v>-2.6166347018620306</v>
      </c>
      <c r="AA236">
        <f t="shared" si="79"/>
        <v>4.8352601167232727</v>
      </c>
      <c r="AB236">
        <f t="shared" si="86"/>
        <v>1.0072947615829877</v>
      </c>
      <c r="AD236">
        <v>115.4228</v>
      </c>
      <c r="AE236">
        <v>0.37719871188800558</v>
      </c>
      <c r="AF236">
        <f t="shared" si="70"/>
        <v>43.537331482506886</v>
      </c>
      <c r="AG236">
        <f t="shared" si="80"/>
        <v>5.1063969286583299</v>
      </c>
      <c r="AH236">
        <f t="shared" si="81"/>
        <v>2.8877715137970883</v>
      </c>
      <c r="AI236">
        <f t="shared" si="87"/>
        <v>0.42594029518488963</v>
      </c>
      <c r="AL236">
        <f t="shared" si="71"/>
        <v>110.17101940838546</v>
      </c>
      <c r="AM236">
        <f t="shared" si="82"/>
        <v>2.2186254148612417</v>
      </c>
    </row>
    <row r="237" spans="1:39" x14ac:dyDescent="0.35">
      <c r="A237" s="2">
        <v>43647</v>
      </c>
      <c r="B237">
        <v>135.77959999999999</v>
      </c>
      <c r="C237">
        <v>7.5768448919454945E-2</v>
      </c>
      <c r="D237">
        <f t="shared" si="66"/>
        <v>10.287809686904025</v>
      </c>
      <c r="E237">
        <f t="shared" si="72"/>
        <v>-0.14407007144671136</v>
      </c>
      <c r="F237">
        <f t="shared" si="73"/>
        <v>2.6878433021688131</v>
      </c>
      <c r="G237">
        <f t="shared" si="83"/>
        <v>1.2238280560204484</v>
      </c>
      <c r="I237">
        <v>123.30070000000001</v>
      </c>
      <c r="J237">
        <v>0.11766198416211798</v>
      </c>
      <c r="K237">
        <f t="shared" si="67"/>
        <v>14.507805010578062</v>
      </c>
      <c r="L237">
        <f t="shared" si="74"/>
        <v>3.9930401808945692</v>
      </c>
      <c r="M237">
        <f t="shared" si="75"/>
        <v>1.4492669501724675</v>
      </c>
      <c r="N237">
        <f t="shared" si="84"/>
        <v>0.30432183346955632</v>
      </c>
      <c r="P237">
        <v>96.279049999999998</v>
      </c>
      <c r="Q237">
        <v>0.41239232273675086</v>
      </c>
      <c r="R237">
        <f t="shared" si="68"/>
        <v>39.704741060387775</v>
      </c>
      <c r="S237">
        <f t="shared" si="76"/>
        <v>-2.6707872603820682</v>
      </c>
      <c r="T237">
        <f t="shared" si="77"/>
        <v>5.2145604911041694</v>
      </c>
      <c r="U237">
        <f t="shared" si="85"/>
        <v>3.2251873688671768</v>
      </c>
      <c r="W237">
        <v>92.417190000000005</v>
      </c>
      <c r="X237">
        <v>1.6978532293670631E-2</v>
      </c>
      <c r="Y237">
        <f t="shared" si="69"/>
        <v>1.5691082449052944</v>
      </c>
      <c r="Z237">
        <f t="shared" si="78"/>
        <v>-1.0662941285096039</v>
      </c>
      <c r="AA237">
        <f t="shared" si="79"/>
        <v>3.6100673592317056</v>
      </c>
      <c r="AB237">
        <f t="shared" si="86"/>
        <v>1.2251927574915671</v>
      </c>
      <c r="AD237">
        <v>124.3484</v>
      </c>
      <c r="AE237">
        <v>0.37719871188800558</v>
      </c>
      <c r="AF237">
        <f t="shared" si="70"/>
        <v>46.904056305334471</v>
      </c>
      <c r="AG237">
        <f t="shared" si="80"/>
        <v>7.7329609054710202</v>
      </c>
      <c r="AH237">
        <f t="shared" si="81"/>
        <v>5.1891876747489185</v>
      </c>
      <c r="AI237">
        <f t="shared" si="87"/>
        <v>2.3014161609518302</v>
      </c>
      <c r="AL237">
        <f t="shared" si="71"/>
        <v>112.97352030810963</v>
      </c>
      <c r="AM237">
        <f t="shared" si="82"/>
        <v>2.5437732307221017</v>
      </c>
    </row>
    <row r="238" spans="1:39" x14ac:dyDescent="0.35">
      <c r="A238" s="2">
        <v>43678</v>
      </c>
      <c r="B238">
        <v>128.79249999999999</v>
      </c>
      <c r="C238">
        <v>7.5768448919454945E-2</v>
      </c>
      <c r="D238">
        <f t="shared" si="66"/>
        <v>9.7584079574588998</v>
      </c>
      <c r="E238">
        <f t="shared" si="72"/>
        <v>-5.1459129353746746</v>
      </c>
      <c r="F238">
        <f t="shared" si="73"/>
        <v>1.3431529517929697</v>
      </c>
      <c r="G238">
        <f t="shared" si="83"/>
        <v>1.3446903503758434</v>
      </c>
      <c r="I238">
        <v>119.2291</v>
      </c>
      <c r="J238">
        <v>0.11766198416211798</v>
      </c>
      <c r="K238">
        <f t="shared" si="67"/>
        <v>14.028732475863581</v>
      </c>
      <c r="L238">
        <f t="shared" si="74"/>
        <v>-3.3021710339033006</v>
      </c>
      <c r="M238">
        <f t="shared" si="75"/>
        <v>0.50058894967840439</v>
      </c>
      <c r="N238">
        <f t="shared" si="84"/>
        <v>0.94867800049406314</v>
      </c>
      <c r="P238">
        <v>91.360389999999995</v>
      </c>
      <c r="Q238">
        <v>0.41239232273675086</v>
      </c>
      <c r="R238">
        <f t="shared" si="68"/>
        <v>37.676323438235421</v>
      </c>
      <c r="S238">
        <f t="shared" si="76"/>
        <v>-5.1087541889954231</v>
      </c>
      <c r="T238">
        <f t="shared" si="77"/>
        <v>1.3059942054137181</v>
      </c>
      <c r="U238">
        <f t="shared" si="85"/>
        <v>3.9085662856904513</v>
      </c>
      <c r="W238">
        <v>91.058750000000003</v>
      </c>
      <c r="X238">
        <v>1.6978532293670631E-2</v>
      </c>
      <c r="Y238">
        <f t="shared" si="69"/>
        <v>1.5460439274962805</v>
      </c>
      <c r="Z238">
        <f t="shared" si="78"/>
        <v>-1.4698997015598514</v>
      </c>
      <c r="AA238">
        <f t="shared" si="79"/>
        <v>2.3328602820218536</v>
      </c>
      <c r="AB238">
        <f t="shared" si="86"/>
        <v>1.277207077209852</v>
      </c>
      <c r="AD238">
        <v>121.0712</v>
      </c>
      <c r="AE238">
        <v>0.37719871188800558</v>
      </c>
      <c r="AF238">
        <f t="shared" si="70"/>
        <v>45.667900686735102</v>
      </c>
      <c r="AG238">
        <f t="shared" si="80"/>
        <v>-2.6354983256720588</v>
      </c>
      <c r="AH238">
        <f t="shared" si="81"/>
        <v>1.1672616579096462</v>
      </c>
      <c r="AI238">
        <f t="shared" si="87"/>
        <v>4.0219260168392719</v>
      </c>
      <c r="AL238">
        <f t="shared" si="71"/>
        <v>108.67740848578929</v>
      </c>
      <c r="AM238">
        <f t="shared" si="82"/>
        <v>-3.802759983581705</v>
      </c>
    </row>
    <row r="239" spans="1:39" x14ac:dyDescent="0.35">
      <c r="A239" s="2">
        <v>43709</v>
      </c>
      <c r="B239">
        <v>132.5615</v>
      </c>
      <c r="C239">
        <v>7.5768448919454945E-2</v>
      </c>
      <c r="D239">
        <f t="shared" si="66"/>
        <v>10.043979241436327</v>
      </c>
      <c r="E239">
        <f t="shared" si="72"/>
        <v>2.9264126404876079</v>
      </c>
      <c r="F239">
        <f t="shared" si="73"/>
        <v>1.6770502386979969</v>
      </c>
      <c r="G239">
        <f t="shared" si="83"/>
        <v>0.33389728690502718</v>
      </c>
      <c r="I239">
        <v>122.96729999999999</v>
      </c>
      <c r="J239">
        <v>0.11766198416211798</v>
      </c>
      <c r="K239">
        <f t="shared" si="67"/>
        <v>14.46857650505841</v>
      </c>
      <c r="L239">
        <f t="shared" si="74"/>
        <v>3.1353084104467799</v>
      </c>
      <c r="M239">
        <f t="shared" si="75"/>
        <v>1.4681544687388248</v>
      </c>
      <c r="N239">
        <f t="shared" si="84"/>
        <v>0.96756551906042043</v>
      </c>
      <c r="P239">
        <v>97.594880000000003</v>
      </c>
      <c r="Q239">
        <v>0.41239232273675086</v>
      </c>
      <c r="R239">
        <f t="shared" si="68"/>
        <v>40.247379250414475</v>
      </c>
      <c r="S239">
        <f t="shared" si="76"/>
        <v>6.8240623753904828</v>
      </c>
      <c r="T239">
        <f t="shared" si="77"/>
        <v>2.2205994962048781</v>
      </c>
      <c r="U239">
        <f t="shared" si="85"/>
        <v>0.91460529079115993</v>
      </c>
      <c r="W239">
        <v>89.679479999999998</v>
      </c>
      <c r="X239">
        <v>1.6978532293670631E-2</v>
      </c>
      <c r="Y239">
        <f t="shared" si="69"/>
        <v>1.5226259472595893</v>
      </c>
      <c r="Z239">
        <f t="shared" si="78"/>
        <v>-1.5147034194956666</v>
      </c>
      <c r="AA239">
        <f t="shared" si="79"/>
        <v>6.1181662986812713</v>
      </c>
      <c r="AB239">
        <f t="shared" si="86"/>
        <v>3.7853060166594177</v>
      </c>
      <c r="AD239">
        <v>125.65730000000001</v>
      </c>
      <c r="AE239">
        <v>0.37719871188800558</v>
      </c>
      <c r="AF239">
        <f t="shared" si="70"/>
        <v>47.397771699324686</v>
      </c>
      <c r="AG239">
        <f t="shared" si="80"/>
        <v>3.7879363548060985</v>
      </c>
      <c r="AH239">
        <f t="shared" si="81"/>
        <v>0.81552652437950623</v>
      </c>
      <c r="AI239">
        <f t="shared" si="87"/>
        <v>0.35173513353013997</v>
      </c>
      <c r="AL239">
        <f t="shared" si="71"/>
        <v>113.6803326434935</v>
      </c>
      <c r="AM239">
        <f t="shared" si="82"/>
        <v>4.6034628791856047</v>
      </c>
    </row>
    <row r="240" spans="1:39" x14ac:dyDescent="0.35">
      <c r="A240" s="2">
        <v>43739</v>
      </c>
      <c r="B240">
        <v>134.03790000000001</v>
      </c>
      <c r="C240">
        <v>7.5768448919454945E-2</v>
      </c>
      <c r="D240">
        <f t="shared" si="66"/>
        <v>10.15584377942101</v>
      </c>
      <c r="E240">
        <f t="shared" si="72"/>
        <v>1.1137472041279128</v>
      </c>
      <c r="F240">
        <f t="shared" si="73"/>
        <v>1.4584978058169606</v>
      </c>
      <c r="G240">
        <f t="shared" si="83"/>
        <v>0.21855243288103621</v>
      </c>
      <c r="I240">
        <v>124.19499999999999</v>
      </c>
      <c r="J240">
        <v>0.11766198416211798</v>
      </c>
      <c r="K240">
        <f t="shared" si="67"/>
        <v>14.613030123014243</v>
      </c>
      <c r="L240">
        <f t="shared" si="74"/>
        <v>0.99839550839939672</v>
      </c>
      <c r="M240">
        <f t="shared" si="75"/>
        <v>1.3431461100884445</v>
      </c>
      <c r="N240">
        <f t="shared" si="84"/>
        <v>0.12500835865038029</v>
      </c>
      <c r="P240">
        <v>98.463650000000001</v>
      </c>
      <c r="Q240">
        <v>0.41239232273675086</v>
      </c>
      <c r="R240">
        <f t="shared" si="68"/>
        <v>40.605653328638482</v>
      </c>
      <c r="S240">
        <f t="shared" si="76"/>
        <v>0.89017989468300751</v>
      </c>
      <c r="T240">
        <f t="shared" si="77"/>
        <v>1.2349304963720553</v>
      </c>
      <c r="U240">
        <f t="shared" si="85"/>
        <v>0.98566899983282275</v>
      </c>
      <c r="W240">
        <v>86.243290000000002</v>
      </c>
      <c r="X240">
        <v>1.6978532293670631E-2</v>
      </c>
      <c r="Y240">
        <f t="shared" si="69"/>
        <v>1.4642844843774014</v>
      </c>
      <c r="Z240">
        <f t="shared" si="78"/>
        <v>-3.8316346169714577</v>
      </c>
      <c r="AA240">
        <f t="shared" si="79"/>
        <v>3.4868840152824099</v>
      </c>
      <c r="AB240">
        <f t="shared" si="86"/>
        <v>2.6312822833988614</v>
      </c>
      <c r="AD240">
        <v>123.14360000000001</v>
      </c>
      <c r="AE240">
        <v>0.37719871188800558</v>
      </c>
      <c r="AF240">
        <f t="shared" si="70"/>
        <v>46.449607297251809</v>
      </c>
      <c r="AG240">
        <f t="shared" si="80"/>
        <v>-2.0004408816678421</v>
      </c>
      <c r="AH240">
        <f t="shared" si="81"/>
        <v>1.6556902799787943</v>
      </c>
      <c r="AI240">
        <f t="shared" si="87"/>
        <v>0.84016375559928802</v>
      </c>
      <c r="AL240">
        <f t="shared" si="71"/>
        <v>113.28841901270295</v>
      </c>
      <c r="AM240">
        <f t="shared" si="82"/>
        <v>-0.34475060168904781</v>
      </c>
    </row>
    <row r="241" spans="1:39" x14ac:dyDescent="0.35">
      <c r="A241" s="2">
        <v>43770</v>
      </c>
      <c r="B241">
        <v>123.7166</v>
      </c>
      <c r="C241">
        <v>7.5768448919454945E-2</v>
      </c>
      <c r="D241">
        <f t="shared" si="66"/>
        <v>9.3738148875886402</v>
      </c>
      <c r="E241">
        <f t="shared" si="72"/>
        <v>-7.7002847702030586</v>
      </c>
      <c r="F241">
        <f t="shared" si="73"/>
        <v>9.5201024394109055</v>
      </c>
      <c r="G241">
        <f t="shared" si="83"/>
        <v>8.0616046335939444</v>
      </c>
      <c r="I241">
        <v>125.8524</v>
      </c>
      <c r="J241">
        <v>0.11766198416211798</v>
      </c>
      <c r="K241">
        <f t="shared" si="67"/>
        <v>14.808043095564537</v>
      </c>
      <c r="L241">
        <f t="shared" si="74"/>
        <v>1.3345142719111136</v>
      </c>
      <c r="M241">
        <f t="shared" si="75"/>
        <v>0.48530339729673244</v>
      </c>
      <c r="N241">
        <f t="shared" si="84"/>
        <v>0.85784271279171209</v>
      </c>
      <c r="P241">
        <v>98.935389999999998</v>
      </c>
      <c r="Q241">
        <v>0.41239232273675086</v>
      </c>
      <c r="R241">
        <f t="shared" si="68"/>
        <v>40.800195282966314</v>
      </c>
      <c r="S241">
        <f t="shared" si="76"/>
        <v>0.47910066303655796</v>
      </c>
      <c r="T241">
        <f t="shared" si="77"/>
        <v>1.3407170061712881</v>
      </c>
      <c r="U241">
        <f t="shared" si="85"/>
        <v>0.10578650979923276</v>
      </c>
      <c r="W241">
        <v>89.87706</v>
      </c>
      <c r="X241">
        <v>1.6978532293670631E-2</v>
      </c>
      <c r="Y241">
        <f t="shared" si="69"/>
        <v>1.5259805656701728</v>
      </c>
      <c r="Z241">
        <f t="shared" si="78"/>
        <v>4.2133944565426518</v>
      </c>
      <c r="AA241">
        <f t="shared" si="79"/>
        <v>2.3935767873348057</v>
      </c>
      <c r="AB241">
        <f t="shared" si="86"/>
        <v>1.0933072279476042</v>
      </c>
      <c r="AD241">
        <v>129.4862</v>
      </c>
      <c r="AE241">
        <v>0.37719871188800558</v>
      </c>
      <c r="AF241">
        <f t="shared" si="70"/>
        <v>48.842027847272668</v>
      </c>
      <c r="AG241">
        <f t="shared" si="80"/>
        <v>5.1505721775228164</v>
      </c>
      <c r="AH241">
        <f t="shared" si="81"/>
        <v>3.3307545083149703</v>
      </c>
      <c r="AI241">
        <f t="shared" si="87"/>
        <v>1.6750642283361761</v>
      </c>
      <c r="AL241">
        <f t="shared" si="71"/>
        <v>115.35006167906234</v>
      </c>
      <c r="AM241">
        <f t="shared" si="82"/>
        <v>1.819817669207846</v>
      </c>
    </row>
    <row r="242" spans="1:39" x14ac:dyDescent="0.35">
      <c r="A242" s="2">
        <v>43800</v>
      </c>
      <c r="B242">
        <v>125.075</v>
      </c>
      <c r="C242">
        <v>7.5768448919454945E-2</v>
      </c>
      <c r="D242">
        <f t="shared" si="66"/>
        <v>9.4767387486008268</v>
      </c>
      <c r="E242">
        <f t="shared" si="72"/>
        <v>1.0979933169841471</v>
      </c>
      <c r="F242">
        <f t="shared" si="73"/>
        <v>1.6944949519329011</v>
      </c>
      <c r="G242">
        <f t="shared" si="83"/>
        <v>7.8256074874780044</v>
      </c>
      <c r="I242">
        <v>126.4545</v>
      </c>
      <c r="J242">
        <v>0.11766198416211798</v>
      </c>
      <c r="K242">
        <f t="shared" si="67"/>
        <v>14.878887376228548</v>
      </c>
      <c r="L242">
        <f t="shared" si="74"/>
        <v>0.47841757487341319</v>
      </c>
      <c r="M242">
        <f t="shared" si="75"/>
        <v>2.3140706940436351</v>
      </c>
      <c r="N242">
        <f t="shared" si="84"/>
        <v>1.8287672967469026</v>
      </c>
      <c r="P242">
        <v>99.18253</v>
      </c>
      <c r="Q242">
        <v>0.41239232273675086</v>
      </c>
      <c r="R242">
        <f t="shared" si="68"/>
        <v>40.902113921607473</v>
      </c>
      <c r="S242">
        <f t="shared" si="76"/>
        <v>0.24979938927820466</v>
      </c>
      <c r="T242">
        <f t="shared" si="77"/>
        <v>2.5426888796388436</v>
      </c>
      <c r="U242">
        <f t="shared" si="85"/>
        <v>1.2019718734675555</v>
      </c>
      <c r="W242">
        <v>92.133099999999999</v>
      </c>
      <c r="X242">
        <v>1.6978532293670631E-2</v>
      </c>
      <c r="Y242">
        <f t="shared" si="69"/>
        <v>1.5642848136659855</v>
      </c>
      <c r="Z242">
        <f t="shared" si="78"/>
        <v>2.5101399622996068</v>
      </c>
      <c r="AA242">
        <f t="shared" si="79"/>
        <v>0.28234830661744148</v>
      </c>
      <c r="AB242">
        <f t="shared" si="86"/>
        <v>2.1112284807173642</v>
      </c>
      <c r="AD242">
        <v>137.1934</v>
      </c>
      <c r="AE242">
        <v>0.37719871188800558</v>
      </c>
      <c r="AF242">
        <f t="shared" si="70"/>
        <v>51.7491737595359</v>
      </c>
      <c r="AG242">
        <f t="shared" si="80"/>
        <v>5.9521400736140206</v>
      </c>
      <c r="AH242">
        <f t="shared" si="81"/>
        <v>3.1596518046969724</v>
      </c>
      <c r="AI242">
        <f t="shared" si="87"/>
        <v>0.17110270361799795</v>
      </c>
      <c r="AL242">
        <f t="shared" si="71"/>
        <v>118.57119861963872</v>
      </c>
      <c r="AM242">
        <f t="shared" si="82"/>
        <v>2.7924882689170483</v>
      </c>
    </row>
    <row r="243" spans="1:39" x14ac:dyDescent="0.35">
      <c r="A243" s="2">
        <v>43831</v>
      </c>
      <c r="B243">
        <v>126.68040000000001</v>
      </c>
      <c r="C243">
        <v>7.4274769132009991E-2</v>
      </c>
      <c r="D243">
        <f t="shared" si="66"/>
        <v>9.4091574635506792</v>
      </c>
      <c r="E243">
        <f t="shared" si="72"/>
        <v>1.2835498700779491</v>
      </c>
      <c r="F243">
        <f t="shared" si="73"/>
        <v>4.0291967724829236</v>
      </c>
      <c r="G243">
        <f t="shared" si="83"/>
        <v>2.3347018205500225</v>
      </c>
      <c r="I243">
        <v>128.01560000000001</v>
      </c>
      <c r="J243">
        <v>0.11398191853244295</v>
      </c>
      <c r="K243">
        <f t="shared" si="67"/>
        <v>14.591463690081804</v>
      </c>
      <c r="L243">
        <f t="shared" si="74"/>
        <v>1.2345151813498267</v>
      </c>
      <c r="M243">
        <f t="shared" si="75"/>
        <v>4.078231461211046</v>
      </c>
      <c r="N243">
        <f t="shared" si="84"/>
        <v>1.7641607671674109</v>
      </c>
      <c r="P243">
        <v>102.1088</v>
      </c>
      <c r="Q243">
        <v>0.39346691602336697</v>
      </c>
      <c r="R243">
        <f t="shared" si="68"/>
        <v>40.176434634846771</v>
      </c>
      <c r="S243">
        <f t="shared" si="76"/>
        <v>2.9503885412078157</v>
      </c>
      <c r="T243">
        <f t="shared" si="77"/>
        <v>2.362358101353057</v>
      </c>
      <c r="U243">
        <f t="shared" si="85"/>
        <v>0.18033077828578659</v>
      </c>
      <c r="W243">
        <v>91.098860000000002</v>
      </c>
      <c r="X243">
        <v>1.6975775700949419E-2</v>
      </c>
      <c r="Y243">
        <f t="shared" si="69"/>
        <v>1.546473813972193</v>
      </c>
      <c r="Z243">
        <f t="shared" si="78"/>
        <v>-1.1225498762116981</v>
      </c>
      <c r="AA243">
        <f t="shared" si="79"/>
        <v>6.4352965187725708</v>
      </c>
      <c r="AB243">
        <f t="shared" si="86"/>
        <v>6.1529482121551293</v>
      </c>
      <c r="AD243">
        <v>147.38839999999999</v>
      </c>
      <c r="AE243">
        <v>0.40130062061123067</v>
      </c>
      <c r="AF243">
        <f t="shared" si="70"/>
        <v>59.14705639089631</v>
      </c>
      <c r="AG243">
        <f t="shared" si="80"/>
        <v>7.4311154909784349</v>
      </c>
      <c r="AH243">
        <f t="shared" si="81"/>
        <v>2.1183688484175622</v>
      </c>
      <c r="AI243">
        <f t="shared" si="87"/>
        <v>1.0412829562794101</v>
      </c>
      <c r="AL243">
        <f t="shared" si="71"/>
        <v>124.87058599334776</v>
      </c>
      <c r="AM243">
        <f t="shared" si="82"/>
        <v>5.3127466425608727</v>
      </c>
    </row>
    <row r="244" spans="1:39" x14ac:dyDescent="0.35">
      <c r="A244" s="2">
        <v>43862</v>
      </c>
      <c r="B244">
        <v>120.872</v>
      </c>
      <c r="C244">
        <v>7.4274769132009991E-2</v>
      </c>
      <c r="D244">
        <f t="shared" si="66"/>
        <v>8.9777398945243121</v>
      </c>
      <c r="E244">
        <f t="shared" si="72"/>
        <v>-4.5850818279702388</v>
      </c>
      <c r="F244">
        <f t="shared" si="73"/>
        <v>3.3447437706187744</v>
      </c>
      <c r="G244">
        <f t="shared" si="83"/>
        <v>0.68445300186414926</v>
      </c>
      <c r="I244">
        <v>127.2525</v>
      </c>
      <c r="J244">
        <v>0.11398191853244295</v>
      </c>
      <c r="K244">
        <f t="shared" si="67"/>
        <v>14.504484088049697</v>
      </c>
      <c r="L244">
        <f t="shared" si="74"/>
        <v>-0.59609922540690974</v>
      </c>
      <c r="M244">
        <f t="shared" si="75"/>
        <v>0.64423883194455467</v>
      </c>
      <c r="N244">
        <f t="shared" si="84"/>
        <v>3.4339926292664913</v>
      </c>
      <c r="P244">
        <v>100.7514</v>
      </c>
      <c r="Q244">
        <v>0.39346691602336697</v>
      </c>
      <c r="R244">
        <f t="shared" si="68"/>
        <v>39.642342643036656</v>
      </c>
      <c r="S244">
        <f t="shared" si="76"/>
        <v>-1.3293663229809738</v>
      </c>
      <c r="T244">
        <f t="shared" si="77"/>
        <v>8.9028265629509384E-2</v>
      </c>
      <c r="U244">
        <f t="shared" si="85"/>
        <v>2.2733298357235476</v>
      </c>
      <c r="W244">
        <v>90.488979999999998</v>
      </c>
      <c r="X244">
        <v>1.6975775700949419E-2</v>
      </c>
      <c r="Y244">
        <f t="shared" si="69"/>
        <v>1.536120627887698</v>
      </c>
      <c r="Z244">
        <f t="shared" si="78"/>
        <v>-0.66947050709526001</v>
      </c>
      <c r="AA244">
        <f t="shared" si="79"/>
        <v>0.57086755025620439</v>
      </c>
      <c r="AB244">
        <f t="shared" si="86"/>
        <v>5.864428968516366</v>
      </c>
      <c r="AD244">
        <v>146.17740000000001</v>
      </c>
      <c r="AE244">
        <v>0.40130062061123067</v>
      </c>
      <c r="AF244">
        <f t="shared" si="70"/>
        <v>58.661081339336114</v>
      </c>
      <c r="AG244">
        <f t="shared" si="80"/>
        <v>-0.82163860927996213</v>
      </c>
      <c r="AH244">
        <f t="shared" si="81"/>
        <v>0.41869944807150228</v>
      </c>
      <c r="AI244">
        <f t="shared" si="87"/>
        <v>1.69966940034606</v>
      </c>
      <c r="AL244">
        <f t="shared" si="71"/>
        <v>123.32176859283447</v>
      </c>
      <c r="AM244">
        <f t="shared" si="82"/>
        <v>-1.2403380573514644</v>
      </c>
    </row>
    <row r="245" spans="1:39" x14ac:dyDescent="0.35">
      <c r="A245" s="2">
        <v>43891</v>
      </c>
      <c r="B245">
        <v>95.614909999999995</v>
      </c>
      <c r="C245">
        <v>7.4274769132009991E-2</v>
      </c>
      <c r="D245">
        <f t="shared" si="66"/>
        <v>7.1017753658279128</v>
      </c>
      <c r="E245">
        <f t="shared" si="72"/>
        <v>-20.895732675888546</v>
      </c>
      <c r="F245">
        <f t="shared" si="73"/>
        <v>2.2349507098221473</v>
      </c>
      <c r="G245">
        <f t="shared" si="83"/>
        <v>1.1097930607966271</v>
      </c>
      <c r="I245">
        <v>93.552819999999997</v>
      </c>
      <c r="J245">
        <v>0.11398191853244295</v>
      </c>
      <c r="K245">
        <f t="shared" si="67"/>
        <v>10.6633299077203</v>
      </c>
      <c r="L245">
        <f t="shared" si="74"/>
        <v>-26.482528830474848</v>
      </c>
      <c r="M245">
        <f t="shared" si="75"/>
        <v>7.8217468644084498</v>
      </c>
      <c r="N245">
        <f t="shared" si="84"/>
        <v>7.1775080324638951</v>
      </c>
      <c r="P245">
        <v>85.399770000000004</v>
      </c>
      <c r="Q245">
        <v>0.39346691602336697</v>
      </c>
      <c r="R245">
        <f t="shared" si="68"/>
        <v>33.601984131004855</v>
      </c>
      <c r="S245">
        <f t="shared" si="76"/>
        <v>-15.237138143986083</v>
      </c>
      <c r="T245">
        <f t="shared" si="77"/>
        <v>3.4236438220803151</v>
      </c>
      <c r="U245">
        <f t="shared" si="85"/>
        <v>3.3346155564508058</v>
      </c>
      <c r="W245">
        <v>90.469449999999995</v>
      </c>
      <c r="X245">
        <v>1.6975775700949419E-2</v>
      </c>
      <c r="Y245">
        <f t="shared" si="69"/>
        <v>1.5357890909882583</v>
      </c>
      <c r="Z245">
        <f t="shared" si="78"/>
        <v>-2.1582738583203476E-2</v>
      </c>
      <c r="AA245">
        <f t="shared" si="79"/>
        <v>18.639199227483196</v>
      </c>
      <c r="AB245">
        <f t="shared" si="86"/>
        <v>18.068331677226993</v>
      </c>
      <c r="AD245">
        <v>118.1311</v>
      </c>
      <c r="AE245">
        <v>0.40130062061123067</v>
      </c>
      <c r="AF245">
        <f t="shared" si="70"/>
        <v>47.406083743487351</v>
      </c>
      <c r="AG245">
        <f t="shared" si="80"/>
        <v>-19.18648163122343</v>
      </c>
      <c r="AH245">
        <f t="shared" si="81"/>
        <v>0.52569966515703115</v>
      </c>
      <c r="AI245">
        <f t="shared" si="87"/>
        <v>0.10700021708552887</v>
      </c>
      <c r="AL245">
        <f t="shared" si="71"/>
        <v>100.30896223902869</v>
      </c>
      <c r="AM245">
        <f t="shared" si="82"/>
        <v>-18.660781966066398</v>
      </c>
    </row>
    <row r="246" spans="1:39" x14ac:dyDescent="0.35">
      <c r="A246" s="2">
        <v>43922</v>
      </c>
      <c r="B246">
        <v>100.1443</v>
      </c>
      <c r="C246">
        <v>7.4274769132009991E-2</v>
      </c>
      <c r="D246">
        <f t="shared" si="66"/>
        <v>7.4381947623867486</v>
      </c>
      <c r="E246">
        <f t="shared" si="72"/>
        <v>4.7371168366941996</v>
      </c>
      <c r="F246">
        <f t="shared" si="73"/>
        <v>7.0958192731873426</v>
      </c>
      <c r="G246">
        <f t="shared" si="83"/>
        <v>4.8608685633651953</v>
      </c>
      <c r="I246">
        <v>89.568309999999997</v>
      </c>
      <c r="J246">
        <v>0.11398191853244295</v>
      </c>
      <c r="K246">
        <f t="shared" si="67"/>
        <v>10.209167813508595</v>
      </c>
      <c r="L246">
        <f t="shared" si="74"/>
        <v>-4.2591019704162907</v>
      </c>
      <c r="M246">
        <f t="shared" si="75"/>
        <v>1.9003995339231476</v>
      </c>
      <c r="N246">
        <f t="shared" si="84"/>
        <v>5.9213473304853022</v>
      </c>
      <c r="P246">
        <v>78.725960000000001</v>
      </c>
      <c r="Q246">
        <v>0.39346691602336697</v>
      </c>
      <c r="R246">
        <f t="shared" si="68"/>
        <v>30.976060692178947</v>
      </c>
      <c r="S246">
        <f t="shared" si="76"/>
        <v>-7.8147868548123718</v>
      </c>
      <c r="T246">
        <f t="shared" si="77"/>
        <v>5.4560844183192287</v>
      </c>
      <c r="U246">
        <f t="shared" si="85"/>
        <v>2.0324405962389136</v>
      </c>
      <c r="W246">
        <v>82.097020000000001</v>
      </c>
      <c r="X246">
        <v>1.6975775700949419E-2</v>
      </c>
      <c r="Y246">
        <f t="shared" si="69"/>
        <v>1.3936605972363585</v>
      </c>
      <c r="Z246">
        <f t="shared" si="78"/>
        <v>-9.2544278759293839</v>
      </c>
      <c r="AA246">
        <f t="shared" si="79"/>
        <v>6.8957254394362408</v>
      </c>
      <c r="AB246">
        <f t="shared" si="86"/>
        <v>11.743473788046956</v>
      </c>
      <c r="AD246">
        <v>119.4264</v>
      </c>
      <c r="AE246">
        <v>0.40130062061123067</v>
      </c>
      <c r="AF246">
        <f t="shared" si="70"/>
        <v>47.925888437365082</v>
      </c>
      <c r="AG246">
        <f t="shared" si="80"/>
        <v>1.0964936413865534</v>
      </c>
      <c r="AH246">
        <f t="shared" si="81"/>
        <v>3.4551960778796964</v>
      </c>
      <c r="AI246">
        <f t="shared" si="87"/>
        <v>2.9294964127226653</v>
      </c>
      <c r="AL246">
        <f t="shared" si="71"/>
        <v>97.942972302675727</v>
      </c>
      <c r="AM246">
        <f t="shared" si="82"/>
        <v>-2.358702436493143</v>
      </c>
    </row>
    <row r="247" spans="1:39" x14ac:dyDescent="0.35">
      <c r="A247" s="2">
        <v>43952</v>
      </c>
      <c r="B247">
        <v>100.5665</v>
      </c>
      <c r="C247">
        <v>7.4274769132009991E-2</v>
      </c>
      <c r="D247">
        <f t="shared" si="66"/>
        <v>7.4695535699142832</v>
      </c>
      <c r="E247">
        <f t="shared" si="72"/>
        <v>0.42159164325878962</v>
      </c>
      <c r="F247">
        <f t="shared" si="73"/>
        <v>3.0950749329393679</v>
      </c>
      <c r="G247">
        <f t="shared" si="83"/>
        <v>4.0007443402479748</v>
      </c>
      <c r="I247">
        <v>84.09272</v>
      </c>
      <c r="J247">
        <v>0.11398191853244295</v>
      </c>
      <c r="K247">
        <f t="shared" si="67"/>
        <v>9.5850495602115355</v>
      </c>
      <c r="L247">
        <f t="shared" si="74"/>
        <v>-6.113311728221726</v>
      </c>
      <c r="M247">
        <f t="shared" si="75"/>
        <v>9.6299783044198826</v>
      </c>
      <c r="N247">
        <f t="shared" si="84"/>
        <v>7.7295787704967349</v>
      </c>
      <c r="P247">
        <v>83.103369999999998</v>
      </c>
      <c r="Q247">
        <v>0.39346691602336697</v>
      </c>
      <c r="R247">
        <f t="shared" si="68"/>
        <v>32.698426705048796</v>
      </c>
      <c r="S247">
        <f t="shared" si="76"/>
        <v>5.5603132689648893</v>
      </c>
      <c r="T247">
        <f t="shared" si="77"/>
        <v>2.0436466927667318</v>
      </c>
      <c r="U247">
        <f t="shared" si="85"/>
        <v>3.4124377255524969</v>
      </c>
      <c r="W247">
        <v>78.419830000000005</v>
      </c>
      <c r="X247">
        <v>1.6975775700949419E-2</v>
      </c>
      <c r="Y247">
        <f t="shared" si="69"/>
        <v>1.3312374445865842</v>
      </c>
      <c r="Z247">
        <f t="shared" si="78"/>
        <v>-4.4790785341538575</v>
      </c>
      <c r="AA247">
        <f t="shared" si="79"/>
        <v>7.995745110352015</v>
      </c>
      <c r="AB247">
        <f t="shared" si="86"/>
        <v>1.1000196709157741</v>
      </c>
      <c r="AD247">
        <v>125.35</v>
      </c>
      <c r="AE247">
        <v>0.40130062061123067</v>
      </c>
      <c r="AF247">
        <f t="shared" si="70"/>
        <v>50.30303279361776</v>
      </c>
      <c r="AG247">
        <f t="shared" si="80"/>
        <v>4.9600423356979562</v>
      </c>
      <c r="AH247">
        <f t="shared" si="81"/>
        <v>1.4433757594997987</v>
      </c>
      <c r="AI247">
        <f t="shared" si="87"/>
        <v>2.0118203183798977</v>
      </c>
      <c r="AL247">
        <f t="shared" si="71"/>
        <v>101.38730007337895</v>
      </c>
      <c r="AM247">
        <f t="shared" si="82"/>
        <v>3.5166665761981575</v>
      </c>
    </row>
    <row r="248" spans="1:39" x14ac:dyDescent="0.35">
      <c r="A248" s="2">
        <v>43983</v>
      </c>
      <c r="B248">
        <v>105.82170000000001</v>
      </c>
      <c r="C248">
        <v>7.4274769132009991E-2</v>
      </c>
      <c r="D248">
        <f t="shared" si="66"/>
        <v>7.8598823366568222</v>
      </c>
      <c r="E248">
        <f t="shared" si="72"/>
        <v>5.2255969930344648</v>
      </c>
      <c r="F248">
        <f t="shared" si="73"/>
        <v>1.9426692608836449</v>
      </c>
      <c r="G248">
        <f t="shared" si="83"/>
        <v>1.152405672055723</v>
      </c>
      <c r="I248">
        <v>89.350750000000005</v>
      </c>
      <c r="J248">
        <v>0.11398191853244295</v>
      </c>
      <c r="K248">
        <f t="shared" si="67"/>
        <v>10.184369907312679</v>
      </c>
      <c r="L248">
        <f t="shared" si="74"/>
        <v>6.2526577806021777</v>
      </c>
      <c r="M248">
        <f t="shared" si="75"/>
        <v>0.91560847331593198</v>
      </c>
      <c r="N248">
        <f t="shared" si="84"/>
        <v>8.7143698311039515</v>
      </c>
      <c r="P248">
        <v>86.530330000000006</v>
      </c>
      <c r="Q248">
        <v>0.39346691602336697</v>
      </c>
      <c r="R248">
        <f t="shared" si="68"/>
        <v>34.046822087584232</v>
      </c>
      <c r="S248">
        <f t="shared" si="76"/>
        <v>4.1237316850087025</v>
      </c>
      <c r="T248">
        <f t="shared" si="77"/>
        <v>3.0445345689094072</v>
      </c>
      <c r="U248">
        <f t="shared" si="85"/>
        <v>1.0008878761426754</v>
      </c>
      <c r="W248">
        <v>61.76632</v>
      </c>
      <c r="X248">
        <v>1.6975775700949419E-2</v>
      </c>
      <c r="Y248">
        <f t="shared" si="69"/>
        <v>1.0485311941930662</v>
      </c>
      <c r="Z248">
        <f t="shared" si="78"/>
        <v>-21.236350550619665</v>
      </c>
      <c r="AA248">
        <f t="shared" si="79"/>
        <v>28.404616804537774</v>
      </c>
      <c r="AB248">
        <f t="shared" si="86"/>
        <v>20.408871694185759</v>
      </c>
      <c r="AD248">
        <v>138.33869999999999</v>
      </c>
      <c r="AE248">
        <v>0.40130062061123067</v>
      </c>
      <c r="AF248">
        <f t="shared" si="70"/>
        <v>55.515406164550853</v>
      </c>
      <c r="AG248">
        <f t="shared" si="80"/>
        <v>10.361946549660939</v>
      </c>
      <c r="AH248">
        <f t="shared" si="81"/>
        <v>3.193680295742829</v>
      </c>
      <c r="AI248">
        <f t="shared" si="87"/>
        <v>1.7503045362430303</v>
      </c>
      <c r="AL248">
        <f t="shared" si="71"/>
        <v>108.65501169029767</v>
      </c>
      <c r="AM248">
        <f t="shared" si="82"/>
        <v>7.1682662539181097</v>
      </c>
    </row>
    <row r="249" spans="1:39" x14ac:dyDescent="0.35">
      <c r="A249" s="2">
        <v>44013</v>
      </c>
      <c r="B249">
        <v>108.82129999999999</v>
      </c>
      <c r="C249">
        <v>7.4274769132009991E-2</v>
      </c>
      <c r="D249">
        <f t="shared" si="66"/>
        <v>8.0826769341451978</v>
      </c>
      <c r="E249">
        <f t="shared" si="72"/>
        <v>2.834579297062878</v>
      </c>
      <c r="F249">
        <f t="shared" si="73"/>
        <v>0.67726077832135356</v>
      </c>
      <c r="G249">
        <f t="shared" si="83"/>
        <v>1.2654084825622913</v>
      </c>
      <c r="I249">
        <v>89.390379999999993</v>
      </c>
      <c r="J249">
        <v>0.11398191853244295</v>
      </c>
      <c r="K249">
        <f t="shared" si="67"/>
        <v>10.188887010744118</v>
      </c>
      <c r="L249">
        <f t="shared" si="74"/>
        <v>4.4353293061316634E-2</v>
      </c>
      <c r="M249">
        <f t="shared" si="75"/>
        <v>2.1129652256802078</v>
      </c>
      <c r="N249">
        <f t="shared" si="84"/>
        <v>1.1973567523642759</v>
      </c>
      <c r="P249">
        <v>84.661640000000006</v>
      </c>
      <c r="Q249">
        <v>0.39346691602336697</v>
      </c>
      <c r="R249">
        <f t="shared" si="68"/>
        <v>33.311554396280528</v>
      </c>
      <c r="S249">
        <f t="shared" si="76"/>
        <v>-2.1595780346613691</v>
      </c>
      <c r="T249">
        <f t="shared" si="77"/>
        <v>4.3168965534028931</v>
      </c>
      <c r="U249">
        <f t="shared" si="85"/>
        <v>1.2723619844934859</v>
      </c>
      <c r="W249">
        <v>67.966239999999999</v>
      </c>
      <c r="X249">
        <v>1.6975775700949419E-2</v>
      </c>
      <c r="Y249">
        <f t="shared" si="69"/>
        <v>1.1537796454768965</v>
      </c>
      <c r="Z249">
        <f t="shared" si="78"/>
        <v>10.037703395636965</v>
      </c>
      <c r="AA249">
        <f t="shared" si="79"/>
        <v>7.880384876895441</v>
      </c>
      <c r="AB249">
        <f t="shared" si="86"/>
        <v>20.524231927642333</v>
      </c>
      <c r="AD249">
        <v>145.1833</v>
      </c>
      <c r="AE249">
        <v>0.40130062061123067</v>
      </c>
      <c r="AF249">
        <f t="shared" si="70"/>
        <v>58.262148392386486</v>
      </c>
      <c r="AG249">
        <f t="shared" si="80"/>
        <v>4.9477116670895604</v>
      </c>
      <c r="AH249">
        <f t="shared" si="81"/>
        <v>2.790393148348036</v>
      </c>
      <c r="AI249">
        <f t="shared" si="87"/>
        <v>0.40328714739479299</v>
      </c>
      <c r="AL249">
        <f t="shared" si="71"/>
        <v>110.99904637903323</v>
      </c>
      <c r="AM249">
        <f t="shared" si="82"/>
        <v>2.1573185187415245</v>
      </c>
    </row>
    <row r="250" spans="1:39" x14ac:dyDescent="0.35">
      <c r="A250" s="2">
        <v>44044</v>
      </c>
      <c r="B250">
        <v>106.26560000000001</v>
      </c>
      <c r="C250">
        <v>7.4274769132009991E-2</v>
      </c>
      <c r="D250">
        <f t="shared" si="66"/>
        <v>7.8928529066745217</v>
      </c>
      <c r="E250">
        <f t="shared" si="72"/>
        <v>-2.3485291941926723</v>
      </c>
      <c r="F250">
        <f t="shared" si="73"/>
        <v>0.12871862331578221</v>
      </c>
      <c r="G250">
        <f t="shared" si="83"/>
        <v>0.54854215500557135</v>
      </c>
      <c r="I250">
        <v>91.067939999999993</v>
      </c>
      <c r="J250">
        <v>0.11398191853244295</v>
      </c>
      <c r="K250">
        <f t="shared" si="67"/>
        <v>10.380098517997402</v>
      </c>
      <c r="L250">
        <f t="shared" si="74"/>
        <v>1.8766672655379679</v>
      </c>
      <c r="M250">
        <f t="shared" si="75"/>
        <v>4.3539150830464219</v>
      </c>
      <c r="N250">
        <f t="shared" si="84"/>
        <v>2.2409498573662141</v>
      </c>
      <c r="P250">
        <v>87.073359999999994</v>
      </c>
      <c r="Q250">
        <v>0.39346691602336697</v>
      </c>
      <c r="R250">
        <f t="shared" si="68"/>
        <v>34.260486426992401</v>
      </c>
      <c r="S250">
        <f t="shared" si="76"/>
        <v>2.8486573139854032</v>
      </c>
      <c r="T250">
        <f t="shared" si="77"/>
        <v>5.3259051314938581</v>
      </c>
      <c r="U250">
        <f t="shared" si="85"/>
        <v>1.009008578090965</v>
      </c>
      <c r="W250">
        <v>71.145229999999998</v>
      </c>
      <c r="X250">
        <v>1.6975775700949419E-2</v>
      </c>
      <c r="Y250">
        <f t="shared" si="69"/>
        <v>1.2077454666724576</v>
      </c>
      <c r="Z250">
        <f t="shared" si="78"/>
        <v>4.6773074396935899</v>
      </c>
      <c r="AA250">
        <f t="shared" si="79"/>
        <v>7.1545552572020448</v>
      </c>
      <c r="AB250">
        <f t="shared" si="86"/>
        <v>0.72582961969339621</v>
      </c>
      <c r="AD250">
        <v>135.8287</v>
      </c>
      <c r="AE250">
        <v>0.40130062061123067</v>
      </c>
      <c r="AF250">
        <f t="shared" si="70"/>
        <v>54.508141606816665</v>
      </c>
      <c r="AG250">
        <f t="shared" si="80"/>
        <v>-6.4433030520728014</v>
      </c>
      <c r="AH250">
        <f t="shared" si="81"/>
        <v>3.9660552345643469</v>
      </c>
      <c r="AI250">
        <f t="shared" si="87"/>
        <v>1.175662086216311</v>
      </c>
      <c r="AL250">
        <f t="shared" si="71"/>
        <v>108.24932492515343</v>
      </c>
      <c r="AM250">
        <f t="shared" si="82"/>
        <v>-2.4772478175084545</v>
      </c>
    </row>
    <row r="251" spans="1:39" x14ac:dyDescent="0.35">
      <c r="A251" s="2">
        <v>44075</v>
      </c>
      <c r="B251">
        <v>99.692989999999995</v>
      </c>
      <c r="C251">
        <v>7.4274769132009991E-2</v>
      </c>
      <c r="D251">
        <f t="shared" si="66"/>
        <v>7.4046738163297805</v>
      </c>
      <c r="E251">
        <f t="shared" si="72"/>
        <v>-6.1850777674054562</v>
      </c>
      <c r="F251">
        <f t="shared" si="73"/>
        <v>5.0337464706101125</v>
      </c>
      <c r="G251">
        <f t="shared" si="83"/>
        <v>4.9050278472943303</v>
      </c>
      <c r="I251">
        <v>93.876829999999998</v>
      </c>
      <c r="J251">
        <v>0.11398191853244295</v>
      </c>
      <c r="K251">
        <f t="shared" si="67"/>
        <v>10.700261189143996</v>
      </c>
      <c r="L251">
        <f t="shared" si="74"/>
        <v>3.0843895228112261</v>
      </c>
      <c r="M251">
        <f t="shared" si="75"/>
        <v>4.2357208196065699</v>
      </c>
      <c r="N251">
        <f t="shared" si="84"/>
        <v>0.11819426343985207</v>
      </c>
      <c r="P251">
        <v>83.163340000000005</v>
      </c>
      <c r="Q251">
        <v>0.39346691602336697</v>
      </c>
      <c r="R251">
        <f t="shared" si="68"/>
        <v>32.722022916002715</v>
      </c>
      <c r="S251">
        <f t="shared" si="76"/>
        <v>-4.490489398824149</v>
      </c>
      <c r="T251">
        <f t="shared" si="77"/>
        <v>3.3391581020288053</v>
      </c>
      <c r="U251">
        <f t="shared" si="85"/>
        <v>1.9867470294650529</v>
      </c>
      <c r="W251">
        <v>74.428780000000003</v>
      </c>
      <c r="X251">
        <v>1.6975775700949419E-2</v>
      </c>
      <c r="Y251">
        <f t="shared" si="69"/>
        <v>1.2634862749753102</v>
      </c>
      <c r="Z251">
        <f t="shared" si="78"/>
        <v>4.6152777916383281</v>
      </c>
      <c r="AA251">
        <f t="shared" si="79"/>
        <v>5.7666090884336718</v>
      </c>
      <c r="AB251">
        <f t="shared" si="86"/>
        <v>1.387946168768373</v>
      </c>
      <c r="AD251">
        <v>136.8365</v>
      </c>
      <c r="AE251">
        <v>0.40130062061123067</v>
      </c>
      <c r="AF251">
        <f t="shared" si="70"/>
        <v>54.912572372268663</v>
      </c>
      <c r="AG251">
        <f t="shared" si="80"/>
        <v>0.74196395901602319</v>
      </c>
      <c r="AH251">
        <f t="shared" si="81"/>
        <v>1.8932952558113669</v>
      </c>
      <c r="AI251">
        <f t="shared" si="87"/>
        <v>2.07275997875298</v>
      </c>
      <c r="AL251">
        <f t="shared" si="71"/>
        <v>107.00301656872045</v>
      </c>
      <c r="AM251">
        <f t="shared" si="82"/>
        <v>-1.1513312967953437</v>
      </c>
    </row>
    <row r="252" spans="1:39" x14ac:dyDescent="0.35">
      <c r="A252" s="2">
        <v>44105</v>
      </c>
      <c r="B252">
        <v>98.502390000000005</v>
      </c>
      <c r="C252">
        <v>7.4274769132009991E-2</v>
      </c>
      <c r="D252">
        <f t="shared" si="66"/>
        <v>7.3162422762012103</v>
      </c>
      <c r="E252">
        <f t="shared" si="72"/>
        <v>-1.1942665176357781</v>
      </c>
      <c r="F252">
        <f t="shared" si="73"/>
        <v>4.7788144500971459</v>
      </c>
      <c r="G252">
        <f t="shared" si="83"/>
        <v>0.2549320205129666</v>
      </c>
      <c r="I252">
        <v>90.653790000000001</v>
      </c>
      <c r="J252">
        <v>0.11398191853244295</v>
      </c>
      <c r="K252">
        <f t="shared" si="67"/>
        <v>10.332892906437191</v>
      </c>
      <c r="L252">
        <f t="shared" si="74"/>
        <v>-3.4332646298346425</v>
      </c>
      <c r="M252">
        <f t="shared" si="75"/>
        <v>7.0178125622960108</v>
      </c>
      <c r="N252">
        <f t="shared" si="84"/>
        <v>2.7820917426894409</v>
      </c>
      <c r="P252">
        <v>86.074240000000003</v>
      </c>
      <c r="Q252">
        <v>0.39346691602336697</v>
      </c>
      <c r="R252">
        <f t="shared" si="68"/>
        <v>33.867365761855133</v>
      </c>
      <c r="S252">
        <f t="shared" si="76"/>
        <v>3.5002201691274104</v>
      </c>
      <c r="T252">
        <f t="shared" si="77"/>
        <v>8.4327763333957861E-2</v>
      </c>
      <c r="U252">
        <f t="shared" si="85"/>
        <v>3.2548303386948474</v>
      </c>
      <c r="W252">
        <v>76.005250000000004</v>
      </c>
      <c r="X252">
        <v>1.6975775700949419E-2</v>
      </c>
      <c r="Y252">
        <f t="shared" si="69"/>
        <v>1.2902480760945858</v>
      </c>
      <c r="Z252">
        <f t="shared" si="78"/>
        <v>2.1180919531396336</v>
      </c>
      <c r="AA252">
        <f t="shared" si="79"/>
        <v>1.4664559793217347</v>
      </c>
      <c r="AB252">
        <f t="shared" si="86"/>
        <v>4.3001531091119372</v>
      </c>
      <c r="AD252">
        <v>144.60939999999999</v>
      </c>
      <c r="AE252">
        <v>0.40130062061123067</v>
      </c>
      <c r="AF252">
        <f t="shared" si="70"/>
        <v>58.031841966217698</v>
      </c>
      <c r="AG252">
        <f t="shared" si="80"/>
        <v>5.6804288329502572</v>
      </c>
      <c r="AH252">
        <f t="shared" si="81"/>
        <v>2.095880900488889</v>
      </c>
      <c r="AI252">
        <f t="shared" si="87"/>
        <v>0.20258564467752205</v>
      </c>
      <c r="AL252">
        <f t="shared" si="71"/>
        <v>110.83859098680581</v>
      </c>
      <c r="AM252">
        <f t="shared" si="82"/>
        <v>3.5845479324613683</v>
      </c>
    </row>
    <row r="253" spans="1:39" x14ac:dyDescent="0.35">
      <c r="A253" s="2">
        <v>44136</v>
      </c>
      <c r="B253">
        <v>104.9806</v>
      </c>
      <c r="C253">
        <v>7.4274769132009991E-2</v>
      </c>
      <c r="D253">
        <f t="shared" si="66"/>
        <v>7.7974098283398874</v>
      </c>
      <c r="E253">
        <f t="shared" si="72"/>
        <v>6.5767033672989861</v>
      </c>
      <c r="F253">
        <f t="shared" si="73"/>
        <v>0.82277004399078368</v>
      </c>
      <c r="G253">
        <f t="shared" si="83"/>
        <v>3.9560444061063622</v>
      </c>
      <c r="I253">
        <v>94.848879999999994</v>
      </c>
      <c r="J253">
        <v>0.11398191853244295</v>
      </c>
      <c r="K253">
        <f t="shared" si="67"/>
        <v>10.811057313053457</v>
      </c>
      <c r="L253">
        <f t="shared" si="74"/>
        <v>4.6275947205296042</v>
      </c>
      <c r="M253">
        <f t="shared" si="75"/>
        <v>2.7718786907601656</v>
      </c>
      <c r="N253">
        <f t="shared" si="84"/>
        <v>4.2459338715358452</v>
      </c>
      <c r="P253">
        <v>92.291889999999995</v>
      </c>
      <c r="Q253">
        <v>0.39346691602336697</v>
      </c>
      <c r="R253">
        <f t="shared" si="68"/>
        <v>36.313805332267819</v>
      </c>
      <c r="S253">
        <f t="shared" si="76"/>
        <v>7.2235897755239975</v>
      </c>
      <c r="T253">
        <f t="shared" si="77"/>
        <v>0.17588363576577226</v>
      </c>
      <c r="U253">
        <f t="shared" si="85"/>
        <v>9.15558724318144E-2</v>
      </c>
      <c r="W253">
        <v>73.785349999999994</v>
      </c>
      <c r="X253">
        <v>1.6975775700949419E-2</v>
      </c>
      <c r="Y253">
        <f t="shared" si="69"/>
        <v>1.252563551616048</v>
      </c>
      <c r="Z253">
        <f t="shared" si="78"/>
        <v>-2.9207192924173175</v>
      </c>
      <c r="AA253">
        <f t="shared" si="79"/>
        <v>10.320192703707088</v>
      </c>
      <c r="AB253">
        <f t="shared" si="86"/>
        <v>8.8537367243853531</v>
      </c>
      <c r="AD253">
        <v>156.65369999999999</v>
      </c>
      <c r="AE253">
        <v>0.40130062061123067</v>
      </c>
      <c r="AF253">
        <f t="shared" si="70"/>
        <v>62.865227031045542</v>
      </c>
      <c r="AG253">
        <f t="shared" si="80"/>
        <v>8.3288499917709267</v>
      </c>
      <c r="AH253">
        <f t="shared" si="81"/>
        <v>0.9293765804811569</v>
      </c>
      <c r="AI253">
        <f t="shared" si="87"/>
        <v>1.1665043200077321</v>
      </c>
      <c r="AL253">
        <f t="shared" si="71"/>
        <v>119.04006305632274</v>
      </c>
      <c r="AM253">
        <f t="shared" si="82"/>
        <v>7.3994734112897698</v>
      </c>
    </row>
    <row r="254" spans="1:39" x14ac:dyDescent="0.35">
      <c r="A254" s="2">
        <v>44166</v>
      </c>
      <c r="B254">
        <v>110.2235</v>
      </c>
      <c r="C254">
        <v>7.4274769132009991E-2</v>
      </c>
      <c r="D254">
        <f t="shared" si="66"/>
        <v>8.1868250154221034</v>
      </c>
      <c r="E254">
        <f t="shared" si="72"/>
        <v>4.9941608259049808</v>
      </c>
      <c r="F254">
        <f t="shared" si="73"/>
        <v>4.0987309975937904</v>
      </c>
      <c r="G254">
        <f t="shared" si="83"/>
        <v>3.2759609536030068</v>
      </c>
      <c r="I254">
        <v>107.6253</v>
      </c>
      <c r="J254">
        <v>0.11398191853244295</v>
      </c>
      <c r="K254">
        <f t="shared" si="67"/>
        <v>12.267338176629732</v>
      </c>
      <c r="L254">
        <f t="shared" si="74"/>
        <v>13.470290845817058</v>
      </c>
      <c r="M254">
        <f t="shared" si="75"/>
        <v>4.3773990223182864</v>
      </c>
      <c r="N254">
        <f t="shared" si="84"/>
        <v>1.6055203315581208</v>
      </c>
      <c r="P254">
        <v>99.277869999999993</v>
      </c>
      <c r="Q254">
        <v>0.39346691602336697</v>
      </c>
      <c r="R254">
        <f t="shared" si="68"/>
        <v>39.062557338268739</v>
      </c>
      <c r="S254">
        <f t="shared" si="76"/>
        <v>7.5694408251905987</v>
      </c>
      <c r="T254">
        <f t="shared" si="77"/>
        <v>1.5234509983081725</v>
      </c>
      <c r="U254">
        <f t="shared" si="85"/>
        <v>1.3475673625424003</v>
      </c>
      <c r="W254">
        <v>72.942920000000001</v>
      </c>
      <c r="X254">
        <v>1.6975775700949419E-2</v>
      </c>
      <c r="Y254">
        <f t="shared" si="69"/>
        <v>1.2382626488922974</v>
      </c>
      <c r="Z254">
        <f t="shared" si="78"/>
        <v>-1.1417307094158891</v>
      </c>
      <c r="AA254">
        <f t="shared" si="79"/>
        <v>10.23462253291466</v>
      </c>
      <c r="AB254">
        <f t="shared" si="86"/>
        <v>8.5570170792427902E-2</v>
      </c>
      <c r="AD254">
        <v>172.2132</v>
      </c>
      <c r="AE254">
        <v>0.40130062061123067</v>
      </c>
      <c r="AF254">
        <f t="shared" si="70"/>
        <v>69.109264037445996</v>
      </c>
      <c r="AG254">
        <f t="shared" si="80"/>
        <v>9.9324178107507386</v>
      </c>
      <c r="AH254">
        <f t="shared" si="81"/>
        <v>0.83952598725196736</v>
      </c>
      <c r="AI254">
        <f t="shared" si="87"/>
        <v>8.9850593229189535E-2</v>
      </c>
      <c r="AL254">
        <f t="shared" si="71"/>
        <v>129.8642472166589</v>
      </c>
      <c r="AM254">
        <f t="shared" si="82"/>
        <v>9.0928918234987712</v>
      </c>
    </row>
    <row r="255" spans="1:39" x14ac:dyDescent="0.35">
      <c r="A255" s="2">
        <v>44197</v>
      </c>
      <c r="B255">
        <v>119.8623</v>
      </c>
      <c r="C255">
        <v>7.6035624662550247E-2</v>
      </c>
      <c r="D255">
        <f t="shared" si="66"/>
        <v>9.113804853989997</v>
      </c>
      <c r="E255">
        <f t="shared" si="72"/>
        <v>8.7447776563074129</v>
      </c>
      <c r="F255">
        <f t="shared" si="73"/>
        <v>0.92112510536188719</v>
      </c>
      <c r="G255">
        <f t="shared" si="83"/>
        <v>3.1776058922319033</v>
      </c>
      <c r="I255">
        <v>110.92440000000001</v>
      </c>
      <c r="J255">
        <v>0.11593095656566438</v>
      </c>
      <c r="K255">
        <f t="shared" si="67"/>
        <v>12.859571798472382</v>
      </c>
      <c r="L255">
        <f t="shared" si="74"/>
        <v>3.0653573091085518</v>
      </c>
      <c r="M255">
        <f t="shared" si="75"/>
        <v>4.7582952418369739</v>
      </c>
      <c r="N255">
        <f t="shared" si="84"/>
        <v>0.38089621951868757</v>
      </c>
      <c r="P255">
        <v>103.1159</v>
      </c>
      <c r="Q255">
        <v>0.38152787315506143</v>
      </c>
      <c r="R255">
        <f t="shared" si="68"/>
        <v>39.341590015469997</v>
      </c>
      <c r="S255">
        <f t="shared" si="76"/>
        <v>3.8659471642572552</v>
      </c>
      <c r="T255">
        <f t="shared" si="77"/>
        <v>3.9577053866882705</v>
      </c>
      <c r="U255">
        <f t="shared" si="85"/>
        <v>2.434254388380098</v>
      </c>
      <c r="W255">
        <v>72.152420000000006</v>
      </c>
      <c r="X255">
        <v>1.6786962352792322E-2</v>
      </c>
      <c r="Y255">
        <f t="shared" si="69"/>
        <v>1.21121995820286</v>
      </c>
      <c r="Z255">
        <f t="shared" si="78"/>
        <v>-1.0837240954982286</v>
      </c>
      <c r="AA255">
        <f t="shared" si="79"/>
        <v>8.9073766464437547</v>
      </c>
      <c r="AB255">
        <f t="shared" si="86"/>
        <v>1.3272458864709051</v>
      </c>
      <c r="AD255">
        <v>189.1498</v>
      </c>
      <c r="AE255">
        <v>0.40971858326393162</v>
      </c>
      <c r="AF255">
        <f t="shared" si="70"/>
        <v>77.498188080656007</v>
      </c>
      <c r="AG255">
        <f t="shared" si="80"/>
        <v>9.8346700485212537</v>
      </c>
      <c r="AH255">
        <f t="shared" si="81"/>
        <v>2.011017497575728</v>
      </c>
      <c r="AI255">
        <f t="shared" si="87"/>
        <v>1.1714915103237606</v>
      </c>
      <c r="AL255">
        <f t="shared" si="71"/>
        <v>140.02437470679124</v>
      </c>
      <c r="AM255">
        <f t="shared" si="82"/>
        <v>7.8236525509455257</v>
      </c>
    </row>
    <row r="256" spans="1:39" x14ac:dyDescent="0.35">
      <c r="A256" s="2">
        <v>44228</v>
      </c>
      <c r="B256">
        <v>121.26049999999999</v>
      </c>
      <c r="C256">
        <v>7.6035624662550247E-2</v>
      </c>
      <c r="D256">
        <f t="shared" si="66"/>
        <v>9.220117864393174</v>
      </c>
      <c r="E256">
        <f t="shared" si="72"/>
        <v>1.1665052314197011</v>
      </c>
      <c r="F256">
        <f t="shared" si="73"/>
        <v>1.9366278593632047</v>
      </c>
      <c r="G256">
        <f t="shared" si="83"/>
        <v>1.0155027540013175</v>
      </c>
      <c r="I256">
        <v>105.8498</v>
      </c>
      <c r="J256">
        <v>0.11593095656566438</v>
      </c>
      <c r="K256">
        <f t="shared" si="67"/>
        <v>12.271268566284261</v>
      </c>
      <c r="L256">
        <f t="shared" si="74"/>
        <v>-4.5748275401985561</v>
      </c>
      <c r="M256">
        <f t="shared" si="75"/>
        <v>3.8047049122550525</v>
      </c>
      <c r="N256">
        <f t="shared" si="84"/>
        <v>0.95359032958192147</v>
      </c>
      <c r="P256">
        <v>101.25320000000001</v>
      </c>
      <c r="Q256">
        <v>0.38152787315506143</v>
      </c>
      <c r="R256">
        <f t="shared" si="68"/>
        <v>38.630918046144068</v>
      </c>
      <c r="S256">
        <f t="shared" si="76"/>
        <v>-1.8064139478004781</v>
      </c>
      <c r="T256">
        <f t="shared" si="77"/>
        <v>1.0362913198569745</v>
      </c>
      <c r="U256">
        <f t="shared" si="85"/>
        <v>2.921414066831296</v>
      </c>
      <c r="W256">
        <v>70.914469999999994</v>
      </c>
      <c r="X256">
        <v>1.6786962352792322E-2</v>
      </c>
      <c r="Y256">
        <f t="shared" si="69"/>
        <v>1.1904385381582205</v>
      </c>
      <c r="Z256">
        <f t="shared" si="78"/>
        <v>-1.7157428676682129</v>
      </c>
      <c r="AA256">
        <f t="shared" si="79"/>
        <v>0.94562023972470932</v>
      </c>
      <c r="AB256">
        <f t="shared" si="86"/>
        <v>7.9617564067190454</v>
      </c>
      <c r="AD256">
        <v>189.4795</v>
      </c>
      <c r="AE256">
        <v>0.40971858326393162</v>
      </c>
      <c r="AF256">
        <f t="shared" si="70"/>
        <v>77.633272297558136</v>
      </c>
      <c r="AG256">
        <f t="shared" si="80"/>
        <v>0.17430629056969238</v>
      </c>
      <c r="AH256">
        <f t="shared" si="81"/>
        <v>0.94442891851319599</v>
      </c>
      <c r="AI256">
        <f t="shared" si="87"/>
        <v>1.066588579062532</v>
      </c>
      <c r="AL256">
        <f t="shared" si="71"/>
        <v>138.94601531253784</v>
      </c>
      <c r="AM256">
        <f t="shared" si="82"/>
        <v>-0.77012262794350361</v>
      </c>
    </row>
    <row r="257" spans="1:39" x14ac:dyDescent="0.35">
      <c r="A257" s="2">
        <v>44256</v>
      </c>
      <c r="B257">
        <v>129.0909</v>
      </c>
      <c r="C257">
        <v>7.6035624662550247E-2</v>
      </c>
      <c r="D257">
        <f t="shared" si="66"/>
        <v>9.815507219750808</v>
      </c>
      <c r="E257">
        <f t="shared" si="72"/>
        <v>6.4575026492551313</v>
      </c>
      <c r="F257">
        <f t="shared" si="73"/>
        <v>5.8916447040922471</v>
      </c>
      <c r="G257">
        <f t="shared" si="83"/>
        <v>3.9550168447290424</v>
      </c>
      <c r="I257">
        <v>103.9415</v>
      </c>
      <c r="J257">
        <v>0.11593095656566438</v>
      </c>
      <c r="K257">
        <f t="shared" si="67"/>
        <v>12.050037521870005</v>
      </c>
      <c r="L257">
        <f t="shared" si="74"/>
        <v>-1.8028376057394491</v>
      </c>
      <c r="M257">
        <f t="shared" si="75"/>
        <v>2.3686955509023333</v>
      </c>
      <c r="N257">
        <f t="shared" si="84"/>
        <v>1.4360093613527192</v>
      </c>
      <c r="P257">
        <v>107.1885</v>
      </c>
      <c r="Q257">
        <v>0.38152787315506143</v>
      </c>
      <c r="R257">
        <f t="shared" si="68"/>
        <v>40.895400431681303</v>
      </c>
      <c r="S257">
        <f t="shared" si="76"/>
        <v>5.8618394282847319</v>
      </c>
      <c r="T257">
        <f t="shared" si="77"/>
        <v>5.2959814831218477</v>
      </c>
      <c r="U257">
        <f t="shared" si="85"/>
        <v>4.2596901632648727</v>
      </c>
      <c r="W257">
        <v>70.898340000000005</v>
      </c>
      <c r="X257">
        <v>1.6786962352792322E-2</v>
      </c>
      <c r="Y257">
        <f t="shared" si="69"/>
        <v>1.19016776445547</v>
      </c>
      <c r="Z257">
        <f t="shared" si="78"/>
        <v>-2.2745710431160138E-2</v>
      </c>
      <c r="AA257">
        <f t="shared" si="79"/>
        <v>0.58860365559404437</v>
      </c>
      <c r="AB257">
        <f t="shared" si="86"/>
        <v>0.35701658413066495</v>
      </c>
      <c r="AD257">
        <v>184.959</v>
      </c>
      <c r="AE257">
        <v>0.40971858326393162</v>
      </c>
      <c r="AF257">
        <f t="shared" si="70"/>
        <v>75.781139441913524</v>
      </c>
      <c r="AG257">
        <f t="shared" si="80"/>
        <v>-2.3857462152897746</v>
      </c>
      <c r="AH257">
        <f t="shared" si="81"/>
        <v>2.9516041604526588</v>
      </c>
      <c r="AI257">
        <f t="shared" si="87"/>
        <v>2.0071752419394628</v>
      </c>
      <c r="AL257">
        <f t="shared" si="71"/>
        <v>139.73225237967108</v>
      </c>
      <c r="AM257">
        <f t="shared" si="82"/>
        <v>0.56585794516288423</v>
      </c>
    </row>
    <row r="258" spans="1:39" x14ac:dyDescent="0.35">
      <c r="A258" s="2">
        <v>44287</v>
      </c>
      <c r="B258">
        <v>129.8929</v>
      </c>
      <c r="C258">
        <v>7.6035624662550247E-2</v>
      </c>
      <c r="D258">
        <f t="shared" si="66"/>
        <v>9.876487790730172</v>
      </c>
      <c r="E258">
        <f t="shared" si="72"/>
        <v>0.62126764938503776</v>
      </c>
      <c r="F258">
        <f t="shared" si="73"/>
        <v>3.6466645453607671</v>
      </c>
      <c r="G258">
        <f t="shared" si="83"/>
        <v>2.2449801587314799</v>
      </c>
      <c r="I258">
        <v>101.5211</v>
      </c>
      <c r="J258">
        <v>0.11593095656566438</v>
      </c>
      <c r="K258">
        <f t="shared" si="67"/>
        <v>11.76943823459847</v>
      </c>
      <c r="L258">
        <f t="shared" si="74"/>
        <v>-2.3286175396737607</v>
      </c>
      <c r="M258">
        <f t="shared" si="75"/>
        <v>0.69677935630196863</v>
      </c>
      <c r="N258">
        <f t="shared" si="84"/>
        <v>1.6719161946003647</v>
      </c>
      <c r="P258">
        <v>109.937</v>
      </c>
      <c r="Q258">
        <v>0.38152787315506143</v>
      </c>
      <c r="R258">
        <f t="shared" si="68"/>
        <v>41.944029791047988</v>
      </c>
      <c r="S258">
        <f t="shared" si="76"/>
        <v>2.5641743284027685</v>
      </c>
      <c r="T258">
        <f t="shared" si="77"/>
        <v>5.5895712243784974</v>
      </c>
      <c r="U258">
        <f t="shared" si="85"/>
        <v>0.29358974125664972</v>
      </c>
      <c r="W258">
        <v>70.485510000000005</v>
      </c>
      <c r="X258">
        <v>1.6786962352792322E-2</v>
      </c>
      <c r="Y258">
        <f t="shared" si="69"/>
        <v>1.1832376027873668</v>
      </c>
      <c r="Z258">
        <f t="shared" si="78"/>
        <v>-0.58228443712504685</v>
      </c>
      <c r="AA258">
        <f t="shared" si="79"/>
        <v>2.4431124588506825</v>
      </c>
      <c r="AB258">
        <f t="shared" si="86"/>
        <v>1.8545088032566381</v>
      </c>
      <c r="AD258">
        <v>172.63460000000001</v>
      </c>
      <c r="AE258">
        <v>0.40971858326393162</v>
      </c>
      <c r="AF258">
        <f t="shared" si="70"/>
        <v>70.731603734335536</v>
      </c>
      <c r="AG258">
        <f t="shared" si="80"/>
        <v>-6.6633145724187548</v>
      </c>
      <c r="AH258">
        <f t="shared" si="81"/>
        <v>3.6379176764430254</v>
      </c>
      <c r="AI258">
        <f t="shared" si="87"/>
        <v>0.68631351599036661</v>
      </c>
      <c r="AL258">
        <f t="shared" si="71"/>
        <v>135.50479715349954</v>
      </c>
      <c r="AM258">
        <f t="shared" si="82"/>
        <v>-3.0253968959757294</v>
      </c>
    </row>
    <row r="259" spans="1:39" x14ac:dyDescent="0.35">
      <c r="A259" s="2">
        <v>44317</v>
      </c>
      <c r="B259">
        <v>116.5205</v>
      </c>
      <c r="C259">
        <v>7.6035624662550247E-2</v>
      </c>
      <c r="D259">
        <f t="shared" si="66"/>
        <v>8.8597090034926858</v>
      </c>
      <c r="E259">
        <f t="shared" si="72"/>
        <v>-10.294942987645971</v>
      </c>
      <c r="F259">
        <f t="shared" si="73"/>
        <v>11.469220598955275</v>
      </c>
      <c r="G259">
        <f t="shared" si="83"/>
        <v>7.8225560535945071</v>
      </c>
      <c r="I259">
        <v>96.818600000000004</v>
      </c>
      <c r="J259">
        <v>0.11593095656566438</v>
      </c>
      <c r="K259">
        <f t="shared" si="67"/>
        <v>11.224272911348434</v>
      </c>
      <c r="L259">
        <f t="shared" si="74"/>
        <v>-4.632042009001081</v>
      </c>
      <c r="M259">
        <f t="shared" si="75"/>
        <v>5.8063196203103855</v>
      </c>
      <c r="N259">
        <f t="shared" si="84"/>
        <v>5.1095402640084169</v>
      </c>
      <c r="P259">
        <v>112.3784</v>
      </c>
      <c r="Q259">
        <v>0.38152787315506143</v>
      </c>
      <c r="R259">
        <f t="shared" si="68"/>
        <v>42.875491940568757</v>
      </c>
      <c r="S259">
        <f t="shared" si="76"/>
        <v>2.2207264160382767</v>
      </c>
      <c r="T259">
        <f t="shared" si="77"/>
        <v>1.0464488047289722</v>
      </c>
      <c r="U259">
        <f t="shared" si="85"/>
        <v>4.5431224196495252</v>
      </c>
      <c r="W259">
        <v>70.264979999999994</v>
      </c>
      <c r="X259">
        <v>1.6786962352792322E-2</v>
      </c>
      <c r="Y259">
        <f t="shared" si="69"/>
        <v>1.1795355739797053</v>
      </c>
      <c r="Z259">
        <f t="shared" si="78"/>
        <v>-0.31287281598729733</v>
      </c>
      <c r="AA259">
        <f t="shared" si="79"/>
        <v>1.4871504272966019</v>
      </c>
      <c r="AB259">
        <f t="shared" si="86"/>
        <v>0.95596203155408066</v>
      </c>
      <c r="AD259">
        <v>178.06610000000001</v>
      </c>
      <c r="AE259">
        <v>0.40971858326393162</v>
      </c>
      <c r="AF259">
        <f t="shared" si="70"/>
        <v>72.956990219333576</v>
      </c>
      <c r="AG259">
        <f t="shared" si="80"/>
        <v>3.1462406724955372</v>
      </c>
      <c r="AH259">
        <f t="shared" si="81"/>
        <v>1.9719630611862327</v>
      </c>
      <c r="AI259">
        <f t="shared" si="87"/>
        <v>1.6659546152567928</v>
      </c>
      <c r="AL259">
        <f t="shared" si="71"/>
        <v>137.09599964872316</v>
      </c>
      <c r="AM259">
        <f t="shared" si="82"/>
        <v>1.1742776113093045</v>
      </c>
    </row>
    <row r="260" spans="1:39" x14ac:dyDescent="0.35">
      <c r="A260" s="2">
        <v>44348</v>
      </c>
      <c r="B260">
        <v>115.02849999999999</v>
      </c>
      <c r="C260">
        <v>7.6035624662550247E-2</v>
      </c>
      <c r="D260">
        <f t="shared" ref="D260:D302" si="88">B260*C260</f>
        <v>8.7462638514961615</v>
      </c>
      <c r="E260">
        <f t="shared" si="72"/>
        <v>-1.2804613780407759</v>
      </c>
      <c r="F260">
        <f t="shared" si="73"/>
        <v>1.5739467364970117</v>
      </c>
      <c r="G260">
        <f t="shared" si="83"/>
        <v>9.8952738624582626</v>
      </c>
      <c r="I260">
        <v>97.451859999999996</v>
      </c>
      <c r="J260">
        <v>0.11593095656566438</v>
      </c>
      <c r="K260">
        <f t="shared" ref="K260:K302" si="89">I260*J260</f>
        <v>11.297687348903205</v>
      </c>
      <c r="L260">
        <f t="shared" si="74"/>
        <v>0.65406853641758467</v>
      </c>
      <c r="M260">
        <f t="shared" si="75"/>
        <v>0.36058317796134887</v>
      </c>
      <c r="N260">
        <f t="shared" si="84"/>
        <v>5.4457364423490366</v>
      </c>
      <c r="P260">
        <v>115.3066</v>
      </c>
      <c r="Q260">
        <v>0.38152787315506143</v>
      </c>
      <c r="R260">
        <f t="shared" ref="R260:R302" si="90">P260*Q260</f>
        <v>43.992681858741406</v>
      </c>
      <c r="S260">
        <f t="shared" si="76"/>
        <v>2.6056608743317167</v>
      </c>
      <c r="T260">
        <f t="shared" si="77"/>
        <v>2.3121755158754809</v>
      </c>
      <c r="U260">
        <f t="shared" si="85"/>
        <v>1.2657267111465087</v>
      </c>
      <c r="W260">
        <v>81.192210000000003</v>
      </c>
      <c r="X260">
        <v>1.6786962352792322E-2</v>
      </c>
      <c r="Y260">
        <f t="shared" ref="Y260:Y302" si="91">W260*X260</f>
        <v>1.3629705726100083</v>
      </c>
      <c r="Z260">
        <f t="shared" si="78"/>
        <v>15.551459631810904</v>
      </c>
      <c r="AA260">
        <f t="shared" si="79"/>
        <v>15.257974273354668</v>
      </c>
      <c r="AB260">
        <f t="shared" si="86"/>
        <v>13.770823846058066</v>
      </c>
      <c r="AD260">
        <v>175.97139999999999</v>
      </c>
      <c r="AE260">
        <v>0.40971858326393162</v>
      </c>
      <c r="AF260">
        <f t="shared" ref="AF260:AF302" si="92">AD260*AE260</f>
        <v>72.098752702970614</v>
      </c>
      <c r="AG260">
        <f t="shared" si="80"/>
        <v>-1.1763609131665298</v>
      </c>
      <c r="AH260">
        <f t="shared" si="81"/>
        <v>1.4698462716227656</v>
      </c>
      <c r="AI260">
        <f t="shared" si="87"/>
        <v>0.50211678956346706</v>
      </c>
      <c r="AL260">
        <f t="shared" ref="AL260:AL302" si="93">AF260+Y260+R260+K260+D260</f>
        <v>137.49835633472139</v>
      </c>
      <c r="AM260">
        <f t="shared" si="82"/>
        <v>0.2934853584562358</v>
      </c>
    </row>
    <row r="261" spans="1:39" x14ac:dyDescent="0.35">
      <c r="A261" s="2">
        <v>44378</v>
      </c>
      <c r="B261">
        <v>112.3154</v>
      </c>
      <c r="C261">
        <v>7.6035624662550247E-2</v>
      </c>
      <c r="D261">
        <f t="shared" si="88"/>
        <v>8.539971598224195</v>
      </c>
      <c r="E261">
        <f t="shared" ref="E261:E302" si="94">((B261/B260)-1)*100</f>
        <v>-2.3586328605519458</v>
      </c>
      <c r="F261">
        <f t="shared" ref="F261:F302" si="95">ABS(E261-AM261)</f>
        <v>8.0156205494164023E-2</v>
      </c>
      <c r="G261">
        <f t="shared" si="83"/>
        <v>1.4937905310028476</v>
      </c>
      <c r="I261">
        <v>98.410690000000002</v>
      </c>
      <c r="J261">
        <v>0.11593095656566438</v>
      </c>
      <c r="K261">
        <f t="shared" si="89"/>
        <v>11.408845427987062</v>
      </c>
      <c r="L261">
        <f t="shared" ref="L261:L302" si="96">((I261/I260)-1)*100</f>
        <v>0.98390117951572265</v>
      </c>
      <c r="M261">
        <f t="shared" ref="M261:M302" si="97">ABS(L261-AM261)</f>
        <v>3.2623778345735044</v>
      </c>
      <c r="N261">
        <f t="shared" si="84"/>
        <v>2.9017946566121555</v>
      </c>
      <c r="P261">
        <v>114.22629999999999</v>
      </c>
      <c r="Q261">
        <v>0.38152787315506143</v>
      </c>
      <c r="R261">
        <f t="shared" si="90"/>
        <v>43.580517297371991</v>
      </c>
      <c r="S261">
        <f t="shared" ref="S261:S302" si="98">((P261/P260)-1)*100</f>
        <v>-0.93689346490141157</v>
      </c>
      <c r="T261">
        <f t="shared" ref="T261:T302" si="99">ABS(S261-AM261)</f>
        <v>1.3415831901563702</v>
      </c>
      <c r="U261">
        <f t="shared" si="85"/>
        <v>0.97059232571911069</v>
      </c>
      <c r="W261">
        <v>83.371120000000005</v>
      </c>
      <c r="X261">
        <v>1.6786962352792322E-2</v>
      </c>
      <c r="Y261">
        <f t="shared" si="91"/>
        <v>1.399547852750131</v>
      </c>
      <c r="Z261">
        <f t="shared" ref="Z261:Z302" si="100">((W261/W260)-1)*100</f>
        <v>2.6836441574875192</v>
      </c>
      <c r="AA261">
        <f t="shared" ref="AA261:AA302" si="101">ABS(Z261-AM261)</f>
        <v>4.9621208125453009</v>
      </c>
      <c r="AB261">
        <f t="shared" si="86"/>
        <v>10.295853460809367</v>
      </c>
      <c r="AD261">
        <v>169.47389999999999</v>
      </c>
      <c r="AE261">
        <v>0.40971858326393162</v>
      </c>
      <c r="AF261">
        <f t="shared" si="92"/>
        <v>69.43660620821322</v>
      </c>
      <c r="AG261">
        <f t="shared" ref="AG261:AG302" si="102">((AD261/AD260)-1)*100</f>
        <v>-3.6923613723593762</v>
      </c>
      <c r="AH261">
        <f t="shared" ref="AH261:AH302" si="103">ABS(AG261-AM261)</f>
        <v>1.4138847173015945</v>
      </c>
      <c r="AI261">
        <f t="shared" si="87"/>
        <v>5.5961554321171114E-2</v>
      </c>
      <c r="AL261">
        <f t="shared" si="93"/>
        <v>134.36548838454661</v>
      </c>
      <c r="AM261">
        <f t="shared" ref="AM261:AM302" si="104">((AL261/AL260)-1)*100</f>
        <v>-2.2784766550577817</v>
      </c>
    </row>
    <row r="262" spans="1:39" x14ac:dyDescent="0.35">
      <c r="A262" s="2">
        <v>44409</v>
      </c>
      <c r="B262">
        <v>115.2193</v>
      </c>
      <c r="C262">
        <v>7.6035624662550247E-2</v>
      </c>
      <c r="D262">
        <f t="shared" si="88"/>
        <v>8.7607714486817763</v>
      </c>
      <c r="E262">
        <f t="shared" si="94"/>
        <v>2.5854869412387016</v>
      </c>
      <c r="F262">
        <f t="shared" si="95"/>
        <v>1.6538772149665482</v>
      </c>
      <c r="G262">
        <f t="shared" ref="G262:G302" si="105">ABS(F262-F261)</f>
        <v>1.5737210094723841</v>
      </c>
      <c r="I262">
        <v>99.672550000000001</v>
      </c>
      <c r="J262">
        <v>0.11593095656566438</v>
      </c>
      <c r="K262">
        <f t="shared" si="89"/>
        <v>11.555134064839011</v>
      </c>
      <c r="L262">
        <f t="shared" si="96"/>
        <v>1.2822387486562725</v>
      </c>
      <c r="M262">
        <f t="shared" si="97"/>
        <v>2.9571254075489772</v>
      </c>
      <c r="N262">
        <f t="shared" ref="N262:N302" si="106">ABS(M262-M261)</f>
        <v>0.30525242702452715</v>
      </c>
      <c r="P262">
        <v>117.66370000000001</v>
      </c>
      <c r="Q262">
        <v>0.38152787315506143</v>
      </c>
      <c r="R262">
        <f t="shared" si="90"/>
        <v>44.891981208555201</v>
      </c>
      <c r="S262">
        <f t="shared" si="98"/>
        <v>3.0092894543551019</v>
      </c>
      <c r="T262">
        <f t="shared" si="99"/>
        <v>1.2300747018501479</v>
      </c>
      <c r="U262">
        <f t="shared" ref="U262:U302" si="107">ABS(T262-T261)</f>
        <v>0.11150848830622229</v>
      </c>
      <c r="W262">
        <v>96.023060000000001</v>
      </c>
      <c r="X262">
        <v>1.6786962352792322E-2</v>
      </c>
      <c r="Y262">
        <f t="shared" si="91"/>
        <v>1.6119354932199184</v>
      </c>
      <c r="Z262">
        <f t="shared" si="100"/>
        <v>15.175446845382435</v>
      </c>
      <c r="AA262">
        <f t="shared" si="101"/>
        <v>10.936082689177185</v>
      </c>
      <c r="AB262">
        <f t="shared" ref="AB262:AB302" si="108">ABS(AA262-AA261)</f>
        <v>5.9739618766318845</v>
      </c>
      <c r="AD262">
        <v>178.76150000000001</v>
      </c>
      <c r="AE262">
        <v>0.40971858326393162</v>
      </c>
      <c r="AF262">
        <f t="shared" si="92"/>
        <v>73.241908522135319</v>
      </c>
      <c r="AG262">
        <f t="shared" si="102"/>
        <v>5.4802538916022048</v>
      </c>
      <c r="AH262">
        <f t="shared" si="103"/>
        <v>1.240889735396955</v>
      </c>
      <c r="AI262">
        <f t="shared" ref="AI262:AI302" si="109">ABS(AH262-AH261)</f>
        <v>0.17299498190463947</v>
      </c>
      <c r="AL262">
        <f t="shared" si="93"/>
        <v>140.06173073743122</v>
      </c>
      <c r="AM262">
        <f t="shared" si="104"/>
        <v>4.2393641562052498</v>
      </c>
    </row>
    <row r="263" spans="1:39" x14ac:dyDescent="0.35">
      <c r="A263" s="2">
        <v>44440</v>
      </c>
      <c r="B263">
        <v>116.58459999999999</v>
      </c>
      <c r="C263">
        <v>7.6035624662550247E-2</v>
      </c>
      <c r="D263">
        <f t="shared" si="88"/>
        <v>8.8645828870335546</v>
      </c>
      <c r="E263">
        <f t="shared" si="94"/>
        <v>1.1849577284361201</v>
      </c>
      <c r="F263">
        <f t="shared" si="95"/>
        <v>1.3262655215767416</v>
      </c>
      <c r="G263">
        <f t="shared" si="105"/>
        <v>0.32761169338980656</v>
      </c>
      <c r="I263">
        <v>102.8451</v>
      </c>
      <c r="J263">
        <v>0.11593095656566438</v>
      </c>
      <c r="K263">
        <f t="shared" si="89"/>
        <v>11.922930821091409</v>
      </c>
      <c r="L263">
        <f t="shared" si="96"/>
        <v>3.1829726439225325</v>
      </c>
      <c r="M263">
        <f t="shared" si="97"/>
        <v>3.324280437063154</v>
      </c>
      <c r="N263">
        <f t="shared" si="106"/>
        <v>0.36715502951417678</v>
      </c>
      <c r="P263">
        <v>117.4345</v>
      </c>
      <c r="Q263">
        <v>0.38152787315506143</v>
      </c>
      <c r="R263">
        <f t="shared" si="90"/>
        <v>44.804535020028062</v>
      </c>
      <c r="S263">
        <f t="shared" si="98"/>
        <v>-0.19479244660842721</v>
      </c>
      <c r="T263">
        <f t="shared" si="99"/>
        <v>5.3484653467805732E-2</v>
      </c>
      <c r="U263">
        <f t="shared" si="107"/>
        <v>1.1765900483823422</v>
      </c>
      <c r="W263">
        <v>112.5958</v>
      </c>
      <c r="X263">
        <v>1.6786962352792322E-2</v>
      </c>
      <c r="Y263">
        <f t="shared" si="91"/>
        <v>1.8901414556825338</v>
      </c>
      <c r="Z263">
        <f t="shared" si="100"/>
        <v>17.259125047670842</v>
      </c>
      <c r="AA263">
        <f t="shared" si="101"/>
        <v>17.400432840811465</v>
      </c>
      <c r="AB263">
        <f t="shared" si="108"/>
        <v>6.4643501516342798</v>
      </c>
      <c r="AD263">
        <v>176.6618</v>
      </c>
      <c r="AE263">
        <v>0.40971858326393162</v>
      </c>
      <c r="AF263">
        <f t="shared" si="92"/>
        <v>72.381622412856032</v>
      </c>
      <c r="AG263">
        <f t="shared" si="102"/>
        <v>-1.174581775158523</v>
      </c>
      <c r="AH263">
        <f t="shared" si="103"/>
        <v>1.0332739820179015</v>
      </c>
      <c r="AI263">
        <f t="shared" si="109"/>
        <v>0.20761575337905347</v>
      </c>
      <c r="AL263">
        <f t="shared" si="93"/>
        <v>139.86381259669159</v>
      </c>
      <c r="AM263">
        <f t="shared" si="104"/>
        <v>-0.14130779314062147</v>
      </c>
    </row>
    <row r="264" spans="1:39" x14ac:dyDescent="0.35">
      <c r="A264" s="2">
        <v>44470</v>
      </c>
      <c r="B264">
        <v>109.1185</v>
      </c>
      <c r="C264">
        <v>7.6035624662550247E-2</v>
      </c>
      <c r="D264">
        <f t="shared" si="88"/>
        <v>8.2968933097404882</v>
      </c>
      <c r="E264">
        <f t="shared" si="94"/>
        <v>-6.4040190556900249</v>
      </c>
      <c r="F264">
        <f t="shared" si="95"/>
        <v>7.0598884826086232</v>
      </c>
      <c r="G264">
        <f t="shared" si="105"/>
        <v>5.7336229610318821</v>
      </c>
      <c r="I264">
        <v>108.797</v>
      </c>
      <c r="J264">
        <v>0.11593095656566438</v>
      </c>
      <c r="K264">
        <f t="shared" si="89"/>
        <v>12.612940281474588</v>
      </c>
      <c r="L264">
        <f t="shared" si="96"/>
        <v>5.7872470346180815</v>
      </c>
      <c r="M264">
        <f t="shared" si="97"/>
        <v>5.1313776076994833</v>
      </c>
      <c r="N264">
        <f t="shared" si="106"/>
        <v>1.8070971706363292</v>
      </c>
      <c r="P264">
        <v>117.7936</v>
      </c>
      <c r="Q264">
        <v>0.38152787315506143</v>
      </c>
      <c r="R264">
        <f t="shared" si="90"/>
        <v>44.941541679278046</v>
      </c>
      <c r="S264">
        <f t="shared" si="98"/>
        <v>0.30578748153224922</v>
      </c>
      <c r="T264">
        <f t="shared" si="99"/>
        <v>0.35008194538634907</v>
      </c>
      <c r="U264">
        <f t="shared" si="107"/>
        <v>0.29659729191854334</v>
      </c>
      <c r="W264">
        <v>112.49509999999999</v>
      </c>
      <c r="X264">
        <v>1.6786962352792322E-2</v>
      </c>
      <c r="Y264">
        <f t="shared" si="91"/>
        <v>1.8884510085736075</v>
      </c>
      <c r="Z264">
        <f t="shared" si="100"/>
        <v>-8.9434952280642577E-2</v>
      </c>
      <c r="AA264">
        <f t="shared" si="101"/>
        <v>0.74530437919924086</v>
      </c>
      <c r="AB264">
        <f t="shared" si="108"/>
        <v>16.655128461612225</v>
      </c>
      <c r="AD264">
        <v>178.27189999999999</v>
      </c>
      <c r="AE264">
        <v>0.40971858326393162</v>
      </c>
      <c r="AF264">
        <f t="shared" si="92"/>
        <v>73.041310303769293</v>
      </c>
      <c r="AG264">
        <f t="shared" si="102"/>
        <v>0.91140246504903821</v>
      </c>
      <c r="AH264">
        <f t="shared" si="103"/>
        <v>0.25553303813043993</v>
      </c>
      <c r="AI264">
        <f t="shared" si="109"/>
        <v>0.77774094388746162</v>
      </c>
      <c r="AL264">
        <f t="shared" si="93"/>
        <v>140.78113658283601</v>
      </c>
      <c r="AM264">
        <f t="shared" si="104"/>
        <v>0.65586942691859829</v>
      </c>
    </row>
    <row r="265" spans="1:39" x14ac:dyDescent="0.35">
      <c r="A265" s="2">
        <v>44501</v>
      </c>
      <c r="B265">
        <v>118.084</v>
      </c>
      <c r="C265">
        <v>7.6035624662550247E-2</v>
      </c>
      <c r="D265">
        <f t="shared" si="88"/>
        <v>8.9785907026525837</v>
      </c>
      <c r="E265">
        <f t="shared" si="94"/>
        <v>8.2162969615601433</v>
      </c>
      <c r="F265">
        <f t="shared" si="95"/>
        <v>0.45843126082849572</v>
      </c>
      <c r="G265">
        <f t="shared" si="105"/>
        <v>6.6014572217801275</v>
      </c>
      <c r="I265">
        <v>105.1551</v>
      </c>
      <c r="J265">
        <v>0.11593095656566438</v>
      </c>
      <c r="K265">
        <f t="shared" si="89"/>
        <v>12.190731330758094</v>
      </c>
      <c r="L265">
        <f t="shared" si="96"/>
        <v>-3.3474268591964784</v>
      </c>
      <c r="M265">
        <f t="shared" si="97"/>
        <v>12.022155081585117</v>
      </c>
      <c r="N265">
        <f t="shared" si="106"/>
        <v>6.8907774738856338</v>
      </c>
      <c r="P265">
        <v>116.55970000000001</v>
      </c>
      <c r="Q265">
        <v>0.38152787315506143</v>
      </c>
      <c r="R265">
        <f t="shared" si="90"/>
        <v>44.470774436592016</v>
      </c>
      <c r="S265">
        <f t="shared" si="98"/>
        <v>-1.0475102212683773</v>
      </c>
      <c r="T265">
        <f t="shared" si="99"/>
        <v>9.7222384436570159</v>
      </c>
      <c r="U265">
        <f t="shared" si="107"/>
        <v>9.372156498270666</v>
      </c>
      <c r="W265">
        <v>112.50539999999999</v>
      </c>
      <c r="X265">
        <v>1.6786962352792322E-2</v>
      </c>
      <c r="Y265">
        <f t="shared" si="91"/>
        <v>1.8886239142858412</v>
      </c>
      <c r="Z265">
        <f t="shared" si="100"/>
        <v>9.1559543482278016E-3</v>
      </c>
      <c r="AA265">
        <f t="shared" si="101"/>
        <v>8.6655722680404104</v>
      </c>
      <c r="AB265">
        <f t="shared" si="108"/>
        <v>7.9202678888411695</v>
      </c>
      <c r="AD265">
        <v>208.59389999999999</v>
      </c>
      <c r="AE265">
        <v>0.40971858326393162</v>
      </c>
      <c r="AF265">
        <f t="shared" si="92"/>
        <v>85.464797185498227</v>
      </c>
      <c r="AG265">
        <f t="shared" si="102"/>
        <v>17.008849964576591</v>
      </c>
      <c r="AH265">
        <f t="shared" si="103"/>
        <v>8.3341217421879517</v>
      </c>
      <c r="AI265">
        <f t="shared" si="109"/>
        <v>8.0785887040575126</v>
      </c>
      <c r="AL265">
        <f t="shared" si="93"/>
        <v>152.99351756978677</v>
      </c>
      <c r="AM265">
        <f t="shared" si="104"/>
        <v>8.6747282223886391</v>
      </c>
    </row>
    <row r="266" spans="1:39" x14ac:dyDescent="0.35">
      <c r="A266" s="2">
        <v>44531</v>
      </c>
      <c r="B266">
        <v>114.0731</v>
      </c>
      <c r="C266">
        <v>7.6035624662550247E-2</v>
      </c>
      <c r="D266">
        <f t="shared" si="88"/>
        <v>8.67361941569356</v>
      </c>
      <c r="E266">
        <f t="shared" si="94"/>
        <v>-3.3966498424850111</v>
      </c>
      <c r="F266">
        <f t="shared" si="95"/>
        <v>13.215229986846156</v>
      </c>
      <c r="G266">
        <f t="shared" si="105"/>
        <v>12.75679872601766</v>
      </c>
      <c r="I266">
        <v>108.7239</v>
      </c>
      <c r="J266">
        <v>0.11593095656566438</v>
      </c>
      <c r="K266">
        <f t="shared" si="89"/>
        <v>12.604465728549638</v>
      </c>
      <c r="L266">
        <f t="shared" si="96"/>
        <v>3.3938439505073914</v>
      </c>
      <c r="M266">
        <f t="shared" si="97"/>
        <v>6.4247361938537528</v>
      </c>
      <c r="N266">
        <f t="shared" si="106"/>
        <v>5.5974188877313642</v>
      </c>
      <c r="P266">
        <v>117.91630000000001</v>
      </c>
      <c r="Q266">
        <v>0.38152787315506143</v>
      </c>
      <c r="R266">
        <f t="shared" si="90"/>
        <v>44.988355149314174</v>
      </c>
      <c r="S266">
        <f t="shared" si="98"/>
        <v>1.1638670998638467</v>
      </c>
      <c r="T266">
        <f t="shared" si="99"/>
        <v>8.6547130444972975</v>
      </c>
      <c r="U266">
        <f t="shared" si="107"/>
        <v>1.0675253991597184</v>
      </c>
      <c r="W266">
        <v>112.50449999999999</v>
      </c>
      <c r="X266">
        <v>1.6786962352792322E-2</v>
      </c>
      <c r="Y266">
        <f t="shared" si="91"/>
        <v>1.8886088060197237</v>
      </c>
      <c r="Z266">
        <f t="shared" si="100"/>
        <v>-7.9996160184947485E-4</v>
      </c>
      <c r="AA266">
        <f t="shared" si="101"/>
        <v>9.8193801059629937</v>
      </c>
      <c r="AB266">
        <f t="shared" si="108"/>
        <v>1.1538078379225833</v>
      </c>
      <c r="AD266">
        <v>243.72890000000001</v>
      </c>
      <c r="AE266">
        <v>0.40971858326393162</v>
      </c>
      <c r="AF266">
        <f t="shared" si="92"/>
        <v>99.860259608476468</v>
      </c>
      <c r="AG266">
        <f t="shared" si="102"/>
        <v>16.843733206004586</v>
      </c>
      <c r="AH266">
        <f t="shared" si="103"/>
        <v>7.0251530616434419</v>
      </c>
      <c r="AI266">
        <f t="shared" si="109"/>
        <v>1.3089686805445098</v>
      </c>
      <c r="AL266">
        <f t="shared" si="93"/>
        <v>168.01530870805354</v>
      </c>
      <c r="AM266">
        <f t="shared" si="104"/>
        <v>9.8185801443611442</v>
      </c>
    </row>
    <row r="267" spans="1:39" x14ac:dyDescent="0.35">
      <c r="A267" s="2">
        <v>44562</v>
      </c>
      <c r="B267">
        <v>118.2497</v>
      </c>
      <c r="C267">
        <v>7.4282785986744412E-2</v>
      </c>
      <c r="D267">
        <f t="shared" si="88"/>
        <v>8.783917158096731</v>
      </c>
      <c r="E267">
        <f t="shared" si="94"/>
        <v>3.661336458814568</v>
      </c>
      <c r="F267">
        <f t="shared" si="95"/>
        <v>1.1877155520340521</v>
      </c>
      <c r="G267">
        <f t="shared" si="105"/>
        <v>12.027514434812105</v>
      </c>
      <c r="I267">
        <v>115.38679999999999</v>
      </c>
      <c r="J267">
        <v>0.11858317667165819</v>
      </c>
      <c r="K267">
        <f t="shared" si="89"/>
        <v>13.682933289977289</v>
      </c>
      <c r="L267">
        <f t="shared" si="96"/>
        <v>6.128275383793258</v>
      </c>
      <c r="M267">
        <f t="shared" si="97"/>
        <v>3.654654477012742</v>
      </c>
      <c r="N267">
        <f t="shared" si="106"/>
        <v>2.7700817168410108</v>
      </c>
      <c r="P267">
        <v>119.592</v>
      </c>
      <c r="Q267">
        <v>0.37803691649932403</v>
      </c>
      <c r="R267">
        <f t="shared" si="90"/>
        <v>45.210190917987156</v>
      </c>
      <c r="S267">
        <f t="shared" si="98"/>
        <v>1.4210927581682853</v>
      </c>
      <c r="T267">
        <f t="shared" si="99"/>
        <v>1.0525281486122307</v>
      </c>
      <c r="U267">
        <f t="shared" si="107"/>
        <v>7.6021848958850669</v>
      </c>
      <c r="W267">
        <v>112.506</v>
      </c>
      <c r="X267">
        <v>1.6737944974101773E-2</v>
      </c>
      <c r="Y267">
        <f t="shared" si="91"/>
        <v>1.8831192372562939</v>
      </c>
      <c r="Z267">
        <f t="shared" si="100"/>
        <v>1.3332800021359503E-3</v>
      </c>
      <c r="AA267">
        <f t="shared" si="101"/>
        <v>2.47228762677838</v>
      </c>
      <c r="AB267">
        <f t="shared" si="108"/>
        <v>7.3470924791846137</v>
      </c>
      <c r="AD267">
        <v>248.83940000000001</v>
      </c>
      <c r="AE267">
        <v>0.41235917586817161</v>
      </c>
      <c r="AF267">
        <f t="shared" si="92"/>
        <v>102.61120990753031</v>
      </c>
      <c r="AG267">
        <f t="shared" si="102"/>
        <v>2.0967968919565871</v>
      </c>
      <c r="AH267">
        <f t="shared" si="103"/>
        <v>0.3768240148239288</v>
      </c>
      <c r="AI267">
        <f t="shared" si="109"/>
        <v>6.6483290468195131</v>
      </c>
      <c r="AL267">
        <f t="shared" si="93"/>
        <v>172.17137051084777</v>
      </c>
      <c r="AM267">
        <f t="shared" si="104"/>
        <v>2.4736209067805159</v>
      </c>
    </row>
    <row r="268" spans="1:39" x14ac:dyDescent="0.35">
      <c r="A268" s="2">
        <v>44593</v>
      </c>
      <c r="B268">
        <v>120.98950000000001</v>
      </c>
      <c r="C268">
        <v>7.4282785986744412E-2</v>
      </c>
      <c r="D268">
        <f t="shared" si="88"/>
        <v>8.9874371351432139</v>
      </c>
      <c r="E268">
        <f t="shared" si="94"/>
        <v>2.316961480663382</v>
      </c>
      <c r="F268">
        <f t="shared" si="95"/>
        <v>2.3937279218772423</v>
      </c>
      <c r="G268">
        <f t="shared" si="105"/>
        <v>1.2060123698431902</v>
      </c>
      <c r="I268">
        <v>117.1949</v>
      </c>
      <c r="J268">
        <v>0.11858317667165819</v>
      </c>
      <c r="K268">
        <f t="shared" si="89"/>
        <v>13.897343531717315</v>
      </c>
      <c r="L268">
        <f t="shared" si="96"/>
        <v>1.5669903316497313</v>
      </c>
      <c r="M268">
        <f t="shared" si="97"/>
        <v>1.6437567728635916</v>
      </c>
      <c r="N268">
        <f t="shared" si="106"/>
        <v>2.0108977041491505</v>
      </c>
      <c r="P268">
        <v>119.14570000000001</v>
      </c>
      <c r="Q268">
        <v>0.37803691649932403</v>
      </c>
      <c r="R268">
        <f t="shared" si="90"/>
        <v>45.041473042153513</v>
      </c>
      <c r="S268">
        <f t="shared" si="98"/>
        <v>-0.37318549735767537</v>
      </c>
      <c r="T268">
        <f t="shared" si="99"/>
        <v>0.29641905614381514</v>
      </c>
      <c r="U268">
        <f t="shared" si="107"/>
        <v>0.75610909246841551</v>
      </c>
      <c r="W268">
        <v>112.5016</v>
      </c>
      <c r="X268">
        <v>1.6737944974101773E-2</v>
      </c>
      <c r="Y268">
        <f t="shared" si="91"/>
        <v>1.883045590298408</v>
      </c>
      <c r="Z268">
        <f t="shared" si="100"/>
        <v>-3.9109025296468758E-3</v>
      </c>
      <c r="AA268">
        <f t="shared" si="101"/>
        <v>7.285553868421335E-2</v>
      </c>
      <c r="AB268">
        <f t="shared" si="108"/>
        <v>2.3994320880941666</v>
      </c>
      <c r="AD268">
        <v>247.91470000000001</v>
      </c>
      <c r="AE268">
        <v>0.41235917586817161</v>
      </c>
      <c r="AF268">
        <f t="shared" si="92"/>
        <v>102.229901377605</v>
      </c>
      <c r="AG268">
        <f t="shared" si="102"/>
        <v>-0.3716051397005482</v>
      </c>
      <c r="AH268">
        <f t="shared" si="103"/>
        <v>0.29483869848668798</v>
      </c>
      <c r="AI268">
        <f t="shared" si="109"/>
        <v>8.1985316337240821E-2</v>
      </c>
      <c r="AL268">
        <f t="shared" si="93"/>
        <v>172.03920067691746</v>
      </c>
      <c r="AM268">
        <f t="shared" si="104"/>
        <v>-7.6766441213860226E-2</v>
      </c>
    </row>
    <row r="269" spans="1:39" x14ac:dyDescent="0.35">
      <c r="A269" s="2">
        <v>44621</v>
      </c>
      <c r="B269">
        <v>127.8</v>
      </c>
      <c r="C269">
        <v>7.4282785986744412E-2</v>
      </c>
      <c r="D269">
        <f t="shared" si="88"/>
        <v>9.4933400491059352</v>
      </c>
      <c r="E269">
        <f t="shared" si="94"/>
        <v>5.6290008637112976</v>
      </c>
      <c r="F269">
        <f t="shared" si="95"/>
        <v>0.96303196631886134</v>
      </c>
      <c r="G269">
        <f t="shared" si="105"/>
        <v>1.4306959555583809</v>
      </c>
      <c r="I269">
        <v>120.8368</v>
      </c>
      <c r="J269">
        <v>0.11858317667165819</v>
      </c>
      <c r="K269">
        <f t="shared" si="89"/>
        <v>14.329211602837825</v>
      </c>
      <c r="L269">
        <f t="shared" si="96"/>
        <v>3.1075584347100449</v>
      </c>
      <c r="M269">
        <f t="shared" si="97"/>
        <v>1.5584104626823914</v>
      </c>
      <c r="N269">
        <f t="shared" si="106"/>
        <v>8.5346310181200202E-2</v>
      </c>
      <c r="P269">
        <v>123.84739999999999</v>
      </c>
      <c r="Q269">
        <v>0.37803691649932403</v>
      </c>
      <c r="R269">
        <f t="shared" si="90"/>
        <v>46.81888921245838</v>
      </c>
      <c r="S269">
        <f t="shared" si="98"/>
        <v>3.9461768238383765</v>
      </c>
      <c r="T269">
        <f t="shared" si="99"/>
        <v>0.71979207355405972</v>
      </c>
      <c r="U269">
        <f t="shared" si="107"/>
        <v>0.42337301741024458</v>
      </c>
      <c r="W269">
        <v>112.5025</v>
      </c>
      <c r="X269">
        <v>1.6737944974101773E-2</v>
      </c>
      <c r="Y269">
        <f t="shared" si="91"/>
        <v>1.8830606544488846</v>
      </c>
      <c r="Z269">
        <f t="shared" si="100"/>
        <v>7.9998862239083479E-4</v>
      </c>
      <c r="AA269">
        <f t="shared" si="101"/>
        <v>4.6651689087700454</v>
      </c>
      <c r="AB269">
        <f t="shared" si="108"/>
        <v>4.5923133700858321</v>
      </c>
      <c r="AD269">
        <v>260.79689999999999</v>
      </c>
      <c r="AE269">
        <v>0.41235917586817161</v>
      </c>
      <c r="AF269">
        <f t="shared" si="92"/>
        <v>107.54199475297396</v>
      </c>
      <c r="AG269">
        <f t="shared" si="102"/>
        <v>5.1962227330609956</v>
      </c>
      <c r="AH269">
        <f t="shared" si="103"/>
        <v>0.53025383566855933</v>
      </c>
      <c r="AI269">
        <f t="shared" si="109"/>
        <v>0.23541513718187135</v>
      </c>
      <c r="AL269">
        <f t="shared" si="93"/>
        <v>180.066496271825</v>
      </c>
      <c r="AM269">
        <f t="shared" si="104"/>
        <v>4.6659688973924363</v>
      </c>
    </row>
    <row r="270" spans="1:39" x14ac:dyDescent="0.35">
      <c r="A270" s="2">
        <v>44652</v>
      </c>
      <c r="B270">
        <v>132.69659999999999</v>
      </c>
      <c r="C270">
        <v>7.4282785986744412E-2</v>
      </c>
      <c r="D270">
        <f t="shared" si="88"/>
        <v>9.8570731389686284</v>
      </c>
      <c r="E270">
        <f t="shared" si="94"/>
        <v>3.8314553990610234</v>
      </c>
      <c r="F270">
        <f t="shared" si="95"/>
        <v>5.8639298121204932</v>
      </c>
      <c r="G270">
        <f t="shared" si="105"/>
        <v>4.9008978458016319</v>
      </c>
      <c r="I270">
        <v>125.1018</v>
      </c>
      <c r="J270">
        <v>0.11858317667165819</v>
      </c>
      <c r="K270">
        <f t="shared" si="89"/>
        <v>14.834968851342447</v>
      </c>
      <c r="L270">
        <f t="shared" si="96"/>
        <v>3.5295539107291773</v>
      </c>
      <c r="M270">
        <f t="shared" si="97"/>
        <v>6.1658313004523393</v>
      </c>
      <c r="N270">
        <f t="shared" si="106"/>
        <v>4.6074208377699479</v>
      </c>
      <c r="P270">
        <v>123.3122</v>
      </c>
      <c r="Q270">
        <v>0.37803691649932403</v>
      </c>
      <c r="R270">
        <f t="shared" si="90"/>
        <v>46.616563854747945</v>
      </c>
      <c r="S270">
        <f t="shared" si="98"/>
        <v>-0.43214472003448856</v>
      </c>
      <c r="T270">
        <f t="shared" si="99"/>
        <v>10.127529931216005</v>
      </c>
      <c r="U270">
        <f t="shared" si="107"/>
        <v>9.4077378576619459</v>
      </c>
      <c r="W270">
        <v>112.5098</v>
      </c>
      <c r="X270">
        <v>1.6737944974101773E-2</v>
      </c>
      <c r="Y270">
        <f t="shared" si="91"/>
        <v>1.8831828414471956</v>
      </c>
      <c r="Z270">
        <f t="shared" si="100"/>
        <v>6.4887446945549598E-3</v>
      </c>
      <c r="AA270">
        <f t="shared" si="101"/>
        <v>9.6888964664869626</v>
      </c>
      <c r="AB270">
        <f t="shared" si="108"/>
        <v>5.0237275577169171</v>
      </c>
      <c r="AD270">
        <v>301.51589999999999</v>
      </c>
      <c r="AE270">
        <v>0.41235917586817161</v>
      </c>
      <c r="AF270">
        <f t="shared" si="92"/>
        <v>124.33284803515004</v>
      </c>
      <c r="AG270">
        <f t="shared" si="102"/>
        <v>15.613299084459964</v>
      </c>
      <c r="AH270">
        <f t="shared" si="103"/>
        <v>5.9179138732784473</v>
      </c>
      <c r="AI270">
        <f t="shared" si="109"/>
        <v>5.387660037609888</v>
      </c>
      <c r="AL270">
        <f t="shared" si="93"/>
        <v>197.52463672165624</v>
      </c>
      <c r="AM270">
        <f t="shared" si="104"/>
        <v>9.6953852111815166</v>
      </c>
    </row>
    <row r="271" spans="1:39" x14ac:dyDescent="0.35">
      <c r="A271" s="2">
        <v>44682</v>
      </c>
      <c r="B271">
        <v>137.5556</v>
      </c>
      <c r="C271">
        <v>7.4282785986744412E-2</v>
      </c>
      <c r="D271">
        <f t="shared" si="88"/>
        <v>10.218013196078219</v>
      </c>
      <c r="E271">
        <f t="shared" si="94"/>
        <v>3.661736623244316</v>
      </c>
      <c r="F271">
        <f t="shared" si="95"/>
        <v>5.3080400009639988</v>
      </c>
      <c r="G271">
        <f t="shared" si="105"/>
        <v>0.5558898111564945</v>
      </c>
      <c r="I271">
        <v>118.16</v>
      </c>
      <c r="J271">
        <v>0.11858317667165819</v>
      </c>
      <c r="K271">
        <f t="shared" si="89"/>
        <v>14.011788155523131</v>
      </c>
      <c r="L271">
        <f t="shared" si="96"/>
        <v>-5.5489209587711752</v>
      </c>
      <c r="M271">
        <f t="shared" si="97"/>
        <v>3.9026175810514929</v>
      </c>
      <c r="N271">
        <f t="shared" si="106"/>
        <v>2.2632137194008464</v>
      </c>
      <c r="P271">
        <v>115.91</v>
      </c>
      <c r="Q271">
        <v>0.37803691649932403</v>
      </c>
      <c r="R271">
        <f t="shared" si="90"/>
        <v>43.818258991436643</v>
      </c>
      <c r="S271">
        <f t="shared" si="98"/>
        <v>-6.0028123737959511</v>
      </c>
      <c r="T271">
        <f t="shared" si="99"/>
        <v>4.3565089960762684</v>
      </c>
      <c r="U271">
        <f t="shared" si="107"/>
        <v>5.7710209351397364</v>
      </c>
      <c r="W271">
        <v>112.50920000000001</v>
      </c>
      <c r="X271">
        <v>1.6737944974101773E-2</v>
      </c>
      <c r="Y271">
        <f t="shared" si="91"/>
        <v>1.8831727986802114</v>
      </c>
      <c r="Z271">
        <f t="shared" si="100"/>
        <v>-5.3328687811271536E-4</v>
      </c>
      <c r="AA271">
        <f t="shared" si="101"/>
        <v>1.6457700908415696</v>
      </c>
      <c r="AB271">
        <f t="shared" si="108"/>
        <v>8.043126375645393</v>
      </c>
      <c r="AD271">
        <v>301.53699999999998</v>
      </c>
      <c r="AE271">
        <v>0.41235917586817161</v>
      </c>
      <c r="AF271">
        <f t="shared" si="92"/>
        <v>124.34154881376085</v>
      </c>
      <c r="AG271">
        <f t="shared" si="102"/>
        <v>6.9979725779045765E-3</v>
      </c>
      <c r="AH271">
        <f t="shared" si="103"/>
        <v>1.6533013502975868</v>
      </c>
      <c r="AI271">
        <f t="shared" si="109"/>
        <v>4.26461252298086</v>
      </c>
      <c r="AL271">
        <f t="shared" si="93"/>
        <v>194.27278195547908</v>
      </c>
      <c r="AM271">
        <f t="shared" si="104"/>
        <v>-1.6463033777196823</v>
      </c>
    </row>
    <row r="272" spans="1:39" x14ac:dyDescent="0.35">
      <c r="A272" s="2">
        <v>44713</v>
      </c>
      <c r="B272">
        <v>143.43289999999999</v>
      </c>
      <c r="C272">
        <v>7.4282785986744412E-2</v>
      </c>
      <c r="D272">
        <f t="shared" si="88"/>
        <v>10.654595414158111</v>
      </c>
      <c r="E272">
        <f t="shared" si="94"/>
        <v>4.2726722866971656</v>
      </c>
      <c r="F272">
        <f t="shared" si="95"/>
        <v>2.3672479382445877</v>
      </c>
      <c r="G272">
        <f t="shared" si="105"/>
        <v>2.9407920627194111</v>
      </c>
      <c r="I272">
        <v>114.8398</v>
      </c>
      <c r="J272">
        <v>0.11858317667165819</v>
      </c>
      <c r="K272">
        <f t="shared" si="89"/>
        <v>13.618068292337892</v>
      </c>
      <c r="L272">
        <f t="shared" si="96"/>
        <v>-2.8099187542315551</v>
      </c>
      <c r="M272">
        <f t="shared" si="97"/>
        <v>4.715343102684133</v>
      </c>
      <c r="N272">
        <f t="shared" si="106"/>
        <v>0.81272552163264011</v>
      </c>
      <c r="P272">
        <v>110.9284</v>
      </c>
      <c r="Q272">
        <v>0.37803691649932403</v>
      </c>
      <c r="R272">
        <f t="shared" si="90"/>
        <v>41.935030288203613</v>
      </c>
      <c r="S272">
        <f t="shared" si="98"/>
        <v>-4.2978172720213976</v>
      </c>
      <c r="T272">
        <f t="shared" si="99"/>
        <v>6.2032416204739755</v>
      </c>
      <c r="U272">
        <f t="shared" si="107"/>
        <v>1.8467326243977071</v>
      </c>
      <c r="W272">
        <v>112.508</v>
      </c>
      <c r="X272">
        <v>1.6737944974101773E-2</v>
      </c>
      <c r="Y272">
        <f t="shared" si="91"/>
        <v>1.8831527131462422</v>
      </c>
      <c r="Z272">
        <f t="shared" si="100"/>
        <v>-1.0665794441755416E-3</v>
      </c>
      <c r="AA272">
        <f t="shared" si="101"/>
        <v>1.9064909278967535</v>
      </c>
      <c r="AB272">
        <f t="shared" si="108"/>
        <v>0.2607208370551839</v>
      </c>
      <c r="AD272">
        <v>314.97699999999998</v>
      </c>
      <c r="AE272">
        <v>0.41235917586817161</v>
      </c>
      <c r="AF272">
        <f t="shared" si="92"/>
        <v>129.88365613742909</v>
      </c>
      <c r="AG272">
        <f t="shared" si="102"/>
        <v>4.4571644607461103</v>
      </c>
      <c r="AH272">
        <f t="shared" si="103"/>
        <v>2.5517401122935324</v>
      </c>
      <c r="AI272">
        <f t="shared" si="109"/>
        <v>0.89843876199594552</v>
      </c>
      <c r="AL272">
        <f t="shared" si="93"/>
        <v>197.97450284527494</v>
      </c>
      <c r="AM272">
        <f t="shared" si="104"/>
        <v>1.9054243484525779</v>
      </c>
    </row>
    <row r="273" spans="1:39" x14ac:dyDescent="0.35">
      <c r="A273" s="2">
        <v>44743</v>
      </c>
      <c r="B273">
        <v>144.1431</v>
      </c>
      <c r="C273">
        <v>7.4282785986744412E-2</v>
      </c>
      <c r="D273">
        <f t="shared" si="88"/>
        <v>10.707351048765899</v>
      </c>
      <c r="E273">
        <f t="shared" si="94"/>
        <v>0.49514441944631393</v>
      </c>
      <c r="F273">
        <f t="shared" si="95"/>
        <v>3.7430222827188553</v>
      </c>
      <c r="G273">
        <f t="shared" si="105"/>
        <v>1.3757743444742676</v>
      </c>
      <c r="I273">
        <v>101.685</v>
      </c>
      <c r="J273">
        <v>0.11858317667165819</v>
      </c>
      <c r="K273">
        <f t="shared" si="89"/>
        <v>12.058130319857563</v>
      </c>
      <c r="L273">
        <f t="shared" si="96"/>
        <v>-11.45491371458327</v>
      </c>
      <c r="M273">
        <f t="shared" si="97"/>
        <v>8.207035851310728</v>
      </c>
      <c r="N273">
        <f t="shared" si="106"/>
        <v>3.491692748626595</v>
      </c>
      <c r="P273">
        <v>107.96720000000001</v>
      </c>
      <c r="Q273">
        <v>0.37803691649932403</v>
      </c>
      <c r="R273">
        <f t="shared" si="90"/>
        <v>40.815587371065817</v>
      </c>
      <c r="S273">
        <f t="shared" si="98"/>
        <v>-2.6694696759350989</v>
      </c>
      <c r="T273">
        <f t="shared" si="99"/>
        <v>0.57840818733744248</v>
      </c>
      <c r="U273">
        <f t="shared" si="107"/>
        <v>5.6248334331365335</v>
      </c>
      <c r="W273">
        <v>112.50360000000001</v>
      </c>
      <c r="X273">
        <v>1.6737944974101773E-2</v>
      </c>
      <c r="Y273">
        <f t="shared" si="91"/>
        <v>1.8830790661883563</v>
      </c>
      <c r="Z273">
        <f t="shared" si="100"/>
        <v>-3.9108330074255626E-3</v>
      </c>
      <c r="AA273">
        <f t="shared" si="101"/>
        <v>3.2439670302651158</v>
      </c>
      <c r="AB273">
        <f t="shared" si="108"/>
        <v>1.3374761023683623</v>
      </c>
      <c r="AD273">
        <v>305.75380000000001</v>
      </c>
      <c r="AE273">
        <v>0.41235917586817161</v>
      </c>
      <c r="AF273">
        <f t="shared" si="92"/>
        <v>126.08038498656177</v>
      </c>
      <c r="AG273">
        <f t="shared" si="102"/>
        <v>-2.9282138060874208</v>
      </c>
      <c r="AH273">
        <f t="shared" si="103"/>
        <v>0.31966405718512059</v>
      </c>
      <c r="AI273">
        <f t="shared" si="109"/>
        <v>2.2320760551084118</v>
      </c>
      <c r="AL273">
        <f t="shared" si="93"/>
        <v>191.54453279243938</v>
      </c>
      <c r="AM273">
        <f t="shared" si="104"/>
        <v>-3.2478778632725414</v>
      </c>
    </row>
    <row r="274" spans="1:39" x14ac:dyDescent="0.35">
      <c r="A274" s="2">
        <v>44774</v>
      </c>
      <c r="B274">
        <v>151.02539999999999</v>
      </c>
      <c r="C274">
        <v>7.4282785986744412E-2</v>
      </c>
      <c r="D274">
        <f t="shared" si="88"/>
        <v>11.218587466762468</v>
      </c>
      <c r="E274">
        <f t="shared" si="94"/>
        <v>4.7746302112275929</v>
      </c>
      <c r="F274">
        <f t="shared" si="95"/>
        <v>7.9160084514229068</v>
      </c>
      <c r="G274">
        <f t="shared" si="105"/>
        <v>4.1729861687040515</v>
      </c>
      <c r="I274">
        <v>100.922</v>
      </c>
      <c r="J274">
        <v>0.11858317667165819</v>
      </c>
      <c r="K274">
        <f t="shared" si="89"/>
        <v>11.967651356057088</v>
      </c>
      <c r="L274">
        <f t="shared" si="96"/>
        <v>-0.75035649309141972</v>
      </c>
      <c r="M274">
        <f t="shared" si="97"/>
        <v>13.44099515574192</v>
      </c>
      <c r="N274">
        <f t="shared" si="106"/>
        <v>5.2339593044311918</v>
      </c>
      <c r="P274">
        <v>108.3207</v>
      </c>
      <c r="Q274">
        <v>0.37803691649932403</v>
      </c>
      <c r="R274">
        <f t="shared" si="90"/>
        <v>40.94922342104833</v>
      </c>
      <c r="S274">
        <f t="shared" si="98"/>
        <v>0.3274142517357026</v>
      </c>
      <c r="T274">
        <f t="shared" si="99"/>
        <v>12.363224410914796</v>
      </c>
      <c r="U274">
        <f t="shared" si="107"/>
        <v>11.784816223577353</v>
      </c>
      <c r="W274">
        <v>112.5014</v>
      </c>
      <c r="X274">
        <v>1.6737944974101773E-2</v>
      </c>
      <c r="Y274">
        <f t="shared" si="91"/>
        <v>1.8830422427094131</v>
      </c>
      <c r="Z274">
        <f t="shared" si="100"/>
        <v>-1.9554929797771514E-3</v>
      </c>
      <c r="AA274">
        <f t="shared" si="101"/>
        <v>12.692594155630276</v>
      </c>
      <c r="AB274">
        <f t="shared" si="108"/>
        <v>9.4486271253651601</v>
      </c>
      <c r="AD274">
        <v>363.35860000000002</v>
      </c>
      <c r="AE274">
        <v>0.41235917586817161</v>
      </c>
      <c r="AF274">
        <f t="shared" si="92"/>
        <v>149.83425284061263</v>
      </c>
      <c r="AG274">
        <f t="shared" si="102"/>
        <v>18.840256441620685</v>
      </c>
      <c r="AH274">
        <f t="shared" si="103"/>
        <v>6.1496177789701854</v>
      </c>
      <c r="AI274">
        <f t="shared" si="109"/>
        <v>5.8299537217850652</v>
      </c>
      <c r="AL274">
        <f t="shared" si="93"/>
        <v>215.85275732718995</v>
      </c>
      <c r="AM274">
        <f t="shared" si="104"/>
        <v>12.6906386626505</v>
      </c>
    </row>
    <row r="275" spans="1:39" x14ac:dyDescent="0.35">
      <c r="A275" s="2">
        <v>44805</v>
      </c>
      <c r="B275">
        <v>154.96610000000001</v>
      </c>
      <c r="C275">
        <v>7.4282785986744412E-2</v>
      </c>
      <c r="D275">
        <f t="shared" si="88"/>
        <v>11.511313641500434</v>
      </c>
      <c r="E275">
        <f t="shared" si="94"/>
        <v>2.6092961846153173</v>
      </c>
      <c r="F275">
        <f t="shared" si="95"/>
        <v>5.773193535367227</v>
      </c>
      <c r="G275">
        <f t="shared" si="105"/>
        <v>2.1428149160556798</v>
      </c>
      <c r="I275">
        <v>92.71754</v>
      </c>
      <c r="J275">
        <v>0.11858317667165819</v>
      </c>
      <c r="K275">
        <f t="shared" si="89"/>
        <v>10.994740426381535</v>
      </c>
      <c r="L275">
        <f t="shared" si="96"/>
        <v>-8.1295059550940287</v>
      </c>
      <c r="M275">
        <f t="shared" si="97"/>
        <v>16.511995675076573</v>
      </c>
      <c r="N275">
        <f t="shared" si="106"/>
        <v>3.0710005193346532</v>
      </c>
      <c r="P275">
        <v>105.1408</v>
      </c>
      <c r="Q275">
        <v>0.37803691649932403</v>
      </c>
      <c r="R275">
        <f t="shared" si="90"/>
        <v>39.747103830272124</v>
      </c>
      <c r="S275">
        <f t="shared" si="98"/>
        <v>-2.9356346478558559</v>
      </c>
      <c r="T275">
        <f t="shared" si="99"/>
        <v>11.318124367838401</v>
      </c>
      <c r="U275">
        <f t="shared" si="107"/>
        <v>1.0451000430763955</v>
      </c>
      <c r="W275">
        <v>112.5</v>
      </c>
      <c r="X275">
        <v>1.6737944974101773E-2</v>
      </c>
      <c r="Y275">
        <f t="shared" si="91"/>
        <v>1.8830188095864495</v>
      </c>
      <c r="Z275">
        <f t="shared" si="100"/>
        <v>-1.2444289582247414E-3</v>
      </c>
      <c r="AA275">
        <f t="shared" si="101"/>
        <v>8.3837341489407695</v>
      </c>
      <c r="AB275">
        <f t="shared" si="108"/>
        <v>4.3088600066895069</v>
      </c>
      <c r="AD275">
        <v>411.80220000000003</v>
      </c>
      <c r="AE275">
        <v>0.41235917586817161</v>
      </c>
      <c r="AF275">
        <f t="shared" si="92"/>
        <v>169.8104158127</v>
      </c>
      <c r="AG275">
        <f t="shared" si="102"/>
        <v>13.332173780942579</v>
      </c>
      <c r="AH275">
        <f t="shared" si="103"/>
        <v>4.9496840609600348</v>
      </c>
      <c r="AI275">
        <f t="shared" si="109"/>
        <v>1.1999337180101506</v>
      </c>
      <c r="AL275">
        <f t="shared" si="93"/>
        <v>233.94659252044053</v>
      </c>
      <c r="AM275">
        <f t="shared" si="104"/>
        <v>8.3824897199825443</v>
      </c>
    </row>
    <row r="276" spans="1:39" x14ac:dyDescent="0.35">
      <c r="A276" s="2">
        <v>44835</v>
      </c>
      <c r="B276">
        <v>146.81870000000001</v>
      </c>
      <c r="C276">
        <v>7.4282785986744412E-2</v>
      </c>
      <c r="D276">
        <f t="shared" si="88"/>
        <v>10.906102070952032</v>
      </c>
      <c r="E276">
        <f t="shared" si="94"/>
        <v>-5.2575369709891406</v>
      </c>
      <c r="F276">
        <f t="shared" si="95"/>
        <v>14.285127497316829</v>
      </c>
      <c r="G276">
        <f t="shared" si="105"/>
        <v>8.5119339619496017</v>
      </c>
      <c r="I276">
        <v>93.165090000000006</v>
      </c>
      <c r="J276">
        <v>0.11858317667165819</v>
      </c>
      <c r="K276">
        <f t="shared" si="89"/>
        <v>11.047812327100937</v>
      </c>
      <c r="L276">
        <f t="shared" si="96"/>
        <v>0.48270262563050448</v>
      </c>
      <c r="M276">
        <f t="shared" si="97"/>
        <v>8.5448879006971836</v>
      </c>
      <c r="N276">
        <f t="shared" si="106"/>
        <v>7.9671077743793894</v>
      </c>
      <c r="P276">
        <v>106.6764</v>
      </c>
      <c r="Q276">
        <v>0.37803691649932403</v>
      </c>
      <c r="R276">
        <f t="shared" si="90"/>
        <v>40.327617319248489</v>
      </c>
      <c r="S276">
        <f t="shared" si="98"/>
        <v>1.4605177057811947</v>
      </c>
      <c r="T276">
        <f t="shared" si="99"/>
        <v>7.5670728205464943</v>
      </c>
      <c r="U276">
        <f t="shared" si="107"/>
        <v>3.7510515472919064</v>
      </c>
      <c r="W276">
        <v>112.4987</v>
      </c>
      <c r="X276">
        <v>1.6737944974101773E-2</v>
      </c>
      <c r="Y276">
        <f t="shared" si="91"/>
        <v>1.8829970502579831</v>
      </c>
      <c r="Z276">
        <f t="shared" si="100"/>
        <v>-1.1555555555542441E-3</v>
      </c>
      <c r="AA276">
        <f t="shared" si="101"/>
        <v>9.0287460818832432</v>
      </c>
      <c r="AB276">
        <f t="shared" si="108"/>
        <v>0.64501193294247372</v>
      </c>
      <c r="AD276">
        <v>462.95030000000003</v>
      </c>
      <c r="AE276">
        <v>0.41235917586817161</v>
      </c>
      <c r="AF276">
        <f t="shared" si="92"/>
        <v>190.90180417592282</v>
      </c>
      <c r="AG276">
        <f t="shared" si="102"/>
        <v>12.420550448734847</v>
      </c>
      <c r="AH276">
        <f t="shared" si="103"/>
        <v>3.392959922407158</v>
      </c>
      <c r="AI276">
        <f t="shared" si="109"/>
        <v>1.5567241385528767</v>
      </c>
      <c r="AL276">
        <f t="shared" si="93"/>
        <v>255.06633294348228</v>
      </c>
      <c r="AM276">
        <f t="shared" si="104"/>
        <v>9.027590526327689</v>
      </c>
    </row>
    <row r="277" spans="1:39" x14ac:dyDescent="0.35">
      <c r="A277" s="2">
        <v>44866</v>
      </c>
      <c r="B277">
        <v>150.91550000000001</v>
      </c>
      <c r="C277">
        <v>7.4282785986744412E-2</v>
      </c>
      <c r="D277">
        <f t="shared" si="88"/>
        <v>11.210423788582528</v>
      </c>
      <c r="E277">
        <f t="shared" si="94"/>
        <v>2.7903802444783965</v>
      </c>
      <c r="F277">
        <f t="shared" si="95"/>
        <v>15.420806760127604</v>
      </c>
      <c r="G277">
        <f t="shared" si="105"/>
        <v>1.1356792628107755</v>
      </c>
      <c r="I277">
        <v>97.586280000000002</v>
      </c>
      <c r="J277">
        <v>0.11858317667165819</v>
      </c>
      <c r="K277">
        <f t="shared" si="89"/>
        <v>11.572091081969903</v>
      </c>
      <c r="L277">
        <f t="shared" si="96"/>
        <v>4.745543636570293</v>
      </c>
      <c r="M277">
        <f t="shared" si="97"/>
        <v>13.465643368035707</v>
      </c>
      <c r="N277">
        <f t="shared" si="106"/>
        <v>4.9207554673385232</v>
      </c>
      <c r="P277">
        <v>116.82170000000001</v>
      </c>
      <c r="Q277">
        <v>0.37803691649932403</v>
      </c>
      <c r="R277">
        <f t="shared" si="90"/>
        <v>44.162915248209082</v>
      </c>
      <c r="S277">
        <f t="shared" si="98"/>
        <v>9.5103509304776068</v>
      </c>
      <c r="T277">
        <f t="shared" si="99"/>
        <v>8.700836074128393</v>
      </c>
      <c r="U277">
        <f t="shared" si="107"/>
        <v>1.1337632535818987</v>
      </c>
      <c r="W277">
        <v>112.49639999999999</v>
      </c>
      <c r="X277">
        <v>1.6737944974101773E-2</v>
      </c>
      <c r="Y277">
        <f t="shared" si="91"/>
        <v>1.8829585529845425</v>
      </c>
      <c r="Z277">
        <f t="shared" si="100"/>
        <v>-2.0444680694176043E-3</v>
      </c>
      <c r="AA277">
        <f t="shared" si="101"/>
        <v>18.213231472675417</v>
      </c>
      <c r="AB277">
        <f t="shared" si="108"/>
        <v>9.1844853907921742</v>
      </c>
      <c r="AD277">
        <v>564.28610000000003</v>
      </c>
      <c r="AE277">
        <v>0.41235917586817161</v>
      </c>
      <c r="AF277">
        <f t="shared" si="92"/>
        <v>232.68855114986468</v>
      </c>
      <c r="AG277">
        <f t="shared" si="102"/>
        <v>21.889131511525093</v>
      </c>
      <c r="AH277">
        <f t="shared" si="103"/>
        <v>3.6779445069190935</v>
      </c>
      <c r="AI277">
        <f t="shared" si="109"/>
        <v>0.28498458451193542</v>
      </c>
      <c r="AL277">
        <f t="shared" si="93"/>
        <v>301.51693982161078</v>
      </c>
      <c r="AM277">
        <f t="shared" si="104"/>
        <v>18.211187004606</v>
      </c>
    </row>
    <row r="278" spans="1:39" x14ac:dyDescent="0.35">
      <c r="A278" s="2">
        <v>44896</v>
      </c>
      <c r="B278">
        <v>147.3218</v>
      </c>
      <c r="C278">
        <v>7.4282785986744412E-2</v>
      </c>
      <c r="D278">
        <f t="shared" si="88"/>
        <v>10.943473740581963</v>
      </c>
      <c r="E278">
        <f t="shared" si="94"/>
        <v>-2.3812663377850596</v>
      </c>
      <c r="F278">
        <f t="shared" si="95"/>
        <v>13.375771843347618</v>
      </c>
      <c r="G278">
        <f t="shared" si="105"/>
        <v>2.0450349167799864</v>
      </c>
      <c r="I278">
        <v>96.075000000000003</v>
      </c>
      <c r="J278">
        <v>0.11858317667165819</v>
      </c>
      <c r="K278">
        <f t="shared" si="89"/>
        <v>11.392878698729561</v>
      </c>
      <c r="L278">
        <f t="shared" si="96"/>
        <v>-1.5486603239717733</v>
      </c>
      <c r="M278">
        <f t="shared" si="97"/>
        <v>12.543165829534331</v>
      </c>
      <c r="N278">
        <f t="shared" si="106"/>
        <v>0.9224775385013757</v>
      </c>
      <c r="P278">
        <v>114.5436</v>
      </c>
      <c r="Q278">
        <v>0.37803691649932403</v>
      </c>
      <c r="R278">
        <f t="shared" si="90"/>
        <v>43.301709348731968</v>
      </c>
      <c r="S278">
        <f t="shared" si="98"/>
        <v>-1.9500657840110236</v>
      </c>
      <c r="T278">
        <f t="shared" si="99"/>
        <v>12.944571289573581</v>
      </c>
      <c r="U278">
        <f t="shared" si="107"/>
        <v>4.2437352154451879</v>
      </c>
      <c r="W278">
        <v>112.4905</v>
      </c>
      <c r="X278">
        <v>1.6737944974101773E-2</v>
      </c>
      <c r="Y278">
        <f t="shared" si="91"/>
        <v>1.8828597991091953</v>
      </c>
      <c r="Z278">
        <f t="shared" si="100"/>
        <v>-5.2446122720373189E-3</v>
      </c>
      <c r="AA278">
        <f t="shared" si="101"/>
        <v>10.999750117834594</v>
      </c>
      <c r="AB278">
        <f t="shared" si="108"/>
        <v>7.2134813548408232</v>
      </c>
      <c r="AD278">
        <v>647.84860000000003</v>
      </c>
      <c r="AE278">
        <v>0.41235917586817161</v>
      </c>
      <c r="AF278">
        <f t="shared" si="92"/>
        <v>267.14631478334877</v>
      </c>
      <c r="AG278">
        <f t="shared" si="102"/>
        <v>14.808534181508271</v>
      </c>
      <c r="AH278">
        <f t="shared" si="103"/>
        <v>3.814028675945714</v>
      </c>
      <c r="AI278">
        <f t="shared" si="109"/>
        <v>0.13608416902662057</v>
      </c>
      <c r="AL278">
        <f t="shared" si="93"/>
        <v>334.66723637050148</v>
      </c>
      <c r="AM278">
        <f t="shared" si="104"/>
        <v>10.994505505562557</v>
      </c>
    </row>
    <row r="279" spans="1:39" x14ac:dyDescent="0.35">
      <c r="A279" s="2">
        <v>44927</v>
      </c>
      <c r="B279">
        <v>145.93969999999999</v>
      </c>
      <c r="C279">
        <v>7.8087106141526363E-2</v>
      </c>
      <c r="D279">
        <f t="shared" si="88"/>
        <v>11.396008844162514</v>
      </c>
      <c r="E279">
        <f t="shared" si="94"/>
        <v>-0.93815036199667023</v>
      </c>
      <c r="F279">
        <f t="shared" si="95"/>
        <v>0.91823832840417507</v>
      </c>
      <c r="G279">
        <f t="shared" si="105"/>
        <v>12.457533514943442</v>
      </c>
      <c r="I279">
        <v>102.0992</v>
      </c>
      <c r="J279">
        <v>0.12922802801237465</v>
      </c>
      <c r="K279">
        <f t="shared" si="89"/>
        <v>13.194078277641042</v>
      </c>
      <c r="L279">
        <f t="shared" si="96"/>
        <v>6.2703096539161951</v>
      </c>
      <c r="M279">
        <f t="shared" si="97"/>
        <v>8.12669834431704</v>
      </c>
      <c r="N279">
        <f t="shared" si="106"/>
        <v>4.4164674852172912</v>
      </c>
      <c r="P279">
        <v>120.7597</v>
      </c>
      <c r="Q279">
        <v>0.38184134155378552</v>
      </c>
      <c r="R279">
        <f t="shared" si="90"/>
        <v>46.111045853632675</v>
      </c>
      <c r="S279">
        <f t="shared" si="98"/>
        <v>5.4268418314074252</v>
      </c>
      <c r="T279">
        <f t="shared" si="99"/>
        <v>7.2832305218082709</v>
      </c>
      <c r="U279">
        <f t="shared" si="107"/>
        <v>5.66134076776531</v>
      </c>
      <c r="W279">
        <v>112.4897</v>
      </c>
      <c r="X279">
        <v>1.7821179011891043E-2</v>
      </c>
      <c r="Y279">
        <f t="shared" si="91"/>
        <v>2.00469908069392</v>
      </c>
      <c r="Z279">
        <f t="shared" si="100"/>
        <v>-7.1117116556829174E-4</v>
      </c>
      <c r="AA279">
        <f t="shared" si="101"/>
        <v>1.855677519235277</v>
      </c>
      <c r="AB279">
        <f t="shared" si="108"/>
        <v>9.1440725985993172</v>
      </c>
      <c r="AD279">
        <v>650.72299999999996</v>
      </c>
      <c r="AE279">
        <v>0.3930223452804224</v>
      </c>
      <c r="AF279">
        <f t="shared" si="92"/>
        <v>255.74867958791228</v>
      </c>
      <c r="AG279">
        <f t="shared" si="102"/>
        <v>0.44368391009874664</v>
      </c>
      <c r="AH279">
        <f t="shared" si="103"/>
        <v>2.3000726004995919</v>
      </c>
      <c r="AI279">
        <f t="shared" si="109"/>
        <v>1.5139560754461221</v>
      </c>
      <c r="AL279">
        <f t="shared" si="93"/>
        <v>328.45451164404244</v>
      </c>
      <c r="AM279">
        <f t="shared" si="104"/>
        <v>-1.8563886904008453</v>
      </c>
    </row>
    <row r="280" spans="1:39" x14ac:dyDescent="0.35">
      <c r="A280" s="2">
        <v>44958</v>
      </c>
      <c r="B280">
        <v>149.5874</v>
      </c>
      <c r="C280">
        <v>7.8087106141526363E-2</v>
      </c>
      <c r="D280">
        <f t="shared" si="88"/>
        <v>11.680847181234961</v>
      </c>
      <c r="E280">
        <f t="shared" si="94"/>
        <v>2.4994569675009792</v>
      </c>
      <c r="F280">
        <f t="shared" si="95"/>
        <v>8.2403731738782575</v>
      </c>
      <c r="G280">
        <f t="shared" si="105"/>
        <v>7.322134845474082</v>
      </c>
      <c r="I280">
        <v>95.423860000000005</v>
      </c>
      <c r="J280">
        <v>0.12922802801237465</v>
      </c>
      <c r="K280">
        <f t="shared" si="89"/>
        <v>12.331437253128918</v>
      </c>
      <c r="L280">
        <f t="shared" si="96"/>
        <v>-6.5380923650723899</v>
      </c>
      <c r="M280">
        <f t="shared" si="97"/>
        <v>0.7971761586951116</v>
      </c>
      <c r="N280">
        <f t="shared" si="106"/>
        <v>7.3295221856219284</v>
      </c>
      <c r="P280">
        <v>121.60299999999999</v>
      </c>
      <c r="Q280">
        <v>0.38184134155378552</v>
      </c>
      <c r="R280">
        <f t="shared" si="90"/>
        <v>46.433052656964975</v>
      </c>
      <c r="S280">
        <f t="shared" si="98"/>
        <v>0.69832899551753869</v>
      </c>
      <c r="T280">
        <f t="shared" si="99"/>
        <v>6.439245201894817</v>
      </c>
      <c r="U280">
        <f t="shared" si="107"/>
        <v>0.84398531991345394</v>
      </c>
      <c r="W280">
        <v>112.489</v>
      </c>
      <c r="X280">
        <v>1.7821179011891043E-2</v>
      </c>
      <c r="Y280">
        <f t="shared" si="91"/>
        <v>2.0046866058686117</v>
      </c>
      <c r="Z280">
        <f t="shared" si="100"/>
        <v>-6.2227919533919263E-4</v>
      </c>
      <c r="AA280">
        <f t="shared" si="101"/>
        <v>5.7402939271819395</v>
      </c>
      <c r="AB280">
        <f t="shared" si="108"/>
        <v>3.8846164079466625</v>
      </c>
      <c r="AD280">
        <v>603.39620000000002</v>
      </c>
      <c r="AE280">
        <v>0.3930223452804224</v>
      </c>
      <c r="AF280">
        <f t="shared" si="92"/>
        <v>237.14818965729481</v>
      </c>
      <c r="AG280">
        <f t="shared" si="102"/>
        <v>-7.2729563885093889</v>
      </c>
      <c r="AH280">
        <f t="shared" si="103"/>
        <v>1.5320401821321106</v>
      </c>
      <c r="AI280">
        <f t="shared" si="109"/>
        <v>0.76803241836748137</v>
      </c>
      <c r="AL280">
        <f t="shared" si="93"/>
        <v>309.59821335449226</v>
      </c>
      <c r="AM280">
        <f t="shared" si="104"/>
        <v>-5.7409162063772783</v>
      </c>
    </row>
    <row r="281" spans="1:39" x14ac:dyDescent="0.35">
      <c r="A281" s="2">
        <v>44986</v>
      </c>
      <c r="B281">
        <v>146.67609999999999</v>
      </c>
      <c r="C281">
        <v>7.8087106141526363E-2</v>
      </c>
      <c r="D281">
        <f t="shared" si="88"/>
        <v>11.453512189125135</v>
      </c>
      <c r="E281">
        <f t="shared" si="94"/>
        <v>-1.946220069337401</v>
      </c>
      <c r="F281">
        <f t="shared" si="95"/>
        <v>5.9004733273910315</v>
      </c>
      <c r="G281">
        <f t="shared" si="105"/>
        <v>2.339899846487226</v>
      </c>
      <c r="I281">
        <v>90.135530000000003</v>
      </c>
      <c r="J281">
        <v>0.12922802801237465</v>
      </c>
      <c r="K281">
        <f t="shared" si="89"/>
        <v>11.648036795750237</v>
      </c>
      <c r="L281">
        <f t="shared" si="96"/>
        <v>-5.5419367860407238</v>
      </c>
      <c r="M281">
        <f t="shared" si="97"/>
        <v>9.4961900440943552</v>
      </c>
      <c r="N281">
        <f t="shared" si="106"/>
        <v>8.6990138853992427</v>
      </c>
      <c r="P281">
        <v>120.929</v>
      </c>
      <c r="Q281">
        <v>0.38184134155378552</v>
      </c>
      <c r="R281">
        <f t="shared" si="90"/>
        <v>46.17569159275773</v>
      </c>
      <c r="S281">
        <f t="shared" si="98"/>
        <v>-0.5542626415466656</v>
      </c>
      <c r="T281">
        <f t="shared" si="99"/>
        <v>4.5085158996002956</v>
      </c>
      <c r="U281">
        <f t="shared" si="107"/>
        <v>1.9307293022945213</v>
      </c>
      <c r="W281">
        <v>112.49120000000001</v>
      </c>
      <c r="X281">
        <v>1.7821179011891043E-2</v>
      </c>
      <c r="Y281">
        <f t="shared" si="91"/>
        <v>2.0047258124624379</v>
      </c>
      <c r="Z281">
        <f t="shared" si="100"/>
        <v>1.9557467841213594E-3</v>
      </c>
      <c r="AA281">
        <f t="shared" si="101"/>
        <v>3.9522975112695091</v>
      </c>
      <c r="AB281">
        <f t="shared" si="108"/>
        <v>1.7879964159124304</v>
      </c>
      <c r="AD281">
        <v>637.51729999999998</v>
      </c>
      <c r="AE281">
        <v>0.3930223452804224</v>
      </c>
      <c r="AF281">
        <f t="shared" si="92"/>
        <v>250.55854440284261</v>
      </c>
      <c r="AG281">
        <f t="shared" si="102"/>
        <v>5.6548417109686833</v>
      </c>
      <c r="AH281">
        <f t="shared" si="103"/>
        <v>1.7005884529150528</v>
      </c>
      <c r="AI281">
        <f t="shared" si="109"/>
        <v>0.16854827078294221</v>
      </c>
      <c r="AL281">
        <f t="shared" si="93"/>
        <v>321.84051079293812</v>
      </c>
      <c r="AM281">
        <f t="shared" si="104"/>
        <v>3.9542532580536305</v>
      </c>
    </row>
    <row r="282" spans="1:39" x14ac:dyDescent="0.35">
      <c r="A282" s="2">
        <v>45017</v>
      </c>
      <c r="B282">
        <v>145.42959999999999</v>
      </c>
      <c r="C282">
        <v>7.8087106141526363E-2</v>
      </c>
      <c r="D282">
        <f t="shared" si="88"/>
        <v>11.356176611319722</v>
      </c>
      <c r="E282">
        <f t="shared" si="94"/>
        <v>-0.8498317040063097</v>
      </c>
      <c r="F282">
        <f t="shared" si="95"/>
        <v>1.2825414705416094</v>
      </c>
      <c r="G282">
        <f t="shared" si="105"/>
        <v>4.6179318568494221</v>
      </c>
      <c r="I282">
        <v>94.367900000000006</v>
      </c>
      <c r="J282">
        <v>0.12922802801237465</v>
      </c>
      <c r="K282">
        <f t="shared" si="89"/>
        <v>12.194977624668971</v>
      </c>
      <c r="L282">
        <f t="shared" si="96"/>
        <v>4.6955623381811806</v>
      </c>
      <c r="M282">
        <f t="shared" si="97"/>
        <v>6.8279355127291002</v>
      </c>
      <c r="N282">
        <f t="shared" si="106"/>
        <v>2.668254531365255</v>
      </c>
      <c r="P282">
        <v>123.6306</v>
      </c>
      <c r="Q282">
        <v>0.38184134155378552</v>
      </c>
      <c r="R282">
        <f t="shared" si="90"/>
        <v>47.207274161099434</v>
      </c>
      <c r="S282">
        <f t="shared" si="98"/>
        <v>2.2340381546196442</v>
      </c>
      <c r="T282">
        <f t="shared" si="99"/>
        <v>4.3664113291675637</v>
      </c>
      <c r="U282">
        <f t="shared" si="107"/>
        <v>0.14210457043273195</v>
      </c>
      <c r="W282">
        <v>112.4864</v>
      </c>
      <c r="X282">
        <v>1.7821179011891043E-2</v>
      </c>
      <c r="Y282">
        <f t="shared" si="91"/>
        <v>2.0046402708031805</v>
      </c>
      <c r="Z282">
        <f t="shared" si="100"/>
        <v>-4.2670004409273155E-3</v>
      </c>
      <c r="AA282">
        <f t="shared" si="101"/>
        <v>2.1281061741069918</v>
      </c>
      <c r="AB282">
        <f t="shared" si="108"/>
        <v>1.8241913371625174</v>
      </c>
      <c r="AD282">
        <v>616.28710000000001</v>
      </c>
      <c r="AE282">
        <v>0.3930223452804224</v>
      </c>
      <c r="AF282">
        <f t="shared" si="92"/>
        <v>242.21460140807022</v>
      </c>
      <c r="AG282">
        <f t="shared" si="102"/>
        <v>-3.3301370802015784</v>
      </c>
      <c r="AH282">
        <f t="shared" si="103"/>
        <v>1.1977639056536593</v>
      </c>
      <c r="AI282">
        <f t="shared" si="109"/>
        <v>0.50282454726139347</v>
      </c>
      <c r="AL282">
        <f t="shared" si="93"/>
        <v>314.9776700759615</v>
      </c>
      <c r="AM282">
        <f t="shared" si="104"/>
        <v>-2.1323731745479191</v>
      </c>
    </row>
    <row r="283" spans="1:39" x14ac:dyDescent="0.35">
      <c r="A283" s="2">
        <v>45047</v>
      </c>
      <c r="B283">
        <v>150.33629999999999</v>
      </c>
      <c r="C283">
        <v>7.8087106141526363E-2</v>
      </c>
      <c r="D283">
        <f t="shared" si="88"/>
        <v>11.73932661502435</v>
      </c>
      <c r="E283">
        <f t="shared" si="94"/>
        <v>3.3739348798318858</v>
      </c>
      <c r="F283">
        <f t="shared" si="95"/>
        <v>9.4123549458144939</v>
      </c>
      <c r="G283">
        <f t="shared" si="105"/>
        <v>8.1298134752728846</v>
      </c>
      <c r="I283">
        <v>88.264489999999995</v>
      </c>
      <c r="J283">
        <v>0.12922802801237465</v>
      </c>
      <c r="K283">
        <f t="shared" si="89"/>
        <v>11.406245986217961</v>
      </c>
      <c r="L283">
        <f t="shared" si="96"/>
        <v>-6.4676759788021236</v>
      </c>
      <c r="M283">
        <f t="shared" si="97"/>
        <v>0.42925591281951547</v>
      </c>
      <c r="N283">
        <f t="shared" si="106"/>
        <v>6.3986795999095847</v>
      </c>
      <c r="P283">
        <v>124.2046</v>
      </c>
      <c r="Q283">
        <v>0.38184134155378552</v>
      </c>
      <c r="R283">
        <f t="shared" si="90"/>
        <v>47.426451091151307</v>
      </c>
      <c r="S283">
        <f t="shared" si="98"/>
        <v>0.46428634981954264</v>
      </c>
      <c r="T283">
        <f t="shared" si="99"/>
        <v>6.5027064158021508</v>
      </c>
      <c r="U283">
        <f t="shared" si="107"/>
        <v>2.1362950866345871</v>
      </c>
      <c r="W283">
        <v>112.49120000000001</v>
      </c>
      <c r="X283">
        <v>1.7821179011891043E-2</v>
      </c>
      <c r="Y283">
        <f t="shared" si="91"/>
        <v>2.0047258124624379</v>
      </c>
      <c r="Z283">
        <f t="shared" si="100"/>
        <v>4.2671825216222814E-3</v>
      </c>
      <c r="AA283">
        <f t="shared" si="101"/>
        <v>6.0426872485042304</v>
      </c>
      <c r="AB283">
        <f t="shared" si="108"/>
        <v>3.9145810743972387</v>
      </c>
      <c r="AD283">
        <v>568.36779999999999</v>
      </c>
      <c r="AE283">
        <v>0.3930223452804224</v>
      </c>
      <c r="AF283">
        <f t="shared" si="92"/>
        <v>223.38124573787405</v>
      </c>
      <c r="AG283">
        <f t="shared" si="102"/>
        <v>-7.7754832122885587</v>
      </c>
      <c r="AH283">
        <f t="shared" si="103"/>
        <v>1.7370631463059505</v>
      </c>
      <c r="AI283">
        <f t="shared" si="109"/>
        <v>0.53929924065229118</v>
      </c>
      <c r="AL283">
        <f t="shared" si="93"/>
        <v>295.95799524273014</v>
      </c>
      <c r="AM283">
        <f t="shared" si="104"/>
        <v>-6.0384200659826082</v>
      </c>
    </row>
    <row r="284" spans="1:39" x14ac:dyDescent="0.35">
      <c r="A284" s="2">
        <v>45078</v>
      </c>
      <c r="B284">
        <v>154.9888</v>
      </c>
      <c r="C284">
        <v>7.8087106141526363E-2</v>
      </c>
      <c r="D284">
        <f t="shared" si="88"/>
        <v>12.1026268763478</v>
      </c>
      <c r="E284">
        <f t="shared" si="94"/>
        <v>3.0947282858498015</v>
      </c>
      <c r="F284">
        <f t="shared" si="95"/>
        <v>11.581885654740521</v>
      </c>
      <c r="G284">
        <f t="shared" si="105"/>
        <v>2.1695307089260272</v>
      </c>
      <c r="I284">
        <v>89.909419999999997</v>
      </c>
      <c r="J284">
        <v>0.12922802801237465</v>
      </c>
      <c r="K284">
        <f t="shared" si="89"/>
        <v>11.618817046336357</v>
      </c>
      <c r="L284">
        <f t="shared" si="96"/>
        <v>1.8636373472503021</v>
      </c>
      <c r="M284">
        <f t="shared" si="97"/>
        <v>12.81297659334002</v>
      </c>
      <c r="N284">
        <f t="shared" si="106"/>
        <v>12.383720680520504</v>
      </c>
      <c r="P284">
        <v>123.1611</v>
      </c>
      <c r="Q284">
        <v>0.38184134155378552</v>
      </c>
      <c r="R284">
        <f t="shared" si="90"/>
        <v>47.027999651239938</v>
      </c>
      <c r="S284">
        <f t="shared" si="98"/>
        <v>-0.84014601713623405</v>
      </c>
      <c r="T284">
        <f t="shared" si="99"/>
        <v>15.516759957726556</v>
      </c>
      <c r="U284">
        <f t="shared" si="107"/>
        <v>9.0140535419244046</v>
      </c>
      <c r="W284">
        <v>112.48950000000001</v>
      </c>
      <c r="X284">
        <v>1.7821179011891043E-2</v>
      </c>
      <c r="Y284">
        <f t="shared" si="91"/>
        <v>2.0046955164581175</v>
      </c>
      <c r="Z284">
        <f t="shared" si="100"/>
        <v>-1.51122932282588E-3</v>
      </c>
      <c r="AA284">
        <f t="shared" si="101"/>
        <v>14.678125169913148</v>
      </c>
      <c r="AB284">
        <f t="shared" si="108"/>
        <v>8.6354379214089185</v>
      </c>
      <c r="AD284">
        <v>678.43589999999995</v>
      </c>
      <c r="AE284">
        <v>0.3930223452804224</v>
      </c>
      <c r="AF284">
        <f t="shared" si="92"/>
        <v>266.64046854043409</v>
      </c>
      <c r="AG284">
        <f t="shared" si="102"/>
        <v>19.365646681602989</v>
      </c>
      <c r="AH284">
        <f t="shared" si="103"/>
        <v>4.6890327410126673</v>
      </c>
      <c r="AI284">
        <f t="shared" si="109"/>
        <v>2.9519695947067168</v>
      </c>
      <c r="AL284">
        <f t="shared" si="93"/>
        <v>339.39460763081632</v>
      </c>
      <c r="AM284">
        <f t="shared" si="104"/>
        <v>14.676613940590322</v>
      </c>
    </row>
    <row r="285" spans="1:39" x14ac:dyDescent="0.35">
      <c r="A285" s="2">
        <v>45108</v>
      </c>
      <c r="B285">
        <v>167.16890000000001</v>
      </c>
      <c r="C285">
        <v>7.8087106141526363E-2</v>
      </c>
      <c r="D285">
        <f t="shared" si="88"/>
        <v>13.053735637862207</v>
      </c>
      <c r="E285">
        <f t="shared" si="94"/>
        <v>7.8586968864847062</v>
      </c>
      <c r="F285">
        <f t="shared" si="95"/>
        <v>7.0247661097413427</v>
      </c>
      <c r="G285">
        <f t="shared" si="105"/>
        <v>4.5571195449991784</v>
      </c>
      <c r="I285">
        <v>89.781989999999993</v>
      </c>
      <c r="J285">
        <v>0.12922802801237465</v>
      </c>
      <c r="K285">
        <f t="shared" si="89"/>
        <v>11.60234951872674</v>
      </c>
      <c r="L285">
        <f t="shared" si="96"/>
        <v>-0.14173153380369063</v>
      </c>
      <c r="M285">
        <f t="shared" si="97"/>
        <v>15.02519453002974</v>
      </c>
      <c r="N285">
        <f t="shared" si="106"/>
        <v>2.2122179366897203</v>
      </c>
      <c r="P285">
        <v>123.08710000000001</v>
      </c>
      <c r="Q285">
        <v>0.38184134155378552</v>
      </c>
      <c r="R285">
        <f t="shared" si="90"/>
        <v>46.999743391964955</v>
      </c>
      <c r="S285">
        <f t="shared" si="98"/>
        <v>-6.0083906363295192E-2</v>
      </c>
      <c r="T285">
        <f t="shared" si="99"/>
        <v>14.943546902589343</v>
      </c>
      <c r="U285">
        <f t="shared" si="107"/>
        <v>0.57321305513721299</v>
      </c>
      <c r="W285">
        <v>112.4876</v>
      </c>
      <c r="X285">
        <v>1.7821179011891043E-2</v>
      </c>
      <c r="Y285">
        <f t="shared" si="91"/>
        <v>2.0046616562179951</v>
      </c>
      <c r="Z285">
        <f t="shared" si="100"/>
        <v>-1.6890465332375371E-3</v>
      </c>
      <c r="AA285">
        <f t="shared" si="101"/>
        <v>14.885152042759287</v>
      </c>
      <c r="AB285">
        <f t="shared" si="108"/>
        <v>0.2070268728461393</v>
      </c>
      <c r="AD285">
        <v>804.65599999999995</v>
      </c>
      <c r="AE285">
        <v>0.3930223452804224</v>
      </c>
      <c r="AF285">
        <f t="shared" si="92"/>
        <v>316.24778826396357</v>
      </c>
      <c r="AG285">
        <f t="shared" si="102"/>
        <v>18.604572664860463</v>
      </c>
      <c r="AH285">
        <f t="shared" si="103"/>
        <v>3.7211096686344138</v>
      </c>
      <c r="AI285">
        <f t="shared" si="109"/>
        <v>0.96792307237825348</v>
      </c>
      <c r="AL285">
        <f t="shared" si="93"/>
        <v>389.90827846873543</v>
      </c>
      <c r="AM285">
        <f t="shared" si="104"/>
        <v>14.883462996226049</v>
      </c>
    </row>
    <row r="286" spans="1:39" x14ac:dyDescent="0.35">
      <c r="A286" s="2">
        <v>45139</v>
      </c>
      <c r="B286">
        <v>167.15989999999999</v>
      </c>
      <c r="C286">
        <v>7.8087106141526363E-2</v>
      </c>
      <c r="D286">
        <f t="shared" si="88"/>
        <v>13.053032853906933</v>
      </c>
      <c r="E286">
        <f t="shared" si="94"/>
        <v>-5.3837765278230698E-3</v>
      </c>
      <c r="F286">
        <f t="shared" si="95"/>
        <v>13.869362093497108</v>
      </c>
      <c r="G286">
        <f t="shared" si="105"/>
        <v>6.8445959837557648</v>
      </c>
      <c r="I286">
        <v>88.265270000000001</v>
      </c>
      <c r="J286">
        <v>0.12922802801237465</v>
      </c>
      <c r="K286">
        <f t="shared" si="89"/>
        <v>11.406346784079812</v>
      </c>
      <c r="L286">
        <f t="shared" si="96"/>
        <v>-1.6893365807552185</v>
      </c>
      <c r="M286">
        <f t="shared" si="97"/>
        <v>15.553314897724503</v>
      </c>
      <c r="N286">
        <f t="shared" si="106"/>
        <v>0.528120367694763</v>
      </c>
      <c r="P286">
        <v>122.0671</v>
      </c>
      <c r="Q286">
        <v>0.38184134155378552</v>
      </c>
      <c r="R286">
        <f t="shared" si="90"/>
        <v>46.610265223580093</v>
      </c>
      <c r="S286">
        <f t="shared" si="98"/>
        <v>-0.82868147840026163</v>
      </c>
      <c r="T286">
        <f t="shared" si="99"/>
        <v>14.692659795369545</v>
      </c>
      <c r="U286">
        <f t="shared" si="107"/>
        <v>0.25088710721979801</v>
      </c>
      <c r="W286">
        <v>112.4868</v>
      </c>
      <c r="X286">
        <v>1.7821179011891043E-2</v>
      </c>
      <c r="Y286">
        <f t="shared" si="91"/>
        <v>2.0046473992747855</v>
      </c>
      <c r="Z286">
        <f t="shared" si="100"/>
        <v>-7.1118949999116055E-4</v>
      </c>
      <c r="AA286">
        <f t="shared" si="101"/>
        <v>13.864689506469276</v>
      </c>
      <c r="AB286">
        <f t="shared" si="108"/>
        <v>1.0204625362900117</v>
      </c>
      <c r="AD286">
        <v>943.68880000000001</v>
      </c>
      <c r="AE286">
        <v>0.3930223452804224</v>
      </c>
      <c r="AF286">
        <f t="shared" si="92"/>
        <v>370.89078539086751</v>
      </c>
      <c r="AG286">
        <f t="shared" si="102"/>
        <v>17.278538903581175</v>
      </c>
      <c r="AH286">
        <f t="shared" si="103"/>
        <v>3.4145605866118913</v>
      </c>
      <c r="AI286">
        <f t="shared" si="109"/>
        <v>0.30654908202252251</v>
      </c>
      <c r="AL286">
        <f t="shared" si="93"/>
        <v>443.96507765170912</v>
      </c>
      <c r="AM286">
        <f t="shared" si="104"/>
        <v>13.863978316969284</v>
      </c>
    </row>
    <row r="287" spans="1:39" x14ac:dyDescent="0.35">
      <c r="A287" s="2">
        <v>45170</v>
      </c>
      <c r="B287">
        <v>159.12989999999999</v>
      </c>
      <c r="C287">
        <v>7.8087106141526363E-2</v>
      </c>
      <c r="D287">
        <f t="shared" si="88"/>
        <v>12.425993391590476</v>
      </c>
      <c r="E287">
        <f t="shared" si="94"/>
        <v>-4.8037836825698061</v>
      </c>
      <c r="F287">
        <f t="shared" si="95"/>
        <v>9.643362970693957</v>
      </c>
      <c r="G287">
        <f t="shared" si="105"/>
        <v>4.2259991228031506</v>
      </c>
      <c r="I287">
        <v>84.426060000000007</v>
      </c>
      <c r="J287">
        <v>0.12922802801237465</v>
      </c>
      <c r="K287">
        <f t="shared" si="89"/>
        <v>10.910213246654424</v>
      </c>
      <c r="L287">
        <f t="shared" si="96"/>
        <v>-4.3496269823906868</v>
      </c>
      <c r="M287">
        <f t="shared" si="97"/>
        <v>9.1892062705148376</v>
      </c>
      <c r="N287">
        <f t="shared" si="106"/>
        <v>6.3641086272096654</v>
      </c>
      <c r="P287">
        <v>118.4866</v>
      </c>
      <c r="Q287">
        <v>0.38184134155378552</v>
      </c>
      <c r="R287">
        <f t="shared" si="90"/>
        <v>45.24308230014676</v>
      </c>
      <c r="S287">
        <f t="shared" si="98"/>
        <v>-2.9332227930376042</v>
      </c>
      <c r="T287">
        <f t="shared" si="99"/>
        <v>7.772802081161756</v>
      </c>
      <c r="U287">
        <f t="shared" si="107"/>
        <v>6.9198577142077893</v>
      </c>
      <c r="W287">
        <v>112.4863</v>
      </c>
      <c r="X287">
        <v>1.7821179011891043E-2</v>
      </c>
      <c r="Y287">
        <f t="shared" si="91"/>
        <v>2.0046384886852793</v>
      </c>
      <c r="Z287">
        <f t="shared" si="100"/>
        <v>-4.4449659871714786E-4</v>
      </c>
      <c r="AA287">
        <f t="shared" si="101"/>
        <v>4.8400237847228684</v>
      </c>
      <c r="AB287">
        <f t="shared" si="108"/>
        <v>9.0246657217464072</v>
      </c>
      <c r="AD287">
        <v>1004.694</v>
      </c>
      <c r="AE287">
        <v>0.3930223452804224</v>
      </c>
      <c r="AF287">
        <f t="shared" si="92"/>
        <v>394.86719216916867</v>
      </c>
      <c r="AG287">
        <f t="shared" si="102"/>
        <v>6.4645463631654687</v>
      </c>
      <c r="AH287">
        <f t="shared" si="103"/>
        <v>1.624967075041317</v>
      </c>
      <c r="AI287">
        <f t="shared" si="109"/>
        <v>1.7895935115705743</v>
      </c>
      <c r="AL287">
        <f t="shared" si="93"/>
        <v>465.45111959624558</v>
      </c>
      <c r="AM287">
        <f t="shared" si="104"/>
        <v>4.8395792881241517</v>
      </c>
    </row>
    <row r="288" spans="1:39" x14ac:dyDescent="0.35">
      <c r="A288" s="2">
        <v>45200</v>
      </c>
      <c r="B288">
        <v>152.8449</v>
      </c>
      <c r="C288">
        <v>7.8087106141526363E-2</v>
      </c>
      <c r="D288">
        <f t="shared" si="88"/>
        <v>11.935215929490983</v>
      </c>
      <c r="E288">
        <f t="shared" si="94"/>
        <v>-3.9496034371918731</v>
      </c>
      <c r="F288">
        <f t="shared" si="95"/>
        <v>2.5753843422513856</v>
      </c>
      <c r="G288">
        <f t="shared" si="105"/>
        <v>7.067978628442571</v>
      </c>
      <c r="I288">
        <v>86.120720000000006</v>
      </c>
      <c r="J288">
        <v>0.12922802801237465</v>
      </c>
      <c r="K288">
        <f t="shared" si="89"/>
        <v>11.129210816605875</v>
      </c>
      <c r="L288">
        <f t="shared" si="96"/>
        <v>2.0072712145988936</v>
      </c>
      <c r="M288">
        <f t="shared" si="97"/>
        <v>3.3814903095393811</v>
      </c>
      <c r="N288">
        <f t="shared" si="106"/>
        <v>5.8077159609754565</v>
      </c>
      <c r="P288">
        <v>112.6782</v>
      </c>
      <c r="Q288">
        <v>0.38184134155378552</v>
      </c>
      <c r="R288">
        <f t="shared" si="90"/>
        <v>43.025195051865758</v>
      </c>
      <c r="S288">
        <f t="shared" si="98"/>
        <v>-4.902157712348898</v>
      </c>
      <c r="T288">
        <f t="shared" si="99"/>
        <v>3.5279386174084104</v>
      </c>
      <c r="U288">
        <f t="shared" si="107"/>
        <v>4.2448634637533456</v>
      </c>
      <c r="W288">
        <v>112.4858</v>
      </c>
      <c r="X288">
        <v>1.7821179011891043E-2</v>
      </c>
      <c r="Y288">
        <f t="shared" si="91"/>
        <v>2.0046295780957735</v>
      </c>
      <c r="Z288">
        <f t="shared" si="100"/>
        <v>-4.4449857449224695E-4</v>
      </c>
      <c r="AA288">
        <f t="shared" si="101"/>
        <v>1.3737745963659953</v>
      </c>
      <c r="AB288">
        <f t="shared" si="108"/>
        <v>3.4662491883568731</v>
      </c>
      <c r="AD288">
        <v>994.75400000000002</v>
      </c>
      <c r="AE288">
        <v>0.3930223452804224</v>
      </c>
      <c r="AF288">
        <f t="shared" si="92"/>
        <v>390.96055005708132</v>
      </c>
      <c r="AG288">
        <f t="shared" si="102"/>
        <v>-0.98935596310916196</v>
      </c>
      <c r="AH288">
        <f t="shared" si="103"/>
        <v>0.38486313183132559</v>
      </c>
      <c r="AI288">
        <f t="shared" si="109"/>
        <v>1.2401039432099914</v>
      </c>
      <c r="AL288">
        <f t="shared" si="93"/>
        <v>459.05480143313969</v>
      </c>
      <c r="AM288">
        <f t="shared" si="104"/>
        <v>-1.3742190949404876</v>
      </c>
    </row>
    <row r="289" spans="1:39" x14ac:dyDescent="0.35">
      <c r="A289" s="2">
        <v>45231</v>
      </c>
      <c r="B289">
        <v>152.7714</v>
      </c>
      <c r="C289">
        <v>7.8087106141526363E-2</v>
      </c>
      <c r="D289">
        <f t="shared" si="88"/>
        <v>11.92947652718958</v>
      </c>
      <c r="E289">
        <f t="shared" si="94"/>
        <v>-4.8087963680831791E-2</v>
      </c>
      <c r="F289">
        <f t="shared" si="95"/>
        <v>1.3578719366010628</v>
      </c>
      <c r="G289">
        <f t="shared" si="105"/>
        <v>1.2175124056503228</v>
      </c>
      <c r="I289">
        <v>86.635869999999997</v>
      </c>
      <c r="J289">
        <v>0.12922802801237465</v>
      </c>
      <c r="K289">
        <f t="shared" si="89"/>
        <v>11.195782635236448</v>
      </c>
      <c r="L289">
        <f t="shared" si="96"/>
        <v>0.59817196140485862</v>
      </c>
      <c r="M289">
        <f t="shared" si="97"/>
        <v>2.0041318616867532</v>
      </c>
      <c r="N289">
        <f t="shared" si="106"/>
        <v>1.377358447852628</v>
      </c>
      <c r="P289">
        <v>118.45180000000001</v>
      </c>
      <c r="Q289">
        <v>0.38184134155378552</v>
      </c>
      <c r="R289">
        <f t="shared" si="90"/>
        <v>45.229794221460693</v>
      </c>
      <c r="S289">
        <f t="shared" si="98"/>
        <v>5.12397251642287</v>
      </c>
      <c r="T289">
        <f t="shared" si="99"/>
        <v>6.5299324167047645</v>
      </c>
      <c r="U289">
        <f t="shared" si="107"/>
        <v>3.0019937992963541</v>
      </c>
      <c r="W289">
        <v>112.48560000000001</v>
      </c>
      <c r="X289">
        <v>1.7821179011891043E-2</v>
      </c>
      <c r="Y289">
        <f t="shared" si="91"/>
        <v>2.0046260138599714</v>
      </c>
      <c r="Z289">
        <f t="shared" si="100"/>
        <v>-1.7780022011359975E-4</v>
      </c>
      <c r="AA289">
        <f t="shared" si="101"/>
        <v>1.4057821000617809</v>
      </c>
      <c r="AB289">
        <f t="shared" si="108"/>
        <v>3.2007503695785644E-2</v>
      </c>
      <c r="AD289">
        <v>972.56809999999996</v>
      </c>
      <c r="AE289">
        <v>0.3930223452804224</v>
      </c>
      <c r="AF289">
        <f t="shared" si="92"/>
        <v>382.24099560692434</v>
      </c>
      <c r="AG289">
        <f t="shared" si="102"/>
        <v>-2.2302901018744437</v>
      </c>
      <c r="AH289">
        <f t="shared" si="103"/>
        <v>0.82433020159254911</v>
      </c>
      <c r="AI289">
        <f t="shared" si="109"/>
        <v>0.43946706976122352</v>
      </c>
      <c r="AL289">
        <f t="shared" si="93"/>
        <v>452.60067500467107</v>
      </c>
      <c r="AM289">
        <f t="shared" si="104"/>
        <v>-1.4059599002818945</v>
      </c>
    </row>
    <row r="290" spans="1:39" x14ac:dyDescent="0.35">
      <c r="A290" s="2">
        <v>45261</v>
      </c>
      <c r="B290">
        <v>162.24539999999999</v>
      </c>
      <c r="C290">
        <v>7.8087106141526363E-2</v>
      </c>
      <c r="D290">
        <f t="shared" si="88"/>
        <v>12.669273770774401</v>
      </c>
      <c r="E290">
        <f t="shared" si="94"/>
        <v>6.201422517565458</v>
      </c>
      <c r="F290">
        <f t="shared" si="95"/>
        <v>6.6077469736599115</v>
      </c>
      <c r="G290">
        <f t="shared" si="105"/>
        <v>5.2498750370588487</v>
      </c>
      <c r="I290">
        <v>90.280829999999995</v>
      </c>
      <c r="J290">
        <v>0.12922802801237465</v>
      </c>
      <c r="K290">
        <f t="shared" si="89"/>
        <v>11.666813628220433</v>
      </c>
      <c r="L290">
        <f t="shared" si="96"/>
        <v>4.2072180956917782</v>
      </c>
      <c r="M290">
        <f t="shared" si="97"/>
        <v>4.6135425517862316</v>
      </c>
      <c r="N290">
        <f t="shared" si="106"/>
        <v>2.6094106900994785</v>
      </c>
      <c r="P290">
        <v>127.77719999999999</v>
      </c>
      <c r="Q290">
        <v>0.38184134155378552</v>
      </c>
      <c r="R290">
        <f t="shared" si="90"/>
        <v>48.790617467986358</v>
      </c>
      <c r="S290">
        <f t="shared" si="98"/>
        <v>7.8727381095095028</v>
      </c>
      <c r="T290">
        <f t="shared" si="99"/>
        <v>8.2790625656039563</v>
      </c>
      <c r="U290">
        <f t="shared" si="107"/>
        <v>1.7491301488991917</v>
      </c>
      <c r="W290">
        <v>112.4854</v>
      </c>
      <c r="X290">
        <v>1.7821179011891043E-2</v>
      </c>
      <c r="Y290">
        <f t="shared" si="91"/>
        <v>2.0046224496241689</v>
      </c>
      <c r="Z290">
        <f t="shared" si="100"/>
        <v>-1.7780053624960601E-4</v>
      </c>
      <c r="AA290">
        <f t="shared" si="101"/>
        <v>0.40614665555820384</v>
      </c>
      <c r="AB290">
        <f t="shared" si="108"/>
        <v>0.99963544450357711</v>
      </c>
      <c r="AD290">
        <v>955.74800000000005</v>
      </c>
      <c r="AE290">
        <v>0.3930223452804224</v>
      </c>
      <c r="AF290">
        <f t="shared" si="92"/>
        <v>375.6303204570732</v>
      </c>
      <c r="AG290">
        <f t="shared" si="102"/>
        <v>-1.7294521586714517</v>
      </c>
      <c r="AH290">
        <f t="shared" si="103"/>
        <v>1.3231277025769983</v>
      </c>
      <c r="AI290">
        <f t="shared" si="109"/>
        <v>0.49879750098444919</v>
      </c>
      <c r="AL290">
        <f t="shared" si="93"/>
        <v>450.76164777367853</v>
      </c>
      <c r="AM290">
        <f t="shared" si="104"/>
        <v>-0.40632445609445345</v>
      </c>
    </row>
    <row r="291" spans="1:39" x14ac:dyDescent="0.35">
      <c r="A291" s="2">
        <v>45292</v>
      </c>
      <c r="B291">
        <v>162.19300000000001</v>
      </c>
      <c r="C291">
        <v>7.8338087113519569E-2</v>
      </c>
      <c r="D291">
        <f t="shared" si="88"/>
        <v>12.705889363203081</v>
      </c>
      <c r="E291">
        <f t="shared" si="94"/>
        <v>-3.2296755408767197E-2</v>
      </c>
      <c r="F291">
        <f t="shared" si="95"/>
        <v>3.5974987411530268</v>
      </c>
      <c r="G291">
        <f t="shared" si="105"/>
        <v>3.0102482325068847</v>
      </c>
      <c r="I291">
        <v>99.016760000000005</v>
      </c>
      <c r="J291">
        <v>0.12850600582942157</v>
      </c>
      <c r="K291">
        <f t="shared" si="89"/>
        <v>12.724248337770437</v>
      </c>
      <c r="L291">
        <f t="shared" si="96"/>
        <v>9.6763953100564173</v>
      </c>
      <c r="M291">
        <f t="shared" si="97"/>
        <v>6.1111933243121577</v>
      </c>
      <c r="N291">
        <f t="shared" si="106"/>
        <v>1.497650772525926</v>
      </c>
      <c r="P291">
        <v>127.33029999999999</v>
      </c>
      <c r="Q291">
        <v>0.37862661355338173</v>
      </c>
      <c r="R291">
        <f t="shared" si="90"/>
        <v>48.210640291736162</v>
      </c>
      <c r="S291">
        <f t="shared" si="98"/>
        <v>-0.34974940756253847</v>
      </c>
      <c r="T291">
        <f t="shared" si="99"/>
        <v>3.9149513933067981</v>
      </c>
      <c r="U291">
        <f t="shared" si="107"/>
        <v>4.3641111722971582</v>
      </c>
      <c r="W291">
        <v>112.48569999999999</v>
      </c>
      <c r="X291">
        <v>1.8170540911825725E-2</v>
      </c>
      <c r="Y291">
        <f t="shared" si="91"/>
        <v>2.043926013845355</v>
      </c>
      <c r="Z291">
        <f t="shared" si="100"/>
        <v>2.667012785728673E-4</v>
      </c>
      <c r="AA291">
        <f t="shared" si="101"/>
        <v>3.5649352844656867</v>
      </c>
      <c r="AB291">
        <f t="shared" si="108"/>
        <v>3.1587886289074829</v>
      </c>
      <c r="AD291">
        <v>986.85220000000004</v>
      </c>
      <c r="AE291">
        <v>0.39635875259185138</v>
      </c>
      <c r="AF291">
        <f t="shared" si="92"/>
        <v>391.14750698452423</v>
      </c>
      <c r="AG291">
        <f t="shared" si="102"/>
        <v>3.2544352695480283</v>
      </c>
      <c r="AH291">
        <f t="shared" si="103"/>
        <v>0.31076671619623131</v>
      </c>
      <c r="AI291">
        <f t="shared" si="109"/>
        <v>1.012360986380767</v>
      </c>
      <c r="AL291">
        <f t="shared" si="93"/>
        <v>466.83221099107931</v>
      </c>
      <c r="AM291">
        <f t="shared" si="104"/>
        <v>3.5652019857442596</v>
      </c>
    </row>
    <row r="292" spans="1:39" x14ac:dyDescent="0.35">
      <c r="A292" s="2">
        <v>45323</v>
      </c>
      <c r="B292">
        <v>165.58750000000001</v>
      </c>
      <c r="C292">
        <v>7.8338087113519569E-2</v>
      </c>
      <c r="D292">
        <f t="shared" si="88"/>
        <v>12.971807999909922</v>
      </c>
      <c r="E292">
        <f t="shared" si="94"/>
        <v>2.0928770045562928</v>
      </c>
      <c r="F292">
        <f t="shared" si="95"/>
        <v>10.053677049529398</v>
      </c>
      <c r="G292">
        <f t="shared" si="105"/>
        <v>6.4561783083763711</v>
      </c>
      <c r="I292">
        <v>98.26849</v>
      </c>
      <c r="J292">
        <v>0.12850600582942157</v>
      </c>
      <c r="K292">
        <f t="shared" si="89"/>
        <v>12.628091148788455</v>
      </c>
      <c r="L292">
        <f t="shared" si="96"/>
        <v>-0.75570034810269471</v>
      </c>
      <c r="M292">
        <f t="shared" si="97"/>
        <v>12.902254402188385</v>
      </c>
      <c r="N292">
        <f t="shared" si="106"/>
        <v>6.7910610778762273</v>
      </c>
      <c r="P292">
        <v>130.3348</v>
      </c>
      <c r="Q292">
        <v>0.37862661355338173</v>
      </c>
      <c r="R292">
        <f t="shared" si="90"/>
        <v>49.348223952157298</v>
      </c>
      <c r="S292">
        <f t="shared" si="98"/>
        <v>2.3596111844549128</v>
      </c>
      <c r="T292">
        <f t="shared" si="99"/>
        <v>9.7869428696307779</v>
      </c>
      <c r="U292">
        <f t="shared" si="107"/>
        <v>5.8719914763239798</v>
      </c>
      <c r="W292">
        <v>112.48990000000001</v>
      </c>
      <c r="X292">
        <v>1.8170540911825725E-2</v>
      </c>
      <c r="Y292">
        <f t="shared" si="91"/>
        <v>2.0440023301171846</v>
      </c>
      <c r="Z292">
        <f t="shared" si="100"/>
        <v>3.7338079418303138E-3</v>
      </c>
      <c r="AA292">
        <f t="shared" si="101"/>
        <v>12.142820246143859</v>
      </c>
      <c r="AB292">
        <f t="shared" si="108"/>
        <v>8.5778849616781727</v>
      </c>
      <c r="AD292">
        <v>1126.616</v>
      </c>
      <c r="AE292">
        <v>0.39635875259185138</v>
      </c>
      <c r="AF292">
        <f t="shared" si="92"/>
        <v>446.54411241002123</v>
      </c>
      <c r="AG292">
        <f t="shared" si="102"/>
        <v>14.162586859511483</v>
      </c>
      <c r="AH292">
        <f t="shared" si="103"/>
        <v>2.0160328054257928</v>
      </c>
      <c r="AI292">
        <f t="shared" si="109"/>
        <v>1.7052660892295615</v>
      </c>
      <c r="AL292">
        <f t="shared" si="93"/>
        <v>523.53623784099409</v>
      </c>
      <c r="AM292">
        <f t="shared" si="104"/>
        <v>12.146554054085691</v>
      </c>
    </row>
    <row r="293" spans="1:39" x14ac:dyDescent="0.35">
      <c r="A293" s="2">
        <v>45352</v>
      </c>
      <c r="B293">
        <v>173.72210000000001</v>
      </c>
      <c r="C293">
        <v>7.8338087113519569E-2</v>
      </c>
      <c r="D293">
        <f t="shared" si="88"/>
        <v>13.609057003343558</v>
      </c>
      <c r="E293">
        <f t="shared" si="94"/>
        <v>4.912568883520807</v>
      </c>
      <c r="F293">
        <f t="shared" si="95"/>
        <v>6.028737999945144</v>
      </c>
      <c r="G293">
        <f t="shared" si="105"/>
        <v>4.0249390495842539</v>
      </c>
      <c r="I293">
        <v>101.2118</v>
      </c>
      <c r="J293">
        <v>0.12850600582942157</v>
      </c>
      <c r="K293">
        <f t="shared" si="89"/>
        <v>13.006324160806249</v>
      </c>
      <c r="L293">
        <f t="shared" si="96"/>
        <v>2.9951716974586651</v>
      </c>
      <c r="M293">
        <f t="shared" si="97"/>
        <v>4.1113408138830021</v>
      </c>
      <c r="N293">
        <f t="shared" si="106"/>
        <v>8.7909135883053828</v>
      </c>
      <c r="P293">
        <v>127.7281</v>
      </c>
      <c r="Q293">
        <v>0.37862661355338173</v>
      </c>
      <c r="R293">
        <f t="shared" si="90"/>
        <v>48.361257958607695</v>
      </c>
      <c r="S293">
        <f t="shared" si="98"/>
        <v>-2.0000030690191739</v>
      </c>
      <c r="T293">
        <f t="shared" si="99"/>
        <v>0.88383395259483688</v>
      </c>
      <c r="U293">
        <f t="shared" si="107"/>
        <v>8.9031089170359401</v>
      </c>
      <c r="W293">
        <v>112.4893</v>
      </c>
      <c r="X293">
        <v>1.8170540911825725E-2</v>
      </c>
      <c r="Y293">
        <f t="shared" si="91"/>
        <v>2.0439914277926374</v>
      </c>
      <c r="Z293">
        <f t="shared" si="100"/>
        <v>-5.3338121911439274E-4</v>
      </c>
      <c r="AA293">
        <f t="shared" si="101"/>
        <v>1.1156357352052226</v>
      </c>
      <c r="AB293">
        <f t="shared" si="108"/>
        <v>11.027184510938637</v>
      </c>
      <c r="AD293">
        <v>1111.8009999999999</v>
      </c>
      <c r="AE293">
        <v>0.39635875259185138</v>
      </c>
      <c r="AF293">
        <f t="shared" si="92"/>
        <v>440.67205749037294</v>
      </c>
      <c r="AG293">
        <f t="shared" si="102"/>
        <v>-1.3149999644954447</v>
      </c>
      <c r="AH293">
        <f t="shared" si="103"/>
        <v>0.19883084807110762</v>
      </c>
      <c r="AI293">
        <f t="shared" si="109"/>
        <v>1.8172019573546851</v>
      </c>
      <c r="AL293">
        <f t="shared" si="93"/>
        <v>517.69268804092303</v>
      </c>
      <c r="AM293">
        <f t="shared" si="104"/>
        <v>-1.116169116424337</v>
      </c>
    </row>
    <row r="294" spans="1:39" x14ac:dyDescent="0.35">
      <c r="A294" s="2">
        <v>45383</v>
      </c>
      <c r="B294">
        <v>175.1893</v>
      </c>
      <c r="C294">
        <v>7.8338087113519569E-2</v>
      </c>
      <c r="D294">
        <f t="shared" si="88"/>
        <v>13.723994644756514</v>
      </c>
      <c r="E294">
        <f t="shared" si="94"/>
        <v>0.84456727152157907</v>
      </c>
      <c r="F294">
        <f t="shared" si="95"/>
        <v>5.6299967964157149</v>
      </c>
      <c r="G294">
        <f t="shared" si="105"/>
        <v>0.3987412035294291</v>
      </c>
      <c r="I294">
        <v>106.53279999999999</v>
      </c>
      <c r="J294">
        <v>0.12850600582942157</v>
      </c>
      <c r="K294">
        <f t="shared" si="89"/>
        <v>13.6901046178246</v>
      </c>
      <c r="L294">
        <f t="shared" si="96"/>
        <v>5.2572921339211431</v>
      </c>
      <c r="M294">
        <f t="shared" si="97"/>
        <v>1.2172719340161509</v>
      </c>
      <c r="N294">
        <f t="shared" si="106"/>
        <v>2.8940688798668512</v>
      </c>
      <c r="P294">
        <v>129.67789999999999</v>
      </c>
      <c r="Q294">
        <v>0.37862661355338173</v>
      </c>
      <c r="R294">
        <f t="shared" si="90"/>
        <v>49.099504129714077</v>
      </c>
      <c r="S294">
        <f t="shared" si="98"/>
        <v>1.5265239207347348</v>
      </c>
      <c r="T294">
        <f t="shared" si="99"/>
        <v>4.9480401472025592</v>
      </c>
      <c r="U294">
        <f t="shared" si="107"/>
        <v>4.0642061946077224</v>
      </c>
      <c r="W294">
        <v>112.4885</v>
      </c>
      <c r="X294">
        <v>1.8170540911825725E-2</v>
      </c>
      <c r="Y294">
        <f t="shared" si="91"/>
        <v>2.0439768913599079</v>
      </c>
      <c r="Z294">
        <f t="shared" si="100"/>
        <v>-7.1117875211079706E-4</v>
      </c>
      <c r="AA294">
        <f t="shared" si="101"/>
        <v>6.4752752466894048</v>
      </c>
      <c r="AB294">
        <f t="shared" si="108"/>
        <v>5.3596395114841826</v>
      </c>
      <c r="AD294">
        <v>1192.489</v>
      </c>
      <c r="AE294">
        <v>0.39635875259185138</v>
      </c>
      <c r="AF294">
        <f t="shared" si="92"/>
        <v>472.6534525195043</v>
      </c>
      <c r="AG294">
        <f t="shared" si="102"/>
        <v>7.2574138717270475</v>
      </c>
      <c r="AH294">
        <f t="shared" si="103"/>
        <v>0.78284980378975355</v>
      </c>
      <c r="AI294">
        <f t="shared" si="109"/>
        <v>0.58401895571864593</v>
      </c>
      <c r="AL294">
        <f t="shared" si="93"/>
        <v>551.21103280315936</v>
      </c>
      <c r="AM294">
        <f t="shared" si="104"/>
        <v>6.474564067937294</v>
      </c>
    </row>
    <row r="295" spans="1:39" x14ac:dyDescent="0.35">
      <c r="A295" s="2">
        <v>45413</v>
      </c>
      <c r="B295">
        <v>179.0753</v>
      </c>
      <c r="C295">
        <v>7.8338087113519569E-2</v>
      </c>
      <c r="D295">
        <f t="shared" si="88"/>
        <v>14.02841645127965</v>
      </c>
      <c r="E295">
        <f t="shared" si="94"/>
        <v>2.2181720002306005</v>
      </c>
      <c r="F295">
        <f t="shared" si="95"/>
        <v>5.0807547849565982</v>
      </c>
      <c r="G295">
        <f t="shared" si="105"/>
        <v>0.54924201145911677</v>
      </c>
      <c r="I295">
        <v>109.05110000000001</v>
      </c>
      <c r="J295">
        <v>0.12850600582942157</v>
      </c>
      <c r="K295">
        <f t="shared" si="89"/>
        <v>14.013721292304835</v>
      </c>
      <c r="L295">
        <f t="shared" si="96"/>
        <v>2.3638729105026846</v>
      </c>
      <c r="M295">
        <f t="shared" si="97"/>
        <v>4.9350538746845141</v>
      </c>
      <c r="N295">
        <f t="shared" si="106"/>
        <v>3.7177819406683632</v>
      </c>
      <c r="P295">
        <v>129.0968</v>
      </c>
      <c r="Q295">
        <v>0.37862661355338173</v>
      </c>
      <c r="R295">
        <f t="shared" si="90"/>
        <v>48.879484204578212</v>
      </c>
      <c r="S295">
        <f t="shared" si="98"/>
        <v>-0.44811027939224424</v>
      </c>
      <c r="T295">
        <f t="shared" si="99"/>
        <v>7.7470370645794429</v>
      </c>
      <c r="U295">
        <f t="shared" si="107"/>
        <v>2.7989969173768836</v>
      </c>
      <c r="W295">
        <v>112.4846</v>
      </c>
      <c r="X295">
        <v>1.8170540911825725E-2</v>
      </c>
      <c r="Y295">
        <f t="shared" si="91"/>
        <v>2.0439060262503519</v>
      </c>
      <c r="Z295">
        <f t="shared" si="100"/>
        <v>-3.4670210732667961E-3</v>
      </c>
      <c r="AA295">
        <f t="shared" si="101"/>
        <v>7.302393806260465</v>
      </c>
      <c r="AB295">
        <f t="shared" si="108"/>
        <v>0.82711855957106017</v>
      </c>
      <c r="AD295">
        <v>1292.9649999999999</v>
      </c>
      <c r="AE295">
        <v>0.39635875259185138</v>
      </c>
      <c r="AF295">
        <f t="shared" si="92"/>
        <v>512.47799454492304</v>
      </c>
      <c r="AG295">
        <f t="shared" si="102"/>
        <v>8.4257380990516282</v>
      </c>
      <c r="AH295">
        <f t="shared" si="103"/>
        <v>1.1268113138644296</v>
      </c>
      <c r="AI295">
        <f t="shared" si="109"/>
        <v>0.34396151007467601</v>
      </c>
      <c r="AL295">
        <f t="shared" si="93"/>
        <v>591.44352251933617</v>
      </c>
      <c r="AM295">
        <f t="shared" si="104"/>
        <v>7.2989267851871986</v>
      </c>
    </row>
    <row r="296" spans="1:39" x14ac:dyDescent="0.35">
      <c r="A296" s="2">
        <v>45444</v>
      </c>
      <c r="B296">
        <v>176.2534</v>
      </c>
      <c r="C296">
        <v>7.8338087113519569E-2</v>
      </c>
      <c r="D296">
        <f t="shared" si="88"/>
        <v>13.807354203254009</v>
      </c>
      <c r="E296">
        <f t="shared" si="94"/>
        <v>-1.5758175471435765</v>
      </c>
      <c r="F296">
        <f t="shared" si="95"/>
        <v>1.0990750218576761</v>
      </c>
      <c r="G296">
        <f t="shared" si="105"/>
        <v>3.981679763098922</v>
      </c>
      <c r="I296">
        <v>107.66719999999999</v>
      </c>
      <c r="J296">
        <v>0.12850600582942157</v>
      </c>
      <c r="K296">
        <f t="shared" si="89"/>
        <v>13.835881830837497</v>
      </c>
      <c r="L296">
        <f t="shared" si="96"/>
        <v>-1.2690380931508316</v>
      </c>
      <c r="M296">
        <f t="shared" si="97"/>
        <v>0.79229556786493127</v>
      </c>
      <c r="N296">
        <f t="shared" si="106"/>
        <v>4.1427583068195828</v>
      </c>
      <c r="P296">
        <v>120.5498</v>
      </c>
      <c r="Q296">
        <v>0.37862661355338173</v>
      </c>
      <c r="R296">
        <f t="shared" si="90"/>
        <v>45.64336253853746</v>
      </c>
      <c r="S296">
        <f t="shared" si="98"/>
        <v>-6.6206133691927294</v>
      </c>
      <c r="T296">
        <f t="shared" si="99"/>
        <v>6.1438708439068286</v>
      </c>
      <c r="U296">
        <f t="shared" si="107"/>
        <v>1.6031662206726143</v>
      </c>
      <c r="W296">
        <v>112.50920000000001</v>
      </c>
      <c r="X296">
        <v>1.8170540911825725E-2</v>
      </c>
      <c r="Y296">
        <f t="shared" si="91"/>
        <v>2.0443530215567831</v>
      </c>
      <c r="Z296">
        <f t="shared" si="100"/>
        <v>2.1869660380180456E-2</v>
      </c>
      <c r="AA296">
        <f t="shared" si="101"/>
        <v>0.49861218566608079</v>
      </c>
      <c r="AB296">
        <f t="shared" si="108"/>
        <v>6.8037816205943837</v>
      </c>
      <c r="AD296">
        <v>1295.021</v>
      </c>
      <c r="AE296">
        <v>0.39635875259185138</v>
      </c>
      <c r="AF296">
        <f t="shared" si="92"/>
        <v>513.29290814025194</v>
      </c>
      <c r="AG296">
        <f t="shared" si="102"/>
        <v>0.15901435847065493</v>
      </c>
      <c r="AH296">
        <f t="shared" si="103"/>
        <v>0.63575688375655526</v>
      </c>
      <c r="AI296">
        <f t="shared" si="109"/>
        <v>0.49105443010787431</v>
      </c>
      <c r="AL296">
        <f t="shared" si="93"/>
        <v>588.62385973443759</v>
      </c>
      <c r="AM296">
        <f t="shared" si="104"/>
        <v>-0.47674252528590033</v>
      </c>
    </row>
    <row r="297" spans="1:39" x14ac:dyDescent="0.35">
      <c r="A297" s="2">
        <v>45474</v>
      </c>
      <c r="B297">
        <v>174.72210000000001</v>
      </c>
      <c r="C297">
        <v>7.8338087113519569E-2</v>
      </c>
      <c r="D297">
        <f t="shared" si="88"/>
        <v>13.687395090457079</v>
      </c>
      <c r="E297">
        <f t="shared" si="94"/>
        <v>-0.86880593509117698</v>
      </c>
      <c r="F297">
        <f t="shared" si="95"/>
        <v>4.5265228665072099</v>
      </c>
      <c r="G297">
        <f t="shared" si="105"/>
        <v>3.4274478446495338</v>
      </c>
      <c r="I297">
        <v>106.12560000000001</v>
      </c>
      <c r="J297">
        <v>0.12850600582942157</v>
      </c>
      <c r="K297">
        <f t="shared" si="89"/>
        <v>13.637776972250862</v>
      </c>
      <c r="L297">
        <f t="shared" si="96"/>
        <v>-1.4318195327824856</v>
      </c>
      <c r="M297">
        <f t="shared" si="97"/>
        <v>5.0895364641985186</v>
      </c>
      <c r="N297">
        <f t="shared" si="106"/>
        <v>4.2972408963335873</v>
      </c>
      <c r="P297">
        <v>121.2617</v>
      </c>
      <c r="Q297">
        <v>0.37862661355338173</v>
      </c>
      <c r="R297">
        <f t="shared" si="90"/>
        <v>45.912906824726115</v>
      </c>
      <c r="S297">
        <f t="shared" si="98"/>
        <v>0.59054432276122171</v>
      </c>
      <c r="T297">
        <f t="shared" si="99"/>
        <v>3.0671726086548112</v>
      </c>
      <c r="U297">
        <f t="shared" si="107"/>
        <v>3.0766982352520174</v>
      </c>
      <c r="W297">
        <v>112.4957</v>
      </c>
      <c r="X297">
        <v>1.8170540911825725E-2</v>
      </c>
      <c r="Y297">
        <f t="shared" si="91"/>
        <v>2.0441077192544732</v>
      </c>
      <c r="Z297">
        <f t="shared" si="100"/>
        <v>-1.1999018746922108E-2</v>
      </c>
      <c r="AA297">
        <f t="shared" si="101"/>
        <v>3.669715950162955</v>
      </c>
      <c r="AB297">
        <f t="shared" si="108"/>
        <v>3.1711037644968743</v>
      </c>
      <c r="AD297">
        <v>1349.4639999999999</v>
      </c>
      <c r="AE297">
        <v>0.39635875259185138</v>
      </c>
      <c r="AF297">
        <f t="shared" si="92"/>
        <v>534.87186770761014</v>
      </c>
      <c r="AG297">
        <f t="shared" si="102"/>
        <v>4.2040244907225466</v>
      </c>
      <c r="AH297">
        <f t="shared" si="103"/>
        <v>0.54630755930651365</v>
      </c>
      <c r="AI297">
        <f t="shared" si="109"/>
        <v>8.9449324450041612E-2</v>
      </c>
      <c r="AL297">
        <f t="shared" si="93"/>
        <v>610.15405431429872</v>
      </c>
      <c r="AM297">
        <f t="shared" si="104"/>
        <v>3.6577169314160329</v>
      </c>
    </row>
    <row r="298" spans="1:39" x14ac:dyDescent="0.35">
      <c r="A298" s="2">
        <v>45505</v>
      </c>
      <c r="B298">
        <v>170.566</v>
      </c>
      <c r="C298">
        <v>7.8338087113519569E-2</v>
      </c>
      <c r="D298">
        <f t="shared" si="88"/>
        <v>13.36181416660458</v>
      </c>
      <c r="E298">
        <f t="shared" si="94"/>
        <v>-2.3786916480514009</v>
      </c>
      <c r="F298">
        <f t="shared" si="95"/>
        <v>5.3532952804504985</v>
      </c>
      <c r="G298">
        <f t="shared" si="105"/>
        <v>0.8267724139432886</v>
      </c>
      <c r="I298">
        <v>103.6198</v>
      </c>
      <c r="J298">
        <v>0.12850600582942157</v>
      </c>
      <c r="K298">
        <f t="shared" si="89"/>
        <v>13.315766622843496</v>
      </c>
      <c r="L298">
        <f t="shared" si="96"/>
        <v>-2.3611645069615661</v>
      </c>
      <c r="M298">
        <f t="shared" si="97"/>
        <v>5.3708224215403337</v>
      </c>
      <c r="N298">
        <f t="shared" si="106"/>
        <v>0.28128595734181516</v>
      </c>
      <c r="P298">
        <v>120.9682</v>
      </c>
      <c r="Q298">
        <v>0.37862661355338173</v>
      </c>
      <c r="R298">
        <f t="shared" si="90"/>
        <v>45.80177991364819</v>
      </c>
      <c r="S298">
        <f t="shared" si="98"/>
        <v>-0.24203850020245721</v>
      </c>
      <c r="T298">
        <f t="shared" si="99"/>
        <v>7.4899484282994422</v>
      </c>
      <c r="U298">
        <f t="shared" si="107"/>
        <v>4.422775819644631</v>
      </c>
      <c r="W298">
        <v>112.4986</v>
      </c>
      <c r="X298">
        <v>1.8170540911825725E-2</v>
      </c>
      <c r="Y298">
        <f t="shared" si="91"/>
        <v>2.0441604138231173</v>
      </c>
      <c r="Z298">
        <f t="shared" si="100"/>
        <v>2.5778763099282287E-3</v>
      </c>
      <c r="AA298">
        <f t="shared" si="101"/>
        <v>7.7345648048118276</v>
      </c>
      <c r="AB298">
        <f t="shared" si="108"/>
        <v>4.0648488546488721</v>
      </c>
      <c r="AD298">
        <v>1232.3520000000001</v>
      </c>
      <c r="AE298">
        <v>0.39635875259185138</v>
      </c>
      <c r="AF298">
        <f t="shared" si="92"/>
        <v>488.45350147407328</v>
      </c>
      <c r="AG298">
        <f t="shared" si="102"/>
        <v>-8.6784086126046933</v>
      </c>
      <c r="AH298">
        <f t="shared" si="103"/>
        <v>0.94642168410279393</v>
      </c>
      <c r="AI298">
        <f t="shared" si="109"/>
        <v>0.40011412479628028</v>
      </c>
      <c r="AL298">
        <f t="shared" si="93"/>
        <v>562.97702259099276</v>
      </c>
      <c r="AM298">
        <f t="shared" si="104"/>
        <v>-7.7319869285018994</v>
      </c>
    </row>
    <row r="299" spans="1:39" x14ac:dyDescent="0.35">
      <c r="A299" s="2">
        <v>45536</v>
      </c>
      <c r="B299">
        <v>170.06450000000001</v>
      </c>
      <c r="C299">
        <v>7.8338087113519569E-2</v>
      </c>
      <c r="D299">
        <f t="shared" si="88"/>
        <v>13.322527615917149</v>
      </c>
      <c r="E299">
        <f t="shared" si="94"/>
        <v>-0.29402108274801941</v>
      </c>
      <c r="F299">
        <f t="shared" si="95"/>
        <v>1.0936480786731817</v>
      </c>
      <c r="G299">
        <f t="shared" si="105"/>
        <v>4.2596472017773168</v>
      </c>
      <c r="I299">
        <v>102.85129999999999</v>
      </c>
      <c r="J299">
        <v>0.12850600582942157</v>
      </c>
      <c r="K299">
        <f t="shared" si="89"/>
        <v>13.217009757363586</v>
      </c>
      <c r="L299">
        <f t="shared" si="96"/>
        <v>-0.74165362218417963</v>
      </c>
      <c r="M299">
        <f t="shared" si="97"/>
        <v>0.64601553923702149</v>
      </c>
      <c r="N299">
        <f t="shared" si="106"/>
        <v>4.7248068823033122</v>
      </c>
      <c r="P299">
        <v>118.90479999999999</v>
      </c>
      <c r="Q299">
        <v>0.37862661355338173</v>
      </c>
      <c r="R299">
        <f t="shared" si="90"/>
        <v>45.020521759242143</v>
      </c>
      <c r="S299">
        <f t="shared" si="98"/>
        <v>-1.7057375409405107</v>
      </c>
      <c r="T299">
        <f t="shared" si="99"/>
        <v>0.31806837951930955</v>
      </c>
      <c r="U299">
        <f t="shared" si="107"/>
        <v>7.1718800487801326</v>
      </c>
      <c r="W299">
        <v>112.5051</v>
      </c>
      <c r="X299">
        <v>1.8170540911825725E-2</v>
      </c>
      <c r="Y299">
        <f t="shared" si="91"/>
        <v>2.0442785223390443</v>
      </c>
      <c r="Z299">
        <f t="shared" si="100"/>
        <v>5.7778496798999157E-3</v>
      </c>
      <c r="AA299">
        <f t="shared" si="101"/>
        <v>1.393447011101101</v>
      </c>
      <c r="AB299">
        <f t="shared" si="108"/>
        <v>6.3411177937107261</v>
      </c>
      <c r="AD299">
        <v>1214.961</v>
      </c>
      <c r="AE299">
        <v>0.39635875259185138</v>
      </c>
      <c r="AF299">
        <f t="shared" si="92"/>
        <v>481.56042640774837</v>
      </c>
      <c r="AG299">
        <f t="shared" si="102"/>
        <v>-1.411203941730943</v>
      </c>
      <c r="AH299">
        <f t="shared" si="103"/>
        <v>2.3534780309741876E-2</v>
      </c>
      <c r="AI299">
        <f t="shared" si="109"/>
        <v>0.92288690379305205</v>
      </c>
      <c r="AL299">
        <f t="shared" si="93"/>
        <v>555.16476406261029</v>
      </c>
      <c r="AM299">
        <f t="shared" si="104"/>
        <v>-1.3876691614212011</v>
      </c>
    </row>
    <row r="300" spans="1:39" x14ac:dyDescent="0.35">
      <c r="A300" s="2">
        <v>45566</v>
      </c>
      <c r="B300">
        <v>175.2937</v>
      </c>
      <c r="C300">
        <v>7.8338087113519569E-2</v>
      </c>
      <c r="D300">
        <f t="shared" si="88"/>
        <v>13.732173141051165</v>
      </c>
      <c r="E300">
        <f t="shared" si="94"/>
        <v>3.0748333720441279</v>
      </c>
      <c r="F300">
        <f t="shared" si="95"/>
        <v>10.697654932089996</v>
      </c>
      <c r="G300">
        <f t="shared" si="105"/>
        <v>9.6040068534168146</v>
      </c>
      <c r="I300">
        <v>103.09529999999999</v>
      </c>
      <c r="J300">
        <v>0.12850600582942157</v>
      </c>
      <c r="K300">
        <f t="shared" si="89"/>
        <v>13.248365222785964</v>
      </c>
      <c r="L300">
        <f t="shared" si="96"/>
        <v>0.23723569852787119</v>
      </c>
      <c r="M300">
        <f t="shared" si="97"/>
        <v>7.8600572585737387</v>
      </c>
      <c r="N300">
        <f t="shared" si="106"/>
        <v>7.2140417193367172</v>
      </c>
      <c r="P300">
        <v>118.587</v>
      </c>
      <c r="Q300">
        <v>0.37862661355338173</v>
      </c>
      <c r="R300">
        <f t="shared" si="90"/>
        <v>44.900194221454882</v>
      </c>
      <c r="S300">
        <f t="shared" si="98"/>
        <v>-0.26727264164272402</v>
      </c>
      <c r="T300">
        <f t="shared" si="99"/>
        <v>7.3555489184031435</v>
      </c>
      <c r="U300">
        <f t="shared" si="107"/>
        <v>7.037480538883834</v>
      </c>
      <c r="W300">
        <v>112.5043</v>
      </c>
      <c r="X300">
        <v>1.8170540911825725E-2</v>
      </c>
      <c r="Y300">
        <f t="shared" si="91"/>
        <v>2.0442639859063148</v>
      </c>
      <c r="Z300">
        <f t="shared" si="100"/>
        <v>-7.110788755371189E-4</v>
      </c>
      <c r="AA300">
        <f t="shared" si="101"/>
        <v>7.6221104811703304</v>
      </c>
      <c r="AB300">
        <f t="shared" si="108"/>
        <v>6.2286634700692289</v>
      </c>
      <c r="AD300">
        <v>1107.3820000000001</v>
      </c>
      <c r="AE300">
        <v>0.39635875259185138</v>
      </c>
      <c r="AF300">
        <f t="shared" si="92"/>
        <v>438.9205481626696</v>
      </c>
      <c r="AG300">
        <f t="shared" si="102"/>
        <v>-8.8545229023812233</v>
      </c>
      <c r="AH300">
        <f t="shared" si="103"/>
        <v>1.2317013423353558</v>
      </c>
      <c r="AI300">
        <f t="shared" si="109"/>
        <v>1.2081665620256139</v>
      </c>
      <c r="AL300">
        <f t="shared" si="93"/>
        <v>512.84554473386788</v>
      </c>
      <c r="AM300">
        <f t="shared" si="104"/>
        <v>-7.6228215600458675</v>
      </c>
    </row>
    <row r="301" spans="1:39" x14ac:dyDescent="0.35">
      <c r="A301" s="2">
        <v>45597</v>
      </c>
      <c r="B301">
        <v>174.5643</v>
      </c>
      <c r="C301">
        <v>7.8338087113519569E-2</v>
      </c>
      <c r="D301">
        <f t="shared" si="88"/>
        <v>13.675033340310565</v>
      </c>
      <c r="E301">
        <f t="shared" si="94"/>
        <v>-0.4161016625240932</v>
      </c>
      <c r="F301">
        <f t="shared" si="95"/>
        <v>3.426840052103175</v>
      </c>
      <c r="G301">
        <f t="shared" si="105"/>
        <v>7.2708148799868209</v>
      </c>
      <c r="I301">
        <v>106.37269999999999</v>
      </c>
      <c r="J301">
        <v>0.12850600582942157</v>
      </c>
      <c r="K301">
        <f t="shared" si="89"/>
        <v>13.669530806291311</v>
      </c>
      <c r="L301">
        <f t="shared" si="96"/>
        <v>3.1790004006002182</v>
      </c>
      <c r="M301">
        <f t="shared" si="97"/>
        <v>0.16826201102113636</v>
      </c>
      <c r="N301">
        <f t="shared" si="106"/>
        <v>7.6917952475526024</v>
      </c>
      <c r="P301">
        <v>115.3706</v>
      </c>
      <c r="Q301">
        <v>0.37862661355338173</v>
      </c>
      <c r="R301">
        <f t="shared" si="90"/>
        <v>43.682379581621781</v>
      </c>
      <c r="S301">
        <f t="shared" si="98"/>
        <v>-2.7122703163078632</v>
      </c>
      <c r="T301">
        <f t="shared" si="99"/>
        <v>5.7230087058869454</v>
      </c>
      <c r="U301">
        <f t="shared" si="107"/>
        <v>1.6325402125161981</v>
      </c>
      <c r="W301">
        <v>112.49979999999999</v>
      </c>
      <c r="X301">
        <v>1.8170540911825725E-2</v>
      </c>
      <c r="Y301">
        <f t="shared" si="91"/>
        <v>2.0441822184722116</v>
      </c>
      <c r="Z301">
        <f t="shared" si="100"/>
        <v>-3.999847116964439E-3</v>
      </c>
      <c r="AA301">
        <f t="shared" si="101"/>
        <v>3.0147382366960462</v>
      </c>
      <c r="AB301">
        <f t="shared" si="108"/>
        <v>4.6073722444742842</v>
      </c>
      <c r="AD301">
        <v>1148.492</v>
      </c>
      <c r="AE301">
        <v>0.39635875259185138</v>
      </c>
      <c r="AF301">
        <f t="shared" si="92"/>
        <v>455.21485648172057</v>
      </c>
      <c r="AG301">
        <f t="shared" si="102"/>
        <v>3.7123594206877053</v>
      </c>
      <c r="AH301">
        <f t="shared" si="103"/>
        <v>0.70162103110862351</v>
      </c>
      <c r="AI301">
        <f t="shared" si="109"/>
        <v>0.53008031122673227</v>
      </c>
      <c r="AL301">
        <f t="shared" si="93"/>
        <v>528.28598242841645</v>
      </c>
      <c r="AM301">
        <f t="shared" si="104"/>
        <v>3.0107383895790818</v>
      </c>
    </row>
    <row r="302" spans="1:39" x14ac:dyDescent="0.35">
      <c r="A302" s="2">
        <v>45627</v>
      </c>
      <c r="B302">
        <v>178.28360000000001</v>
      </c>
      <c r="C302">
        <v>7.8338087113519569E-2</v>
      </c>
      <c r="D302">
        <f t="shared" si="88"/>
        <v>13.966396187711878</v>
      </c>
      <c r="E302">
        <f t="shared" si="94"/>
        <v>2.1306189180720247</v>
      </c>
      <c r="F302">
        <f t="shared" si="95"/>
        <v>4.0322472389028086</v>
      </c>
      <c r="G302">
        <f t="shared" si="105"/>
        <v>0.60540718679963357</v>
      </c>
      <c r="I302">
        <v>107.3044</v>
      </c>
      <c r="J302">
        <v>0.12850600582942157</v>
      </c>
      <c r="K302">
        <f t="shared" si="89"/>
        <v>13.789259851922584</v>
      </c>
      <c r="L302">
        <f t="shared" si="96"/>
        <v>0.87588262777951176</v>
      </c>
      <c r="M302">
        <f t="shared" si="97"/>
        <v>5.2869835291953216</v>
      </c>
      <c r="N302">
        <f t="shared" si="106"/>
        <v>5.1187215181741852</v>
      </c>
      <c r="P302">
        <v>114.8182</v>
      </c>
      <c r="Q302">
        <v>0.37862661355338173</v>
      </c>
      <c r="R302">
        <f t="shared" si="90"/>
        <v>43.473226240294899</v>
      </c>
      <c r="S302">
        <f t="shared" si="98"/>
        <v>-0.47880482549279568</v>
      </c>
      <c r="T302">
        <f t="shared" si="99"/>
        <v>6.6416709824676285</v>
      </c>
      <c r="U302">
        <f t="shared" si="107"/>
        <v>0.91866227658068311</v>
      </c>
      <c r="W302">
        <v>112.50320000000001</v>
      </c>
      <c r="X302">
        <v>1.8170540911825725E-2</v>
      </c>
      <c r="Y302">
        <f t="shared" si="91"/>
        <v>2.0442439983113121</v>
      </c>
      <c r="Z302">
        <f t="shared" si="100"/>
        <v>3.0222275950730904E-3</v>
      </c>
      <c r="AA302">
        <f t="shared" si="101"/>
        <v>6.1598439293797602</v>
      </c>
      <c r="AB302">
        <f t="shared" si="108"/>
        <v>3.145105692683714</v>
      </c>
      <c r="AD302">
        <v>1230.124</v>
      </c>
      <c r="AE302">
        <v>0.39635875259185138</v>
      </c>
      <c r="AF302">
        <f t="shared" si="92"/>
        <v>487.57041417329862</v>
      </c>
      <c r="AG302">
        <f t="shared" si="102"/>
        <v>7.107755212922684</v>
      </c>
      <c r="AH302">
        <f t="shared" si="103"/>
        <v>0.94488905594785066</v>
      </c>
      <c r="AI302">
        <f t="shared" si="109"/>
        <v>0.24326802483922716</v>
      </c>
      <c r="AL302">
        <f t="shared" si="93"/>
        <v>560.8435404515393</v>
      </c>
      <c r="AM302">
        <f t="shared" si="104"/>
        <v>6.1628661569748333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systemic index for sub samples</vt:lpstr>
      <vt:lpstr>g7</vt:lpstr>
      <vt:lpstr>nordic</vt:lpstr>
      <vt:lpstr>emerging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2025-03-14T01:18:34Z</dcterms:created>
  <dcterms:modified xsi:type="dcterms:W3CDTF">2026-01-11T16:02:59Z</dcterms:modified>
</cp:coreProperties>
</file>